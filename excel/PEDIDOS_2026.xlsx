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008C7781-4557-465D-A1E0-2D850ED82CEE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  <sheet name="Planilha3" sheetId="3" state="hidden" r:id="rId3"/>
  </sheets>
  <definedNames>
    <definedName name="_xlnm._FilterDatabase" localSheetId="0" hidden="1">Planilha1!$A$1:$AU$1829</definedName>
  </definedNames>
  <calcPr calcId="18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 l="1"/>
  <c r="B5" i="2"/>
  <c r="B6" i="2"/>
  <c r="B7" i="2" l="1"/>
  <c r="B9" i="2"/>
  <c r="B8" i="2"/>
</calcChain>
</file>

<file path=xl/sharedStrings.xml><?xml version="1.0" encoding="utf-8"?>
<sst xmlns="http://schemas.openxmlformats.org/spreadsheetml/2006/main" count="2242" uniqueCount="547">
  <si>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</si>
  <si>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</si>
  <si>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</si>
  <si>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</si>
  <si>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</si>
  <si>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</si>
  <si>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</si>
  <si>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</si>
  <si>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</si>
  <si>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</si>
  <si>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</si>
  <si>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</si>
  <si>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</si>
  <si>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</si>
  <si>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</si>
  <si>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</si>
  <si>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</si>
  <si>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</si>
  <si>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</si>
  <si>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</si>
  <si>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</si>
  <si>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</si>
  <si>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</si>
  <si>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</si>
  <si>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</si>
  <si>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</si>
  <si>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</si>
  <si>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</si>
  <si>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</si>
  <si>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</si>
  <si>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</si>
  <si>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</si>
  <si>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</si>
  <si>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</si>
  <si>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</si>
  <si>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</si>
  <si>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</si>
  <si>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</si>
  <si>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</si>
  <si>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</si>
  <si>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</si>
  <si>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</si>
  <si>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</si>
  <si>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</si>
  <si>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</si>
  <si>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</si>
  <si>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</si>
  <si>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</si>
  <si>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</si>
  <si>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</si>
  <si>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CAROLINA XAVIER</t>
  </si>
  <si>
    <t>N</t>
  </si>
  <si>
    <t>CAROL</t>
  </si>
  <si>
    <t>35 DD</t>
  </si>
  <si>
    <t>Data vallida do limite de crédito já passou.</t>
  </si>
  <si>
    <t>CIF</t>
  </si>
  <si>
    <t>CAROLINA</t>
  </si>
  <si>
    <t>Cliente sem limite crédito.</t>
  </si>
  <si>
    <t>Cliente sem prazo médio.</t>
  </si>
  <si>
    <t>BRUSQUE</t>
  </si>
  <si>
    <t>RIOMAR</t>
  </si>
  <si>
    <t>ITAJAI</t>
  </si>
  <si>
    <t>JEFERSON MENHA</t>
  </si>
  <si>
    <t>TELEVENDAS</t>
  </si>
  <si>
    <t>28 35 42 DD</t>
  </si>
  <si>
    <t>BETUSA</t>
  </si>
  <si>
    <t>RD LITORAL REPRESENTACOES LTDA</t>
  </si>
  <si>
    <t>SC ITAJAI</t>
  </si>
  <si>
    <t>RAFAEL</t>
  </si>
  <si>
    <t>FORTE EMBALAGENS</t>
  </si>
  <si>
    <t>DIRETA</t>
  </si>
  <si>
    <t>30 45 DD</t>
  </si>
  <si>
    <t>INDAIAL</t>
  </si>
  <si>
    <t>JOINVILLE</t>
  </si>
  <si>
    <t>60 DD</t>
  </si>
  <si>
    <t>MARIA</t>
  </si>
  <si>
    <t>BLUMENAU</t>
  </si>
  <si>
    <t>28 DD</t>
  </si>
  <si>
    <t xml:space="preserve">MDN </t>
  </si>
  <si>
    <t>PAULO</t>
  </si>
  <si>
    <t>SCHWANKE</t>
  </si>
  <si>
    <t>30 60 75 DD</t>
  </si>
  <si>
    <t>SC PENHA</t>
  </si>
  <si>
    <t>AMANDA DE OLIVEIRA VIANA</t>
  </si>
  <si>
    <t>DISTRIBUIDORA MULLER</t>
  </si>
  <si>
    <t>BERTOZZO</t>
  </si>
  <si>
    <t>FLORIANOPOLIS</t>
  </si>
  <si>
    <t>A VISTA</t>
  </si>
  <si>
    <t>SC FLORIANOPOLIS</t>
  </si>
  <si>
    <t>28 35 DD</t>
  </si>
  <si>
    <t>SC ELETRO</t>
  </si>
  <si>
    <t>BALNEARIO CAMBORIU</t>
  </si>
  <si>
    <t>RAFAEL E DAIANE</t>
  </si>
  <si>
    <t>INECEL</t>
  </si>
  <si>
    <t>GUARAMIRIM</t>
  </si>
  <si>
    <t>30 60 DD</t>
  </si>
  <si>
    <t>ONDA DO VALE - FILIAL</t>
  </si>
  <si>
    <t>PLIAR</t>
  </si>
  <si>
    <t>30 60 90 DD</t>
  </si>
  <si>
    <t>SC BLUMENAU</t>
  </si>
  <si>
    <t xml:space="preserve">AMANDA </t>
  </si>
  <si>
    <t>SC JOINVILLE</t>
  </si>
  <si>
    <t>FISCHER</t>
  </si>
  <si>
    <t>30 45 60 DD</t>
  </si>
  <si>
    <t>SC BRUSQUE</t>
  </si>
  <si>
    <t>BILITON</t>
  </si>
  <si>
    <t>28 35 42 49 DD</t>
  </si>
  <si>
    <t>SC *** Nenhuma ***</t>
  </si>
  <si>
    <t>JARAGUA DO SUL</t>
  </si>
  <si>
    <t>28 35 42 49 56 DD</t>
  </si>
  <si>
    <t>HIPER TEXTIL</t>
  </si>
  <si>
    <t>REIKI</t>
  </si>
  <si>
    <t>SC CAMBORIU</t>
  </si>
  <si>
    <t>PAFER</t>
  </si>
  <si>
    <t>total de pedidos</t>
  </si>
  <si>
    <t>KG PREÇO MEDIO</t>
  </si>
  <si>
    <t>M² PREÇO MEDIO</t>
  </si>
  <si>
    <t>TICKT MEDIO</t>
  </si>
  <si>
    <t>KREUMAC - PRAYON - FERMONT</t>
  </si>
  <si>
    <t>MS COSMETICOS</t>
  </si>
  <si>
    <t>DIEGO</t>
  </si>
  <si>
    <t>BRASILPEX</t>
  </si>
  <si>
    <t>ITAPEMA</t>
  </si>
  <si>
    <t>UNILUX</t>
  </si>
  <si>
    <t>SAO JOSE</t>
  </si>
  <si>
    <t>JOSE RICARDO</t>
  </si>
  <si>
    <t>28 35 42 56</t>
  </si>
  <si>
    <t>POMERODE</t>
  </si>
  <si>
    <t>BIGUACU</t>
  </si>
  <si>
    <t>SC PEÇAS EIRELI</t>
  </si>
  <si>
    <t>SC BIGUACU</t>
  </si>
  <si>
    <t xml:space="preserve">COLIBRI </t>
  </si>
  <si>
    <t>25 35 45 DD</t>
  </si>
  <si>
    <t xml:space="preserve">STI COMPUTADORES </t>
  </si>
  <si>
    <t>CRISTAL BLUMENAU</t>
  </si>
  <si>
    <t>14 21 28 DD</t>
  </si>
  <si>
    <t>LEAL</t>
  </si>
  <si>
    <t>NAVEGANTES</t>
  </si>
  <si>
    <t>45 60 75 DD</t>
  </si>
  <si>
    <t>FASHIONING</t>
  </si>
  <si>
    <t>ENVAZZE</t>
  </si>
  <si>
    <t>WETZEL - ELTROTECNICA</t>
  </si>
  <si>
    <t>JINRRA</t>
  </si>
  <si>
    <t>PENHA</t>
  </si>
  <si>
    <t>MAISLUX</t>
  </si>
  <si>
    <t>DECORE PREMIUM</t>
  </si>
  <si>
    <t>TIJUCAS</t>
  </si>
  <si>
    <t>RIVATTI</t>
  </si>
  <si>
    <t>28 42 56 72 DD</t>
  </si>
  <si>
    <t>SEVEN TEXTIL</t>
  </si>
  <si>
    <t>30 DD</t>
  </si>
  <si>
    <t>GASPAR</t>
  </si>
  <si>
    <t>POD BEBIDAS</t>
  </si>
  <si>
    <t>Limite de crédito inferior à soma dos valores pendentes.</t>
  </si>
  <si>
    <t>30 45 60 75 DD</t>
  </si>
  <si>
    <t>DONNA BLU</t>
  </si>
  <si>
    <t>Soma de Kg</t>
  </si>
  <si>
    <t>Soma de Valor Com IPI</t>
  </si>
  <si>
    <t>Valores</t>
  </si>
  <si>
    <t>(Vários itens)</t>
  </si>
  <si>
    <t>Soma de Total m2</t>
  </si>
  <si>
    <t xml:space="preserve">VOLPATO </t>
  </si>
  <si>
    <t>28 42 56 70 84 DD</t>
  </si>
  <si>
    <t>EVANGELINA</t>
  </si>
  <si>
    <t xml:space="preserve">KOHMAR </t>
  </si>
  <si>
    <t>GUABIRUBA</t>
  </si>
  <si>
    <t>60 75 90 105 120</t>
  </si>
  <si>
    <t>Cond. de pagamento não está cadastrada.</t>
  </si>
  <si>
    <t>APOLO</t>
  </si>
  <si>
    <t>SC TIJUCAS</t>
  </si>
  <si>
    <t>ISAPA</t>
  </si>
  <si>
    <t>28 42 DD</t>
  </si>
  <si>
    <t>GRUPO SANDRI</t>
  </si>
  <si>
    <t>TAIO</t>
  </si>
  <si>
    <t>TESSIMATEX - TMX KIDS</t>
  </si>
  <si>
    <t>CIA DA MEIA</t>
  </si>
  <si>
    <t>ZIPYLIK</t>
  </si>
  <si>
    <t>ALPIS</t>
  </si>
  <si>
    <t xml:space="preserve">NEXT SAFETY </t>
  </si>
  <si>
    <t>45 DD</t>
  </si>
  <si>
    <t>MERCADO DA BELEZA LTDA-lucro real</t>
  </si>
  <si>
    <t>MERITMEDICAL</t>
  </si>
  <si>
    <t>KYLY</t>
  </si>
  <si>
    <t>MAURO FLORIANI</t>
  </si>
  <si>
    <t>BANANAS SILVA</t>
  </si>
  <si>
    <t>MARINGA</t>
  </si>
  <si>
    <t xml:space="preserve">WALTER REPRESENTANTE </t>
  </si>
  <si>
    <t xml:space="preserve">IML </t>
  </si>
  <si>
    <t>10.400,00</t>
  </si>
  <si>
    <t>0,00</t>
  </si>
  <si>
    <t>1.683,00</t>
  </si>
  <si>
    <t>820,54</t>
  </si>
  <si>
    <t>809,00</t>
  </si>
  <si>
    <t>874,00</t>
  </si>
  <si>
    <t>2.500,00</t>
  </si>
  <si>
    <t>12.790,00</t>
  </si>
  <si>
    <t>14.708,50</t>
  </si>
  <si>
    <t>1.836,00</t>
  </si>
  <si>
    <t>923,51</t>
  </si>
  <si>
    <t>1.000,00</t>
  </si>
  <si>
    <t>48.640,00</t>
  </si>
  <si>
    <t>6.111,00</t>
  </si>
  <si>
    <t>3.843,09</t>
  </si>
  <si>
    <t>7.000,00</t>
  </si>
  <si>
    <t>7.992,30</t>
  </si>
  <si>
    <t>9.191,15</t>
  </si>
  <si>
    <t>1.041,65</t>
  </si>
  <si>
    <t>611,98</t>
  </si>
  <si>
    <t>221,00</t>
  </si>
  <si>
    <t>820,65</t>
  </si>
  <si>
    <t>1.450,00</t>
  </si>
  <si>
    <t>14.520,60</t>
  </si>
  <si>
    <t>3.511,72</t>
  </si>
  <si>
    <t>1.354,81</t>
  </si>
  <si>
    <t>2.838,12</t>
  </si>
  <si>
    <t>673,60</t>
  </si>
  <si>
    <t>7.380,00</t>
  </si>
  <si>
    <t>5.312,00</t>
  </si>
  <si>
    <t>6.108,80</t>
  </si>
  <si>
    <t>827,20</t>
  </si>
  <si>
    <t>475,64</t>
  </si>
  <si>
    <t>800,00</t>
  </si>
  <si>
    <t>23.030,00</t>
  </si>
  <si>
    <t>26.484,50</t>
  </si>
  <si>
    <t>3.401,00</t>
  </si>
  <si>
    <t>1.947,61</t>
  </si>
  <si>
    <t>710,00</t>
  </si>
  <si>
    <t>2.691,00</t>
  </si>
  <si>
    <t>2.000,00</t>
  </si>
  <si>
    <t>568,60</t>
  </si>
  <si>
    <t>653,89</t>
  </si>
  <si>
    <t>45,48</t>
  </si>
  <si>
    <t>34,02</t>
  </si>
  <si>
    <t>20,00</t>
  </si>
  <si>
    <t>7.440,00</t>
  </si>
  <si>
    <t>8.556,00</t>
  </si>
  <si>
    <t>1.575,00</t>
  </si>
  <si>
    <t>584,97</t>
  </si>
  <si>
    <t>1.209,00</t>
  </si>
  <si>
    <t>366,00</t>
  </si>
  <si>
    <t>3.000,00</t>
  </si>
  <si>
    <t>6.420,00</t>
  </si>
  <si>
    <t>1.838,00</t>
  </si>
  <si>
    <t>661,68</t>
  </si>
  <si>
    <t>5.390,00</t>
  </si>
  <si>
    <t>765,50</t>
  </si>
  <si>
    <t>457,77</t>
  </si>
  <si>
    <t>500,00</t>
  </si>
  <si>
    <t>4.979,00</t>
  </si>
  <si>
    <t>1.387,10</t>
  </si>
  <si>
    <t>450,81</t>
  </si>
  <si>
    <t>1.300,00</t>
  </si>
  <si>
    <t>10.200,00</t>
  </si>
  <si>
    <t>11.730,00</t>
  </si>
  <si>
    <t>2.328,00</t>
  </si>
  <si>
    <t>907,92</t>
  </si>
  <si>
    <t>6.264,00</t>
  </si>
  <si>
    <t>1.083,60</t>
  </si>
  <si>
    <t>650,16</t>
  </si>
  <si>
    <t>1.200,00</t>
  </si>
  <si>
    <t>10.473,35</t>
  </si>
  <si>
    <t>1.912,70</t>
  </si>
  <si>
    <t>1.099,80</t>
  </si>
  <si>
    <t>1.550,00</t>
  </si>
  <si>
    <t>7.534,00</t>
  </si>
  <si>
    <t>8.664,10</t>
  </si>
  <si>
    <t>1.055,61</t>
  </si>
  <si>
    <t>606,97</t>
  </si>
  <si>
    <t>1.050,00</t>
  </si>
  <si>
    <t>1.146,00</t>
  </si>
  <si>
    <t>1.317,90</t>
  </si>
  <si>
    <t>244,20</t>
  </si>
  <si>
    <t>75,70</t>
  </si>
  <si>
    <t>300,00</t>
  </si>
  <si>
    <t>3.798,30</t>
  </si>
  <si>
    <t>4.368,05</t>
  </si>
  <si>
    <t>343,78</t>
  </si>
  <si>
    <t>257,14</t>
  </si>
  <si>
    <t>90,00</t>
  </si>
  <si>
    <t>3.444,50</t>
  </si>
  <si>
    <t>3.961,18</t>
  </si>
  <si>
    <t>327,46</t>
  </si>
  <si>
    <t>244,94</t>
  </si>
  <si>
    <t>5.785,20</t>
  </si>
  <si>
    <t>6.227,63</t>
  </si>
  <si>
    <t>740,16</t>
  </si>
  <si>
    <t>342,70</t>
  </si>
  <si>
    <t>530,00</t>
  </si>
  <si>
    <t>210,16</t>
  </si>
  <si>
    <t>1.060,00</t>
  </si>
  <si>
    <t>3.161,60</t>
  </si>
  <si>
    <t>3.635,84</t>
  </si>
  <si>
    <t>305,52</t>
  </si>
  <si>
    <t>228,53</t>
  </si>
  <si>
    <t>80,00</t>
  </si>
  <si>
    <t>16.080,00</t>
  </si>
  <si>
    <t>2.662,00</t>
  </si>
  <si>
    <t>1.452,85</t>
  </si>
  <si>
    <t>1.921,00</t>
  </si>
  <si>
    <t>741,00</t>
  </si>
  <si>
    <t>4.000,00</t>
  </si>
  <si>
    <t>17.007,18</t>
  </si>
  <si>
    <t>3.232,84</t>
  </si>
  <si>
    <t>1.236,25</t>
  </si>
  <si>
    <t>1.180,00</t>
  </si>
  <si>
    <t>8.500,00</t>
  </si>
  <si>
    <t>1.638,00</t>
  </si>
  <si>
    <t>982,80</t>
  </si>
  <si>
    <t>5.528,00</t>
  </si>
  <si>
    <t>1.057,60</t>
  </si>
  <si>
    <t>634,56</t>
  </si>
  <si>
    <t>24.970,00</t>
  </si>
  <si>
    <t>28.715,50</t>
  </si>
  <si>
    <t>3.815,00</t>
  </si>
  <si>
    <t>2.092,51</t>
  </si>
  <si>
    <t>1.124,00</t>
  </si>
  <si>
    <t>17.970,00</t>
  </si>
  <si>
    <t>2.604,00</t>
  </si>
  <si>
    <t>1.366,95</t>
  </si>
  <si>
    <t>234,00</t>
  </si>
  <si>
    <t>2.370,00</t>
  </si>
  <si>
    <t>6.000,00</t>
  </si>
  <si>
    <t>2.825,00</t>
  </si>
  <si>
    <t>3.203,51</t>
  </si>
  <si>
    <t>571,60</t>
  </si>
  <si>
    <t>194,30</t>
  </si>
  <si>
    <t>512,80</t>
  </si>
  <si>
    <t>58,80</t>
  </si>
  <si>
    <t>1.500,00</t>
  </si>
  <si>
    <t>3.470,00</t>
  </si>
  <si>
    <t>3.990,50</t>
  </si>
  <si>
    <t>450,00</t>
  </si>
  <si>
    <t>211,50</t>
  </si>
  <si>
    <t>16.990,00</t>
  </si>
  <si>
    <t>19.538,50</t>
  </si>
  <si>
    <t>3.207,00</t>
  </si>
  <si>
    <t>1.154,49</t>
  </si>
  <si>
    <t>16.260,00</t>
  </si>
  <si>
    <t>2.216,00</t>
  </si>
  <si>
    <t>1.309,83</t>
  </si>
  <si>
    <t>1.118,00</t>
  </si>
  <si>
    <t>1.098,00</t>
  </si>
  <si>
    <t>3.500,00</t>
  </si>
  <si>
    <t>18.960,35</t>
  </si>
  <si>
    <t>21.804,40</t>
  </si>
  <si>
    <t>2.488,92</t>
  </si>
  <si>
    <t>1.530,03</t>
  </si>
  <si>
    <t>2.035,00</t>
  </si>
  <si>
    <t>18.206,32</t>
  </si>
  <si>
    <t>20.937,27</t>
  </si>
  <si>
    <t>2.404,56</t>
  </si>
  <si>
    <t>1.472,08</t>
  </si>
  <si>
    <t>1.976,00</t>
  </si>
  <si>
    <t>49.310,00</t>
  </si>
  <si>
    <t>6.073,00</t>
  </si>
  <si>
    <t>3.763,14</t>
  </si>
  <si>
    <t>2.650,00</t>
  </si>
  <si>
    <t>707,00</t>
  </si>
  <si>
    <t>205,03</t>
  </si>
  <si>
    <t>2.709,00</t>
  </si>
  <si>
    <t>231,60</t>
  </si>
  <si>
    <t>147,76</t>
  </si>
  <si>
    <t>150,00</t>
  </si>
  <si>
    <t>7.120,00</t>
  </si>
  <si>
    <t>8.188,00</t>
  </si>
  <si>
    <t>1.267,00</t>
  </si>
  <si>
    <t>435,97</t>
  </si>
  <si>
    <t>13/03/2026 11:23:57</t>
  </si>
  <si>
    <t>6.877,00</t>
  </si>
  <si>
    <t>7.908,55</t>
  </si>
  <si>
    <t>1.249,00</t>
  </si>
  <si>
    <t>416,41</t>
  </si>
  <si>
    <t>5.500,00</t>
  </si>
  <si>
    <t>13/03/2026 11:23:41</t>
  </si>
  <si>
    <t>4.417,50</t>
  </si>
  <si>
    <t>5.080,13</t>
  </si>
  <si>
    <t>1.001,25</t>
  </si>
  <si>
    <t>310,39</t>
  </si>
  <si>
    <t>750,00</t>
  </si>
  <si>
    <t>6.051,50</t>
  </si>
  <si>
    <t>6.959,23</t>
  </si>
  <si>
    <t>1.006,96</t>
  </si>
  <si>
    <t>464,20</t>
  </si>
  <si>
    <t>350,00</t>
  </si>
  <si>
    <t>13/03/2026 10:55:56</t>
  </si>
  <si>
    <t>55.792,00</t>
  </si>
  <si>
    <t>64.160,80</t>
  </si>
  <si>
    <t>6.547,20</t>
  </si>
  <si>
    <t>4.537,22</t>
  </si>
  <si>
    <t>4.400,00</t>
  </si>
  <si>
    <t>13.500,00</t>
  </si>
  <si>
    <t>3.980,00</t>
  </si>
  <si>
    <t>1.615,88</t>
  </si>
  <si>
    <t>10.000,00</t>
  </si>
  <si>
    <t>13/03/2026 15:31:49</t>
  </si>
  <si>
    <t>696,20</t>
  </si>
  <si>
    <t>800,63</t>
  </si>
  <si>
    <t>71,92</t>
  </si>
  <si>
    <t>53,80</t>
  </si>
  <si>
    <t>1.390,00</t>
  </si>
  <si>
    <t>271,00</t>
  </si>
  <si>
    <t>105,69</t>
  </si>
  <si>
    <t>6.870,00</t>
  </si>
  <si>
    <t>1.207,50</t>
  </si>
  <si>
    <t>694,31</t>
  </si>
  <si>
    <t>25.800,00</t>
  </si>
  <si>
    <t>6.175,00</t>
  </si>
  <si>
    <t>1.790,75</t>
  </si>
  <si>
    <t>15.000,00</t>
  </si>
  <si>
    <t>1.774,80</t>
  </si>
  <si>
    <t>2.041,02</t>
  </si>
  <si>
    <t>273,00</t>
  </si>
  <si>
    <t>156,98</t>
  </si>
  <si>
    <t>120,00</t>
  </si>
  <si>
    <t>3.600,00</t>
  </si>
  <si>
    <t>4.140,00</t>
  </si>
  <si>
    <t>439,00</t>
  </si>
  <si>
    <t>280,08</t>
  </si>
  <si>
    <t>13/03/2026</t>
  </si>
  <si>
    <t>7.725,00</t>
  </si>
  <si>
    <t>1.210,50</t>
  </si>
  <si>
    <t>762,62</t>
  </si>
  <si>
    <t>13/03/2026 11:58:23</t>
  </si>
  <si>
    <t>16/03/2026</t>
  </si>
  <si>
    <t>6.280,00</t>
  </si>
  <si>
    <t>1.184,00</t>
  </si>
  <si>
    <t>710,40</t>
  </si>
  <si>
    <t>16/03/2026 14:03:16</t>
  </si>
  <si>
    <t>16/03/2026 14:03:27</t>
  </si>
  <si>
    <t>2.460,00</t>
  </si>
  <si>
    <t>667,00</t>
  </si>
  <si>
    <t>216,78</t>
  </si>
  <si>
    <t>16/03/2026 14:03:43</t>
  </si>
  <si>
    <t>16/03/2026 13:55:48</t>
  </si>
  <si>
    <t>5.700,00</t>
  </si>
  <si>
    <t>918,00</t>
  </si>
  <si>
    <t>477,36</t>
  </si>
  <si>
    <t>16/03/2026 15:09:22</t>
  </si>
  <si>
    <t>8.082,00</t>
  </si>
  <si>
    <t>2.114,20</t>
  </si>
  <si>
    <t>613,12</t>
  </si>
  <si>
    <t>16/03/2026 17:41:29</t>
  </si>
  <si>
    <t>17/03/2026</t>
  </si>
  <si>
    <t>7.520,00</t>
  </si>
  <si>
    <t>1.944,00</t>
  </si>
  <si>
    <t>631,80</t>
  </si>
  <si>
    <t>17/03/2026 12:19:31</t>
  </si>
  <si>
    <t>15.300,00</t>
  </si>
  <si>
    <t>17.595,00</t>
  </si>
  <si>
    <t>3.492,00</t>
  </si>
  <si>
    <t>1.361,88</t>
  </si>
  <si>
    <t>17/03/2026 13:31:42</t>
  </si>
  <si>
    <t>SYSTEM FLUIDS</t>
  </si>
  <si>
    <t>10.918,00</t>
  </si>
  <si>
    <t>1.361,66</t>
  </si>
  <si>
    <t>708,06</t>
  </si>
  <si>
    <t>2.060,00</t>
  </si>
  <si>
    <t>17/03/2026 15:17:27</t>
  </si>
  <si>
    <t>33.350,00</t>
  </si>
  <si>
    <t>38.352,50</t>
  </si>
  <si>
    <t>5.077,50</t>
  </si>
  <si>
    <t>3.239,45</t>
  </si>
  <si>
    <t>17/03/2026 13:44:25</t>
  </si>
  <si>
    <t>17/03/2026 13:46:31</t>
  </si>
  <si>
    <t>31.820,00</t>
  </si>
  <si>
    <t>2.584,00</t>
  </si>
  <si>
    <t>2.351,26</t>
  </si>
  <si>
    <t>17/03/2026 13:54:38</t>
  </si>
  <si>
    <t>MARCONI KONS</t>
  </si>
  <si>
    <t>LUIS ALVES</t>
  </si>
  <si>
    <t>20.250,00</t>
  </si>
  <si>
    <t>5.940,00</t>
  </si>
  <si>
    <t>1.722,60</t>
  </si>
  <si>
    <t>17/03/2026 16:50:51</t>
  </si>
  <si>
    <t>OSNILDO STEIN FILHO</t>
  </si>
  <si>
    <t>6.750,00</t>
  </si>
  <si>
    <t>2.005,00</t>
  </si>
  <si>
    <t>581,45</t>
  </si>
  <si>
    <t>5.000,00</t>
  </si>
  <si>
    <t>17/03/2026 17:13:18</t>
  </si>
  <si>
    <t>18/03/2026</t>
  </si>
  <si>
    <t>3.110,00</t>
  </si>
  <si>
    <t>3.576,50</t>
  </si>
  <si>
    <t>648,00</t>
  </si>
  <si>
    <t>237,82</t>
  </si>
  <si>
    <t>18/03/2026 09:09:22</t>
  </si>
  <si>
    <t>18/03/2026 09:10:59</t>
  </si>
  <si>
    <t>18/03/2026 09:12:32</t>
  </si>
  <si>
    <t>19/03/2026</t>
  </si>
  <si>
    <t>3.956,00</t>
  </si>
  <si>
    <t>658,00</t>
  </si>
  <si>
    <t>256,62</t>
  </si>
  <si>
    <t>600,00</t>
  </si>
  <si>
    <t>19/03/2026 09:53:49</t>
  </si>
  <si>
    <t>RUBINETTOS</t>
  </si>
  <si>
    <t>3.703,00</t>
  </si>
  <si>
    <t>4.258,45</t>
  </si>
  <si>
    <t>476,70</t>
  </si>
  <si>
    <t>300,32</t>
  </si>
  <si>
    <t>700,00</t>
  </si>
  <si>
    <t>23/03/2026 16:30:51</t>
  </si>
  <si>
    <t>20/03/2026 07:37:34</t>
  </si>
  <si>
    <t>20/03/2026</t>
  </si>
  <si>
    <t>12.760,00</t>
  </si>
  <si>
    <t>3.132,00</t>
  </si>
  <si>
    <t>1.149,44</t>
  </si>
  <si>
    <t>10.630,00</t>
  </si>
  <si>
    <t>12.224,50</t>
  </si>
  <si>
    <t>1.685,00</t>
  </si>
  <si>
    <t>876,20</t>
  </si>
  <si>
    <t>20/03/2026 16:44:34</t>
  </si>
  <si>
    <t>3.200,00</t>
  </si>
  <si>
    <t>850,00</t>
  </si>
  <si>
    <t>246,50</t>
  </si>
  <si>
    <t>20/03/2026 16:47:16</t>
  </si>
  <si>
    <t>23/03/2026</t>
  </si>
  <si>
    <t>66.700,00</t>
  </si>
  <si>
    <t>76.705,00</t>
  </si>
  <si>
    <t>10.155,00</t>
  </si>
  <si>
    <t>6.478,90</t>
  </si>
  <si>
    <t>23/03/2026 10:23:17</t>
  </si>
  <si>
    <t>2.280,00</t>
  </si>
  <si>
    <t>520,00</t>
  </si>
  <si>
    <t>169,00</t>
  </si>
  <si>
    <t>23/03/2026 15:30:34</t>
  </si>
  <si>
    <t>9.320,00</t>
  </si>
  <si>
    <t>1.896,00</t>
  </si>
  <si>
    <t>929,04</t>
  </si>
  <si>
    <t>24/03/2026 12:26:58</t>
  </si>
  <si>
    <t>24/03/2026</t>
  </si>
  <si>
    <t>8.860,00</t>
  </si>
  <si>
    <t>10.189,00</t>
  </si>
  <si>
    <t>1.796,50</t>
  </si>
  <si>
    <t>665,39</t>
  </si>
  <si>
    <t>1.430,50</t>
  </si>
  <si>
    <t>24/03/2026 12:14:59</t>
  </si>
  <si>
    <t>47.748,50</t>
  </si>
  <si>
    <t>7.029,15</t>
  </si>
  <si>
    <t>4.428,37</t>
  </si>
  <si>
    <t>1.900,00</t>
  </si>
  <si>
    <t>24/03/2026 14:36:56</t>
  </si>
  <si>
    <t>35.490,00</t>
  </si>
  <si>
    <t>40.813,50</t>
  </si>
  <si>
    <t>7.209,00</t>
  </si>
  <si>
    <t>2.535,80</t>
  </si>
  <si>
    <t>9.000,00</t>
  </si>
  <si>
    <t>24/03/2026 14:36:35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</si>
</sst>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/>
    </dxf>
    <dxf>
      <alignment horizontal="right"/>
    </dxf>
    <dxf>
      <numFmt numFmtId="1" formatCode="0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05" refreshedDate="46072.579625578706" createdVersion="8" refreshedVersion="8" minRefreshableVersion="3" recordCount="1843" xr:uid="{C20799B0-92D4-4884-8DDF-F7AAC3E2DF8A}">
  <cacheSource type="worksheet">
    <worksheetSource ref="A1:AU1048576" sheet="Planilha1"/>
  </cacheSource>
  <cacheFields count="47">
    <cacheField name="Empresa/Filial" numFmtId="0">
      <sharedItems containsBlank="1"/>
    </cacheField>
    <cacheField name="Pedido" numFmtId="0">
      <sharedItems containsString="0" containsBlank="1" containsNumber="1" minValue="0" maxValue="38580" count="204">
        <n v="38394"/>
        <n v="38395"/>
        <n v="0"/>
        <n v="38396"/>
        <n v="38397"/>
        <n v="38398"/>
        <n v="38399"/>
        <n v="38400"/>
        <n v="38401"/>
        <n v="622.75"/>
        <n v="38402"/>
        <n v="38403"/>
        <n v="496.65"/>
        <n v="38404"/>
        <n v="38405"/>
        <n v="38406"/>
        <n v="38407"/>
        <n v="38408"/>
        <n v="38409"/>
        <n v="38410"/>
        <n v="38411"/>
        <n v="38412"/>
        <n v="38413"/>
        <n v="38414"/>
        <n v="3669"/>
        <n v="38415"/>
        <n v="38416"/>
        <n v="38417"/>
        <n v="38418"/>
        <n v="38420"/>
        <n v="38421"/>
        <n v="38422"/>
        <n v="38423"/>
        <n v="38426"/>
        <n v="38427"/>
        <n v="38428"/>
        <n v="38429"/>
        <n v="38430"/>
        <n v="38431"/>
        <n v="207.5"/>
        <n v="38432"/>
        <n v="415"/>
        <n v="38433"/>
        <n v="1164"/>
        <n v="38434"/>
        <n v="38435"/>
        <n v="38436"/>
        <n v="38437"/>
        <n v="1983.5"/>
        <n v="38438"/>
        <n v="38439"/>
        <n v="4892"/>
        <n v="38440"/>
        <n v="38442"/>
        <n v="38443"/>
        <n v="1069.2"/>
        <n v="38444"/>
        <n v="38445"/>
        <n v="38446"/>
        <n v="38447"/>
        <n v="38448"/>
        <n v="38449"/>
        <n v="38450"/>
        <n v="473"/>
        <n v="38451"/>
        <n v="38452"/>
        <n v="38453"/>
        <n v="38454"/>
        <n v="38455"/>
        <n v="525"/>
        <n v="38456"/>
        <n v="38457"/>
        <n v="38459"/>
        <n v="38460"/>
        <n v="512.79999999999995"/>
        <n v="38461"/>
        <n v="38463"/>
        <n v="38464"/>
        <n v="38465"/>
        <n v="466.56"/>
        <n v="38466"/>
        <n v="38469"/>
        <n v="38470"/>
        <n v="38471"/>
        <n v="38472"/>
        <n v="38473"/>
        <n v="38474"/>
        <n v="38475"/>
        <n v="38476"/>
        <n v="38477"/>
        <n v="2713.2"/>
        <n v="38478"/>
        <n v="38479"/>
        <n v="38480"/>
        <n v="1144.5"/>
        <n v="38481"/>
        <n v="38482"/>
        <n v="38483"/>
        <n v="38484"/>
        <n v="38485"/>
        <n v="175"/>
        <n v="38486"/>
        <n v="38487"/>
        <n v="38488"/>
        <n v="666"/>
        <n v="38490"/>
        <n v="38491"/>
        <n v="38492"/>
        <n v="38493"/>
        <n v="38494"/>
        <n v="1290.5999999999999"/>
        <n v="38495"/>
        <n v="38496"/>
        <n v="771"/>
        <n v="38497"/>
        <n v="38498"/>
        <n v="142.19999999999999"/>
        <n v="38499"/>
        <n v="38500"/>
        <n v="38501"/>
        <n v="38503"/>
        <n v="38504"/>
        <n v="38505"/>
        <n v="38506"/>
        <n v="38507"/>
        <n v="1240.83"/>
        <n v="38508"/>
        <n v="38509"/>
        <n v="38510"/>
        <n v="1380"/>
        <n v="38511"/>
        <n v="38512"/>
        <n v="922.55"/>
        <n v="38514"/>
        <n v="38515"/>
        <n v="38516"/>
        <n v="38517"/>
        <n v="38518"/>
        <n v="38519"/>
        <n v="38521"/>
        <n v="38523"/>
        <n v="38524"/>
        <n v="1045"/>
        <n v="38525"/>
        <n v="38526"/>
        <n v="38527"/>
        <n v="38528"/>
        <n v="2102.36"/>
        <n v="38530"/>
        <n v="297.89999999999998"/>
        <n v="38531"/>
        <n v="38532"/>
        <n v="38534"/>
        <n v="68.400000000000006"/>
        <n v="38535"/>
        <n v="38536"/>
        <n v="38537"/>
        <n v="38538"/>
        <n v="38540"/>
        <n v="38542"/>
        <n v="38543"/>
        <n v="38544"/>
        <n v="38545"/>
        <n v="38546"/>
        <n v="38547"/>
        <n v="38548"/>
        <n v="38549"/>
        <n v="6115"/>
        <n v="38550"/>
        <n v="38551"/>
        <n v="103.2"/>
        <n v="38552"/>
        <n v="38553"/>
        <n v="584"/>
        <n v="38554"/>
        <n v="38555"/>
        <n v="6175"/>
        <n v="38556"/>
        <n v="2337"/>
        <n v="38557"/>
        <n v="38559"/>
        <n v="38560"/>
        <n v="38561"/>
        <n v="38562"/>
        <n v="38564"/>
        <n v="38567"/>
        <n v="811"/>
        <n v="38568"/>
        <n v="38569"/>
        <n v="7872"/>
        <n v="38570"/>
        <n v="38571"/>
        <n v="38572"/>
        <n v="38573"/>
        <n v="38574"/>
        <n v="38575"/>
        <n v="38576"/>
        <n v="487.8"/>
        <n v="38577"/>
        <n v="542"/>
        <n v="38578"/>
        <n v="38579"/>
        <n v="38580"/>
        <m/>
      </sharedItems>
    </cacheField>
    <cacheField name="Tipo" numFmtId="0">
      <sharedItems containsBlank="1" containsMixedTypes="1" containsNumber="1" minValue="0" maxValue="5213.1000000000004" count="4">
        <s v="Caixas"/>
        <n v="0"/>
        <n v="5213.1000000000004"/>
        <m/>
      </sharedItems>
    </cacheField>
    <cacheField name="Tipo de pedido" numFmtId="0">
      <sharedItems containsBlank="1" containsMixedTypes="1" containsNumber="1" minValue="0" maxValue="5077.5" count="18">
        <s v="Normal"/>
        <n v="1604.7"/>
        <n v="0"/>
        <n v="86.12"/>
        <n v="550.79999999999995"/>
        <n v="5077.5"/>
        <n v="550.20000000000005"/>
        <n v="468"/>
        <n v="605.4"/>
        <n v="329.6"/>
        <n v="1026"/>
        <n v="571.14"/>
        <n v="1354.6"/>
        <n v="215.4"/>
        <n v="259"/>
        <n v="1041"/>
        <n v="103.95"/>
        <m/>
      </sharedItems>
    </cacheField>
    <cacheField name="Data" numFmtId="0">
      <sharedItems containsDate="1" containsString="0" containsBlank="1" containsMixedTypes="1" minDate="1899-12-31T00:00:00" maxDate="2026-02-20T00:00:00" count="36">
        <d v="2026-01-05T00:00:00"/>
        <d v="1899-12-30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n v="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7T00:00:00"/>
        <d v="2026-02-18T00:00:00"/>
        <d v="2026-02-19T00:00:00"/>
        <m/>
      </sharedItems>
    </cacheField>
    <cacheField name="Cliente" numFmtId="0">
      <sharedItems containsBlank="1" containsMixedTypes="1" containsNumber="1" minValue="0" maxValue="2460"/>
    </cacheField>
    <cacheField name="Cidade" numFmtId="0">
      <sharedItems containsBlank="1" containsMixedTypes="1" containsNumber="1" containsInteger="1" minValue="50" maxValue="25000"/>
    </cacheField>
    <cacheField name="Valor Total" numFmtId="0">
      <sharedItems containsBlank="1" containsMixedTypes="1" containsNumber="1" minValue="225" maxValue="68640"/>
    </cacheField>
    <cacheField name="Valor produto" numFmtId="0">
      <sharedItems containsBlank="1" containsMixedTypes="1" containsNumber="1" minValue="225" maxValue="68640"/>
    </cacheField>
    <cacheField name="Valor Embalagem" numFmtId="0">
      <sharedItems containsBlank="1" containsMixedTypes="1" containsNumber="1" containsInteger="1" minValue="0" maxValue="0"/>
    </cacheField>
    <cacheField name="Valor Com IPI" numFmtId="0">
      <sharedItems containsBlank="1" containsMixedTypes="1" containsNumber="1" minValue="225" maxValue="78936" count="135">
        <n v="30455.45"/>
        <n v="15142.05"/>
        <s v="CAROLINA"/>
        <n v="13793.1"/>
        <n v="3703"/>
        <s v="BETUSA"/>
        <n v="3775.45"/>
        <n v="16556.55"/>
        <n v="2475"/>
        <n v="2258.0300000000002"/>
        <s v="MARIA"/>
        <n v="2335.9899999999998"/>
        <n v="11976"/>
        <n v="7406"/>
        <n v="4810.68"/>
        <n v="4680"/>
        <n v="6444"/>
        <n v="60090"/>
        <n v="17595"/>
        <n v="870"/>
        <n v="13230"/>
        <n v="1932"/>
        <n v="30005.5"/>
        <n v="11330"/>
        <n v="17968"/>
        <n v="5888"/>
        <n v="3363.75"/>
        <n v="1278.5"/>
        <n v="2557"/>
        <n v="7452"/>
        <n v="6760"/>
        <n v="12224.5"/>
        <n v="32487.5"/>
        <n v="9330"/>
        <n v="26484.5"/>
        <n v="16100"/>
        <n v="4140"/>
        <n v="8146"/>
        <n v="4122"/>
        <n v="15024"/>
        <n v="18780"/>
        <n v="22536"/>
        <n v="26292"/>
        <n v="2420.75"/>
        <n v="38352.5"/>
        <n v="1962.5"/>
        <n v="382.95"/>
        <n v="12893.8"/>
        <n v="9384"/>
        <n v="3708"/>
        <n v="8160"/>
        <n v="2575.08"/>
        <n v="5350"/>
        <n v="13130.35"/>
        <n v="6046.7"/>
        <n v="11927.8"/>
        <n v="75704.5"/>
        <n v="4264.2"/>
        <n v="2632.24"/>
        <n v="225"/>
        <n v="9160"/>
        <n v="17137.3"/>
        <n v="1895.2"/>
        <n v="6487.5"/>
        <n v="8712"/>
        <n v="34799"/>
        <n v="6423.9"/>
        <n v="900"/>
        <n v="20626"/>
        <n v="20180"/>
        <n v="8155.8"/>
        <n v="6712.55"/>
        <n v="8706.5"/>
        <n v="2288"/>
        <n v="6941.4"/>
        <s v="RAFAEL"/>
        <n v="3820"/>
        <n v="14056.75"/>
        <n v="3378.2"/>
        <n v="13974.8"/>
        <n v="6067.4"/>
        <n v="16237.79"/>
        <n v="2690"/>
        <n v="25124"/>
        <n v="21056.5"/>
        <n v="11730"/>
        <n v="5033.25"/>
        <n v="1704"/>
        <n v="5640"/>
        <n v="13393.4"/>
        <n v="5572.78"/>
        <n v="7764"/>
        <n v="1597.81"/>
        <n v="3850"/>
        <n v="2489.98"/>
        <n v="6133.79"/>
        <n v="2550.0100000000002"/>
        <n v="4709"/>
        <n v="4623"/>
        <n v="3960"/>
        <n v="15280"/>
        <n v="8100"/>
        <n v="78936"/>
        <n v="13894.3"/>
        <n v="1569"/>
        <n v="12428"/>
        <n v="276"/>
        <n v="8613.5"/>
        <n v="15450"/>
        <n v="4360"/>
        <n v="9320"/>
        <n v="6880"/>
        <n v="3576"/>
        <n v="8050"/>
        <n v="1938.04"/>
        <n v="8798"/>
        <n v="22050"/>
        <n v="3498"/>
        <n v="954"/>
        <n v="8250.1"/>
        <n v="2900"/>
        <n v="7920.05"/>
        <n v="25800"/>
        <n v="18300.5"/>
        <n v="1546.87"/>
        <n v="4703.5"/>
        <n v="17721.5"/>
        <n v="26400"/>
        <n v="6897.24"/>
        <n v="8780"/>
        <n v="2903.18"/>
        <n v="2502"/>
        <n v="2780"/>
        <n v="1526.25"/>
        <m/>
      </sharedItems>
    </cacheField>
    <cacheField name="Total m2" numFmtId="0">
      <sharedItems containsBlank="1" containsMixedTypes="1" containsNumber="1" minValue="68.400000000000006" maxValue="14277"/>
    </cacheField>
    <cacheField name="Kg" numFmtId="0">
      <sharedItems containsString="0" containsBlank="1" containsNumber="1" minValue="19.84" maxValue="46071.651377314818" count="202">
        <n v="1900.38"/>
        <n v="994.91"/>
        <n v="46027.476736111108"/>
        <n v="724.16"/>
        <n v="242.52"/>
        <n v="46028.488078703704"/>
        <n v="218.86"/>
        <n v="1042.99"/>
        <n v="228.55"/>
        <n v="46029.349988425929"/>
        <n v="46029.355856481481"/>
        <n v="182.27"/>
        <n v="46029.364594907405"/>
        <n v="57.47"/>
        <n v="46029.448912037034"/>
        <n v="1072.81"/>
        <n v="426.06"/>
        <n v="232.69"/>
        <n v="257.26"/>
        <n v="341.5"/>
        <n v="46031.342152777775"/>
        <n v="4774.62"/>
        <n v="1361.88"/>
        <n v="55.93"/>
        <n v="46034.353900462964"/>
        <n v="1346.52"/>
        <n v="46031.577048611114"/>
        <n v="150.15"/>
        <n v="2397.73"/>
        <n v="903.34"/>
        <n v="1474.99"/>
        <n v="384.71"/>
        <n v="230.95"/>
        <n v="92.13"/>
        <n v="46035.491793981484"/>
        <n v="184.26"/>
        <n v="46035.490428240744"/>
        <n v="488.88"/>
        <n v="46035.629131944443"/>
        <n v="680.8"/>
        <n v="876.2"/>
        <n v="2216.1799999999998"/>
        <n v="667.84"/>
        <n v="46037.328819444447"/>
        <n v="1902.72"/>
        <n v="2141.16"/>
        <n v="46037.491076388891"/>
        <n v="272.18"/>
        <n v="736.75"/>
        <n v="310.07"/>
        <n v="46037.664467592593"/>
        <n v="1307.3499999999999"/>
        <n v="1634.19"/>
        <n v="1961.03"/>
        <n v="2287.87"/>
        <n v="173.59"/>
        <n v="46041.431597222225"/>
        <n v="3148.05"/>
        <n v="46038.656400462962"/>
        <n v="46038.658368055556"/>
        <n v="46038.659675925926"/>
        <n v="46038.661157407405"/>
        <n v="152.25"/>
        <n v="46041.456805555557"/>
        <n v="46041.456990740742"/>
        <n v="29.19"/>
        <n v="778.99"/>
        <n v="46041.456666666665"/>
        <n v="655.93"/>
        <n v="324.86"/>
        <n v="609.30999999999995"/>
        <n v="171.23"/>
        <n v="46042.694409722222"/>
        <n v="2310.08"/>
        <n v="46043.400405092594"/>
        <n v="1056.05"/>
        <n v="382.6"/>
        <n v="46044.665081018517"/>
        <n v="711.5"/>
        <n v="4687.45"/>
        <n v="345.7"/>
        <n v="217.92"/>
        <n v="23.93"/>
        <n v="925.75"/>
        <n v="1095.97"/>
        <n v="46048.487233796295"/>
        <n v="147.55000000000001"/>
        <n v="420.03"/>
        <n v="46049.55667824074"/>
        <n v="760.84"/>
        <n v="2531.64"/>
        <n v="330.12"/>
        <n v="46050.412604166668"/>
        <n v="50.75"/>
        <n v="46050.464699074073"/>
        <n v="69.89"/>
        <n v="1548.3"/>
        <n v="46050.45449074074"/>
        <n v="1495"/>
        <n v="46050.460289351853"/>
        <n v="386.25"/>
        <n v="46051.318055555559"/>
        <n v="476.44"/>
        <n v="748.7"/>
        <n v="210.28"/>
        <n v="46051.468425925923"/>
        <n v="419.45"/>
        <n v="46051.603935185187"/>
        <n v="303.3"/>
        <n v="954.78"/>
        <n v="46052.339131944442"/>
        <n v="328.41"/>
        <n v="46051.687615740739"/>
        <n v="921.11"/>
        <n v="46051.691655092596"/>
        <n v="401.54"/>
        <n v="1046.56"/>
        <n v="216.28"/>
        <n v="2335.15"/>
        <n v="46052.518252314818"/>
        <n v="1624.73"/>
        <n v="907.92"/>
        <n v="364.15"/>
        <n v="46056.375428240739"/>
        <n v="128.16"/>
        <n v="46056.394178240742"/>
        <n v="46056.411585648151"/>
        <n v="448.5"/>
        <n v="46056.637974537036"/>
        <n v="1149.23"/>
        <n v="295.60000000000002"/>
        <n v="46056.636597222219"/>
        <n v="653.74"/>
        <n v="46057.402233796296"/>
        <n v="112.29"/>
        <n v="319.3"/>
        <n v="157.19999999999999"/>
        <n v="351.59"/>
        <n v="175.93"/>
        <n v="377.91"/>
        <n v="212.28"/>
        <n v="303.05"/>
        <n v="46057.728310185186"/>
        <n v="1543.3"/>
        <n v="700.52"/>
        <n v="5021.04"/>
        <n v="897.31"/>
        <n v="46059.583055555559"/>
        <n v="96.82"/>
        <n v="46059.62740740741"/>
        <n v="46062.387812499997"/>
        <n v="790.23"/>
        <n v="46062.607604166667"/>
        <n v="19.84"/>
        <n v="46062.663541666669"/>
        <n v="499.74"/>
        <n v="1367.7"/>
        <n v="358.8"/>
        <n v="929.04"/>
        <n v="513.59"/>
        <n v="302.3"/>
        <n v="655.83"/>
        <n v="46064.596574074072"/>
        <n v="150.9"/>
        <n v="702.79"/>
        <n v="2244.21"/>
        <n v="46064.595590277779"/>
        <n v="314.64"/>
        <n v="40.25"/>
        <n v="46070.542164351849"/>
        <n v="591.17999999999995"/>
        <n v="189.8"/>
        <n v="46065.756863425922"/>
        <n v="487.37"/>
        <n v="1790.75"/>
        <n v="46065.630567129629"/>
        <n v="1646.07"/>
        <n v="46065.630694444444"/>
        <n v="46065.630914351852"/>
        <n v="3239.45"/>
        <n v="46066.471296296295"/>
        <n v="46066.472291666665"/>
        <n v="46066.473506944443"/>
        <n v="46066.474687499998"/>
        <n v="77.75"/>
        <n v="46070.327094907407"/>
        <n v="296.02"/>
        <n v="46071.383715277778"/>
        <n v="1103.79"/>
        <n v="2558.4"/>
        <n v="46071.417233796295"/>
        <n v="457.97"/>
        <n v="46071.450416666667"/>
        <n v="711.75"/>
        <n v="194.98"/>
        <n v="190.24"/>
        <n v="46071.650509259256"/>
        <n v="211.38"/>
        <n v="46071.651377314818"/>
        <n v="130.04"/>
        <n v="659.24"/>
        <m/>
      </sharedItems>
    </cacheField>
    <cacheField name="Nome representante" numFmtId="0">
      <sharedItems containsBlank="1"/>
    </cacheField>
    <cacheField name="Efetivado" numFmtId="0">
      <sharedItems containsBlank="1"/>
    </cacheField>
    <cacheField name="Análise coml" numFmtId="0">
      <sharedItems containsBlank="1"/>
    </cacheField>
    <cacheField name="Análise PCP" numFmtId="0">
      <sharedItems containsBlank="1"/>
    </cacheField>
    <cacheField name="Análise compra" numFmtId="0">
      <sharedItems containsBlank="1" containsMixedTypes="1" containsNumber="1" containsInteger="1" minValue="0" maxValue="0"/>
    </cacheField>
    <cacheField name="Genérico" numFmtId="0">
      <sharedItems containsBlank="1"/>
    </cacheField>
    <cacheField name="Ped.Imp.Orç" numFmtId="0">
      <sharedItems containsBlank="1"/>
    </cacheField>
    <cacheField name="Rep" numFmtId="0">
      <sharedItems containsBlank="1" containsMixedTypes="1" containsNumber="1" containsInteger="1" minValue="9" maxValue="167"/>
    </cacheField>
    <cacheField name="Tele-venda" numFmtId="0">
      <sharedItems containsBlank="1" containsMixedTypes="1" containsNumber="1" containsInteger="1" minValue="139" maxValue="8858"/>
    </cacheField>
    <cacheField name="Condição pagamento" numFmtId="0">
      <sharedItems containsBlank="1" containsMixedTypes="1" containsNumber="1" containsInteger="1" minValue="0" maxValue="0"/>
    </cacheField>
    <cacheField name="Transf.ICMS" numFmtId="0">
      <sharedItems containsString="0" containsBlank="1" containsNumber="1" containsInteger="1" minValue="0" maxValue="0"/>
    </cacheField>
    <cacheField name="Motivo não liberação financ" numFmtId="0">
      <sharedItems containsBlank="1"/>
    </cacheField>
    <cacheField name="M2 onda B" numFmtId="0">
      <sharedItems containsString="0" containsBlank="1" containsNumber="1" minValue="0" maxValue="14277"/>
    </cacheField>
    <cacheField name="M2 onda C" numFmtId="0">
      <sharedItems containsString="0" containsBlank="1" containsNumber="1" minValue="0" maxValue="1033.5"/>
    </cacheField>
    <cacheField name="M2 onda BC" numFmtId="0">
      <sharedItems containsString="0" containsBlank="1" containsNumber="1" minValue="0" maxValue="7701"/>
    </cacheField>
    <cacheField name="M2 onda E" numFmtId="0">
      <sharedItems containsString="0" containsBlank="1" containsNumber="1" containsInteger="1" minValue="0" maxValue="0"/>
    </cacheField>
    <cacheField name="M2 outros" numFmtId="0">
      <sharedItems containsString="0" containsBlank="1" containsNumber="1" minValue="0" maxValue="9613"/>
    </cacheField>
    <cacheField name="Quant. total" numFmtId="0">
      <sharedItems containsString="0" containsBlank="1" containsNumber="1" containsInteger="1" minValue="40" maxValue="25000"/>
    </cacheField>
    <cacheField name="Enviado mail" numFmtId="0">
      <sharedItems containsBlank="1"/>
    </cacheField>
    <cacheField name="Frete" numFmtId="0">
      <sharedItems containsBlank="1"/>
    </cacheField>
    <cacheField name="Cidade entrega" numFmtId="0">
      <sharedItems containsBlank="1"/>
    </cacheField>
    <cacheField name="Registrado por" numFmtId="0">
      <sharedItems containsBlank="1"/>
    </cacheField>
    <cacheField name="Efetivado por" numFmtId="0">
      <sharedItems containsBlank="1"/>
    </cacheField>
    <cacheField name="Dt/hr efetivação" numFmtId="0">
      <sharedItems containsNonDate="0" containsDate="1" containsString="0" containsBlank="1" minDate="2026-01-05T10:31:41" maxDate="2026-02-19T09:48:10"/>
    </cacheField>
    <cacheField name="Análise coml por" numFmtId="0">
      <sharedItems containsNonDate="0" containsString="0" containsBlank="1"/>
    </cacheField>
    <cacheField name="Dt/hr análise coml" numFmtId="0">
      <sharedItems containsNonDate="0" containsString="0" containsBlank="1"/>
    </cacheField>
    <cacheField name="Classif. pedido" numFmtId="0">
      <sharedItems containsNonDate="0" containsString="0" containsBlank="1"/>
    </cacheField>
    <cacheField name="Cons. final" numFmtId="0">
      <sharedItems containsBlank="1"/>
    </cacheField>
    <cacheField name="Número Ped. Rep." numFmtId="0">
      <sharedItems containsString="0" containsBlank="1" containsNumber="1" containsInteger="1" minValue="0" maxValue="0"/>
    </cacheField>
    <cacheField name="Número ped. preposto" numFmtId="0">
      <sharedItems containsNonDate="0" containsString="0" containsBlank="1"/>
    </cacheField>
    <cacheField name="Cancelado" numFmtId="0">
      <sharedItems containsBlank="1"/>
    </cacheField>
    <cacheField name="Bloq carreg/fat" numFmtId="0">
      <sharedItems containsBlank="1"/>
    </cacheField>
    <cacheField name="Cód. cliente" numFmtId="0">
      <sharedItems containsString="0" containsBlank="1" containsNumber="1" containsInteger="1" minValue="161" maxValue="8600"/>
    </cacheField>
    <cacheField name="Ped.Imp.Web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3">
  <r>
    <s v="ONDA DO VALE"/>
    <x v="0"/>
    <x v="0"/>
    <x v="0"/>
    <x v="0"/>
    <s v="MERCOFAR-FITAM"/>
    <s v="BIGUACU"/>
    <n v="26483"/>
    <n v="26483"/>
    <n v="0"/>
    <x v="0"/>
    <n v="3792.3"/>
    <x v="0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3792.3"/>
    <n v="0"/>
    <n v="0"/>
    <n v="0"/>
    <n v="0"/>
    <n v="1600"/>
    <s v="False"/>
    <s v="CIF"/>
    <m/>
    <s v="CAROLINA"/>
    <s v="CAROLINA"/>
    <d v="2026-01-05T10:31:41"/>
    <m/>
    <m/>
    <m/>
    <s v="False"/>
    <n v="0"/>
    <m/>
    <s v="False"/>
    <s v="False"/>
    <n v="6611"/>
    <s v="N"/>
  </r>
  <r>
    <s v="ONDA DO VALE"/>
    <x v="1"/>
    <x v="0"/>
    <x v="0"/>
    <x v="0"/>
    <s v="SC PEÇAS EIRELI"/>
    <s v="BIGUACU"/>
    <n v="13167"/>
    <n v="13167"/>
    <n v="0"/>
    <x v="1"/>
    <n v="1604.7"/>
    <x v="1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"/>
    <x v="1"/>
    <n v="0"/>
    <n v="1600"/>
    <s v="False"/>
    <s v="CIF"/>
    <s v="SC BIGUACU"/>
    <x v="2"/>
    <s v="CAROLINA"/>
    <x v="2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3"/>
    <x v="0"/>
    <x v="0"/>
    <x v="0"/>
    <s v="BIMG - METVISA"/>
    <s v="BRUSQUE"/>
    <n v="11994"/>
    <n v="11994"/>
    <n v="0"/>
    <x v="3"/>
    <n v="1168"/>
    <x v="3"/>
    <s v="CAROLINA XAVIER"/>
    <s v="True"/>
    <s v="True"/>
    <s v="True"/>
    <s v="False"/>
    <s v="False"/>
    <s v="N"/>
    <n v="126"/>
    <s v="CAROL"/>
    <s v="15 DD"/>
    <n v="0"/>
    <s v="Data vallida do limite de crédito já passou."/>
    <n v="0"/>
    <n v="0"/>
    <n v="1168"/>
    <n v="0"/>
    <n v="0"/>
    <n v="400"/>
    <s v="False"/>
    <s v="CIF"/>
    <m/>
    <s v="CAROLINA"/>
    <s v="CAROLINA"/>
    <d v="2026-01-05T15:02:54"/>
    <m/>
    <m/>
    <m/>
    <s v="False"/>
    <n v="0"/>
    <m/>
    <s v="False"/>
    <s v="False"/>
    <n v="1269"/>
    <s v="N"/>
  </r>
  <r>
    <s v="ONDA DO VALE"/>
    <x v="4"/>
    <x v="0"/>
    <x v="0"/>
    <x v="2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5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"/>
    <x v="0"/>
    <x v="0"/>
    <x v="2"/>
    <s v="INPLAC"/>
    <s v="BIGUACU"/>
    <n v="3283"/>
    <n v="3283"/>
    <n v="0"/>
    <x v="6"/>
    <n v="353"/>
    <x v="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353"/>
    <n v="0"/>
    <n v="0"/>
    <n v="200"/>
    <s v="False"/>
    <s v="CIF"/>
    <m/>
    <s v="BETUSA"/>
    <s v="BETUSA"/>
    <d v="2026-01-22T16:57:49"/>
    <m/>
    <m/>
    <m/>
    <s v="False"/>
    <n v="0"/>
    <m/>
    <s v="False"/>
    <s v="False"/>
    <n v="8469"/>
    <s v="N"/>
  </r>
  <r>
    <s v="ONDA DO VALE"/>
    <x v="6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0:08"/>
    <m/>
    <m/>
    <m/>
    <s v="False"/>
    <n v="0"/>
    <m/>
    <s v="False"/>
    <s v="False"/>
    <n v="3870"/>
    <s v="N"/>
  </r>
  <r>
    <s v="ONDA DO VALE"/>
    <x v="7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2:41"/>
    <m/>
    <m/>
    <m/>
    <s v="False"/>
    <n v="0"/>
    <m/>
    <s v="False"/>
    <s v="False"/>
    <n v="3870"/>
    <s v="N"/>
  </r>
  <r>
    <s v="FORTE EMBALAGENS"/>
    <x v="8"/>
    <x v="0"/>
    <x v="0"/>
    <x v="3"/>
    <s v="JORANI "/>
    <s v="RIO DOS CEDROS"/>
    <n v="2475"/>
    <n v="2475"/>
    <n v="0"/>
    <x v="8"/>
    <n v="622.75"/>
    <x v="8"/>
    <s v="DIRETA"/>
    <s v="True"/>
    <s v="True"/>
    <s v="True"/>
    <s v="False"/>
    <s v="False"/>
    <s v="N"/>
    <n v="9"/>
    <s v="TELEVENDAS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9"/>
    <m/>
    <m/>
    <m/>
    <s v="False"/>
    <n v="0"/>
    <m/>
    <s v="False"/>
    <s v="False"/>
    <n v="215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0"/>
    <x v="0"/>
    <x v="0"/>
    <x v="3"/>
    <s v="JORANI - PLASGARDEN "/>
    <s v="INDAIAL"/>
    <n v="2475"/>
    <n v="2475"/>
    <n v="0"/>
    <x v="8"/>
    <n v="622.75"/>
    <x v="8"/>
    <s v="DIRETA"/>
    <s v="True"/>
    <s v="True"/>
    <s v="True"/>
    <s v="False"/>
    <s v="False"/>
    <s v="N"/>
    <n v="9"/>
    <m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10"/>
    <m/>
    <m/>
    <m/>
    <s v="False"/>
    <n v="0"/>
    <m/>
    <s v="False"/>
    <s v="False"/>
    <n v="525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"/>
    <x v="0"/>
    <x v="0"/>
    <x v="3"/>
    <s v="AMANCO - MEXICHEM"/>
    <s v="JOINVILLE"/>
    <n v="1963.5"/>
    <n v="1963.5"/>
    <n v="0"/>
    <x v="9"/>
    <n v="496.65"/>
    <x v="11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"/>
    <x v="1"/>
    <x v="2"/>
    <x v="1"/>
    <n v="0"/>
    <n v="550"/>
    <s v="False"/>
    <s v="Terceiros"/>
    <m/>
    <x v="10"/>
    <s v="MARIA"/>
    <x v="12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"/>
    <x v="0"/>
    <x v="0"/>
    <x v="3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1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MDN "/>
    <x v="14"/>
    <x v="0"/>
    <x v="0"/>
    <x v="3"/>
    <s v="COLIBRI "/>
    <s v="BLUMENAU"/>
    <n v="11976"/>
    <n v="11976"/>
    <n v="0"/>
    <x v="12"/>
    <n v="2923.2"/>
    <x v="15"/>
    <s v="PAULO ROBERTO DA SILVA"/>
    <s v="True"/>
    <s v="True"/>
    <s v="True"/>
    <s v="False"/>
    <s v="False"/>
    <s v="N"/>
    <n v="167"/>
    <s v="PAULO"/>
    <s v="25 35 45 DD"/>
    <n v="0"/>
    <s v="Data vallida do limite de crédito já passou."/>
    <n v="2923.2"/>
    <n v="0"/>
    <n v="0"/>
    <n v="0"/>
    <n v="0"/>
    <n v="2400"/>
    <s v="False"/>
    <s v="CIF"/>
    <m/>
    <s v="BETUSA"/>
    <s v="BETUSA"/>
    <d v="2026-01-07T11:11:43"/>
    <m/>
    <m/>
    <m/>
    <s v="False"/>
    <n v="0"/>
    <m/>
    <s v="False"/>
    <s v="False"/>
    <n v="2778"/>
    <s v="N"/>
  </r>
  <r>
    <s v="ONDA DO VALE"/>
    <x v="15"/>
    <x v="0"/>
    <x v="0"/>
    <x v="3"/>
    <s v="SCHWANKE"/>
    <s v="BLUMENAU"/>
    <n v="6440"/>
    <n v="6440"/>
    <n v="0"/>
    <x v="13"/>
    <n v="1150"/>
    <x v="16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150"/>
    <n v="0"/>
    <n v="0"/>
    <n v="0"/>
    <n v="0"/>
    <n v="2000"/>
    <s v="False"/>
    <s v="CIF"/>
    <s v="SC PENHA"/>
    <s v="MARIA"/>
    <s v="MARIA"/>
    <d v="2026-01-07T11:23:23"/>
    <m/>
    <m/>
    <m/>
    <s v="False"/>
    <n v="0"/>
    <m/>
    <s v="False"/>
    <s v="False"/>
    <n v="161"/>
    <s v="N"/>
  </r>
  <r>
    <s v="ONDA DO VALE"/>
    <x v="16"/>
    <x v="0"/>
    <x v="0"/>
    <x v="3"/>
    <s v="MERCOFAR-FITAM"/>
    <s v="BIGUACU"/>
    <n v="4183.2"/>
    <n v="4183.2"/>
    <n v="0"/>
    <x v="14"/>
    <n v="596.64"/>
    <x v="17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96.64"/>
    <n v="0"/>
    <n v="0"/>
    <n v="0"/>
    <n v="0"/>
    <n v="240"/>
    <s v="False"/>
    <s v="CIF"/>
    <m/>
    <s v="CAROLINA"/>
    <s v="CAROLINA"/>
    <d v="2026-01-07T15:05:57"/>
    <m/>
    <m/>
    <m/>
    <s v="False"/>
    <n v="0"/>
    <m/>
    <s v="False"/>
    <s v="False"/>
    <n v="6611"/>
    <s v="N"/>
  </r>
  <r>
    <s v="FORTE EMBALAGENS"/>
    <x v="17"/>
    <x v="0"/>
    <x v="0"/>
    <x v="4"/>
    <s v="STI COMPUTADORES "/>
    <s v="JOINVILLE"/>
    <n v="4680"/>
    <n v="4680"/>
    <n v="0"/>
    <x v="15"/>
    <n v="674"/>
    <x v="1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674"/>
    <n v="0"/>
    <n v="0"/>
    <n v="0"/>
    <n v="0"/>
    <n v="1200"/>
    <s v="False"/>
    <s v="CIF"/>
    <m/>
    <s v="BETUSA"/>
    <s v="BETUSA"/>
    <d v="2026-01-08T11:09:22"/>
    <m/>
    <m/>
    <m/>
    <s v="False"/>
    <n v="0"/>
    <m/>
    <s v="False"/>
    <s v="False"/>
    <n v="7057"/>
    <s v="N"/>
  </r>
  <r>
    <s v="FORTE EMBALAGENS"/>
    <x v="18"/>
    <x v="0"/>
    <x v="0"/>
    <x v="4"/>
    <s v="CRISTAL BLUMENAU"/>
    <s v="BLUMENAU"/>
    <n v="6444"/>
    <n v="6444"/>
    <n v="0"/>
    <x v="16"/>
    <n v="550.79999999999995"/>
    <x v="19"/>
    <s v="AMANDA DE OLIVEIRA VIANA"/>
    <s v="True"/>
    <s v="True"/>
    <s v="True"/>
    <s v="False"/>
    <s v="False"/>
    <s v="N"/>
    <n v="145"/>
    <m/>
    <s v="14 21 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4"/>
    <x v="1"/>
    <n v="0"/>
    <n v="400"/>
    <s v="False"/>
    <s v="CIF"/>
    <m/>
    <x v="5"/>
    <s v="BETUSA"/>
    <x v="20"/>
    <m/>
    <m/>
    <m/>
    <s v="False"/>
    <n v="0"/>
    <m/>
    <s v="False"/>
    <s v="False"/>
    <n v="863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"/>
    <x v="0"/>
    <x v="0"/>
    <x v="4"/>
    <s v="LEAL"/>
    <s v="NAVEGANTES"/>
    <n v="60090"/>
    <n v="60090"/>
    <n v="0"/>
    <x v="17"/>
    <n v="7701"/>
    <x v="21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7701"/>
    <n v="0"/>
    <n v="0"/>
    <n v="9000"/>
    <s v="False"/>
    <s v="CIF"/>
    <m/>
    <s v="MARIA"/>
    <s v="MARIA"/>
    <d v="2026-01-08T16:00:29"/>
    <m/>
    <m/>
    <m/>
    <s v="False"/>
    <n v="0"/>
    <m/>
    <s v="False"/>
    <s v="False"/>
    <n v="3124"/>
    <s v="N"/>
  </r>
  <r>
    <s v="ONDA DO VALE"/>
    <x v="20"/>
    <x v="0"/>
    <x v="0"/>
    <x v="4"/>
    <s v="DISTRIBUIDORA MULLER"/>
    <s v="ITAJAI"/>
    <n v="15300"/>
    <n v="15300"/>
    <n v="0"/>
    <x v="18"/>
    <n v="3492"/>
    <x v="22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3492"/>
    <n v="0"/>
    <n v="0"/>
    <n v="0"/>
    <n v="0"/>
    <n v="3000"/>
    <s v="False"/>
    <s v="CIF"/>
    <m/>
    <s v="CAROLINA"/>
    <s v="CAROLINA"/>
    <d v="2026-01-08T22:23:45"/>
    <m/>
    <m/>
    <m/>
    <s v="False"/>
    <n v="0"/>
    <m/>
    <s v="False"/>
    <s v="False"/>
    <n v="1877"/>
    <s v="N"/>
  </r>
  <r>
    <s v="ONDA DO VALE"/>
    <x v="21"/>
    <x v="0"/>
    <x v="0"/>
    <x v="4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A VISTA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1-08T23:59:53"/>
    <m/>
    <m/>
    <m/>
    <s v="False"/>
    <n v="0"/>
    <m/>
    <s v="False"/>
    <s v="False"/>
    <n v="4089"/>
    <s v="N"/>
  </r>
  <r>
    <s v="ONDA DO VALE"/>
    <x v="22"/>
    <x v="0"/>
    <x v="0"/>
    <x v="5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2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23"/>
    <x v="0"/>
    <x v="0"/>
    <x v="5"/>
    <s v="BIFIT INDUSTRIA  DISTRIBUIDORA"/>
    <s v="BRUSQUE"/>
    <n v="13230"/>
    <n v="13230"/>
    <n v="0"/>
    <x v="20"/>
    <n v="3669"/>
    <x v="2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4"/>
    <x v="1"/>
    <x v="2"/>
    <x v="1"/>
    <n v="0"/>
    <n v="3000"/>
    <s v="False"/>
    <s v="CIF"/>
    <m/>
    <x v="5"/>
    <s v="BETUSA"/>
    <x v="2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25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12"/>
    <m/>
    <m/>
    <m/>
    <s v="False"/>
    <n v="0"/>
    <m/>
    <s v="False"/>
    <s v="False"/>
    <n v="4900"/>
    <s v="N"/>
  </r>
  <r>
    <s v="ONDA DO VALE"/>
    <x v="26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31"/>
    <m/>
    <m/>
    <m/>
    <s v="False"/>
    <n v="0"/>
    <m/>
    <s v="False"/>
    <s v="False"/>
    <n v="4900"/>
    <s v="N"/>
  </r>
  <r>
    <s v="MDN "/>
    <x v="27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5:28"/>
    <m/>
    <m/>
    <m/>
    <s v="False"/>
    <n v="0"/>
    <m/>
    <s v="False"/>
    <s v="False"/>
    <n v="6081"/>
    <s v="N"/>
  </r>
  <r>
    <s v="MDN "/>
    <x v="28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7:22"/>
    <m/>
    <m/>
    <m/>
    <s v="False"/>
    <n v="0"/>
    <m/>
    <s v="False"/>
    <s v="False"/>
    <n v="6081"/>
    <s v="N"/>
  </r>
  <r>
    <s v="MDN "/>
    <x v="29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7:45"/>
    <m/>
    <m/>
    <m/>
    <s v="False"/>
    <n v="0"/>
    <m/>
    <s v="False"/>
    <s v="False"/>
    <n v="6081"/>
    <s v="N"/>
  </r>
  <r>
    <s v="MDN "/>
    <x v="30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02"/>
    <m/>
    <m/>
    <m/>
    <s v="False"/>
    <n v="0"/>
    <m/>
    <s v="False"/>
    <s v="False"/>
    <n v="6081"/>
    <s v="N"/>
  </r>
  <r>
    <s v="MDN "/>
    <x v="31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30"/>
    <m/>
    <m/>
    <m/>
    <s v="False"/>
    <n v="0"/>
    <m/>
    <s v="False"/>
    <s v="False"/>
    <n v="6081"/>
    <s v="N"/>
  </r>
  <r>
    <s v="MDN "/>
    <x v="32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15"/>
    <m/>
    <m/>
    <m/>
    <s v="False"/>
    <n v="0"/>
    <m/>
    <s v="False"/>
    <s v="False"/>
    <n v="6081"/>
    <s v="N"/>
  </r>
  <r>
    <s v="ONDA DO VALE"/>
    <x v="33"/>
    <x v="0"/>
    <x v="0"/>
    <x v="5"/>
    <s v="MENTU S"/>
    <s v="SAO JOSE"/>
    <n v="11330"/>
    <n v="11330"/>
    <n v="0"/>
    <x v="23"/>
    <n v="1922"/>
    <x v="2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1922"/>
    <n v="2000"/>
    <s v="False"/>
    <s v="CIF"/>
    <m/>
    <s v="CAROLINA"/>
    <s v="CAROLINA"/>
    <d v="2026-01-09T16:10:35"/>
    <m/>
    <m/>
    <m/>
    <s v="False"/>
    <n v="0"/>
    <m/>
    <s v="False"/>
    <s v="False"/>
    <n v="8466"/>
    <s v="N"/>
  </r>
  <r>
    <s v="MDN "/>
    <x v="34"/>
    <x v="0"/>
    <x v="0"/>
    <x v="6"/>
    <s v="GRUPAR AUTOPECAS"/>
    <s v="BRUSQUE"/>
    <n v="17968"/>
    <n v="17968"/>
    <n v="0"/>
    <x v="24"/>
    <n v="2654.4"/>
    <x v="3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0"/>
    <n v="0"/>
    <n v="1524.8"/>
    <n v="0"/>
    <n v="1129.5999999999999"/>
    <n v="1000"/>
    <s v="False"/>
    <s v="CIF"/>
    <m/>
    <s v="CAROLINA"/>
    <s v="BETUSA"/>
    <d v="2026-01-12T15:26:09"/>
    <m/>
    <m/>
    <m/>
    <s v="False"/>
    <n v="0"/>
    <m/>
    <s v="False"/>
    <s v="False"/>
    <n v="5443"/>
    <s v="N"/>
  </r>
  <r>
    <s v="ONDA DO VALE"/>
    <x v="35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18"/>
    <m/>
    <m/>
    <m/>
    <s v="False"/>
    <n v="0"/>
    <m/>
    <s v="False"/>
    <s v="False"/>
    <n v="3204"/>
    <s v="N"/>
  </r>
  <r>
    <s v="ONDA DO VALE"/>
    <x v="36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23"/>
    <m/>
    <m/>
    <m/>
    <s v="False"/>
    <n v="0"/>
    <m/>
    <s v="False"/>
    <s v="False"/>
    <n v="3204"/>
    <s v="N"/>
  </r>
  <r>
    <s v="ONDA DO VALE"/>
    <x v="37"/>
    <x v="0"/>
    <x v="0"/>
    <x v="7"/>
    <s v="CARIBOR"/>
    <s v="JOINVILLE"/>
    <n v="2925"/>
    <n v="2925"/>
    <n v="0"/>
    <x v="26"/>
    <n v="372.5"/>
    <x v="3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372.5"/>
    <n v="0"/>
    <n v="0"/>
    <n v="500"/>
    <s v="False"/>
    <s v="CIF"/>
    <m/>
    <s v="BETUSA"/>
    <s v="BETUSA"/>
    <d v="2026-01-13T11:03:12"/>
    <m/>
    <m/>
    <m/>
    <s v="False"/>
    <n v="0"/>
    <m/>
    <s v="False"/>
    <s v="False"/>
    <n v="3204"/>
    <s v="N"/>
  </r>
  <r>
    <s v="MDN "/>
    <x v="38"/>
    <x v="0"/>
    <x v="0"/>
    <x v="7"/>
    <s v="ARTESANATO GRAVATA"/>
    <s v="NAVEGANTES"/>
    <n v="1278.5"/>
    <n v="1278.5"/>
    <n v="0"/>
    <x v="27"/>
    <n v="207.5"/>
    <x v="33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39"/>
    <x v="1"/>
    <x v="2"/>
    <x v="1"/>
    <n v="0"/>
    <n v="50"/>
    <s v="False"/>
    <s v="CIF"/>
    <s v="SC NAVEGANTES"/>
    <x v="5"/>
    <s v="BETUSA"/>
    <x v="34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MDN "/>
    <x v="40"/>
    <x v="0"/>
    <x v="0"/>
    <x v="7"/>
    <s v="ARTESANATO GRAVATA"/>
    <s v="NAVEGANTES"/>
    <n v="2557"/>
    <n v="2557"/>
    <n v="0"/>
    <x v="28"/>
    <n v="415"/>
    <x v="35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1"/>
    <x v="1"/>
    <x v="2"/>
    <x v="1"/>
    <n v="0"/>
    <n v="100"/>
    <s v="False"/>
    <s v="CIF"/>
    <s v="SC NAVEGANTES"/>
    <x v="5"/>
    <s v="BETUSA"/>
    <x v="36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2"/>
    <x v="0"/>
    <x v="0"/>
    <x v="7"/>
    <s v="INECEL"/>
    <s v="GUARAMIRIM"/>
    <n v="6480"/>
    <n v="6480"/>
    <n v="0"/>
    <x v="29"/>
    <n v="1164"/>
    <x v="37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3"/>
    <x v="1"/>
    <x v="2"/>
    <x v="1"/>
    <n v="0"/>
    <n v="1000"/>
    <s v="False"/>
    <s v="CIF"/>
    <m/>
    <x v="5"/>
    <s v="BETUSA"/>
    <x v="38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44"/>
    <x v="0"/>
    <x v="0"/>
    <x v="7"/>
    <s v="FASHIONING"/>
    <s v="INDAIAL"/>
    <n v="6760"/>
    <n v="6760"/>
    <n v="0"/>
    <x v="30"/>
    <n v="1184"/>
    <x v="39"/>
    <s v="RD LITORAL REPRESENTACOES LTDA"/>
    <s v="True"/>
    <s v="True"/>
    <s v="True"/>
    <s v="False"/>
    <s v="False"/>
    <s v="N"/>
    <n v="83"/>
    <s v="CAROL"/>
    <n v="0"/>
    <n v="0"/>
    <s v="Data vallida do limite de crédito já passou."/>
    <n v="0"/>
    <n v="0"/>
    <n v="1184"/>
    <n v="0"/>
    <n v="0"/>
    <n v="2000"/>
    <s v="False"/>
    <s v="CIF"/>
    <m/>
    <s v="RAFAEL"/>
    <s v="BETUSA"/>
    <d v="2026-01-13T17:22:45"/>
    <m/>
    <m/>
    <m/>
    <s v="False"/>
    <n v="0"/>
    <m/>
    <s v="False"/>
    <s v="False"/>
    <n v="5289"/>
    <s v="N"/>
  </r>
  <r>
    <s v="ONDA DO VALE"/>
    <x v="45"/>
    <x v="0"/>
    <x v="0"/>
    <x v="7"/>
    <s v="ENVAZZE"/>
    <s v="JOINVILLE"/>
    <n v="10630"/>
    <n v="10630"/>
    <n v="0"/>
    <x v="31"/>
    <n v="1685"/>
    <x v="40"/>
    <s v="CAROLINA XAVIER"/>
    <s v="True"/>
    <s v="True"/>
    <s v="True"/>
    <s v="False"/>
    <s v="False"/>
    <s v="N"/>
    <n v="126"/>
    <s v="CAROL"/>
    <s v="30 60 DD"/>
    <n v="0"/>
    <s v="Data vallida do limite de crédito já passou."/>
    <n v="0"/>
    <n v="0"/>
    <n v="0"/>
    <n v="0"/>
    <n v="1685"/>
    <n v="1000"/>
    <s v="False"/>
    <s v="CIF"/>
    <m/>
    <s v="CAROLINA"/>
    <s v="CAROLINA"/>
    <d v="2026-01-13T20:41:09"/>
    <m/>
    <m/>
    <m/>
    <s v="False"/>
    <n v="0"/>
    <m/>
    <s v="False"/>
    <s v="False"/>
    <n v="6130"/>
    <s v="N"/>
  </r>
  <r>
    <s v="ONDA DO VALE"/>
    <x v="46"/>
    <x v="0"/>
    <x v="0"/>
    <x v="8"/>
    <s v="MERCOFAR-FITAM"/>
    <s v="BIGUACU"/>
    <n v="28250"/>
    <n v="28250"/>
    <n v="0"/>
    <x v="32"/>
    <n v="5860"/>
    <x v="41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860"/>
    <n v="0"/>
    <n v="0"/>
    <n v="0"/>
    <n v="0"/>
    <n v="10000"/>
    <s v="False"/>
    <s v="CIF"/>
    <m/>
    <s v="MARIA"/>
    <s v="BETUSA"/>
    <d v="2026-01-14T10:55:00"/>
    <m/>
    <m/>
    <m/>
    <s v="False"/>
    <n v="0"/>
    <m/>
    <s v="False"/>
    <s v="False"/>
    <n v="6611"/>
    <s v="N"/>
  </r>
  <r>
    <s v="ONDA DO VALE"/>
    <x v="47"/>
    <x v="0"/>
    <x v="0"/>
    <x v="8"/>
    <s v="CENTRO SUL"/>
    <s v="BLUMENAU"/>
    <n v="9330"/>
    <n v="9330"/>
    <n v="0"/>
    <x v="33"/>
    <n v="1983.5"/>
    <x v="42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8"/>
    <x v="1"/>
    <x v="2"/>
    <x v="1"/>
    <n v="0"/>
    <n v="25000"/>
    <s v="False"/>
    <s v="CIF"/>
    <m/>
    <x v="5"/>
    <s v="BETUSA"/>
    <x v="43"/>
    <m/>
    <m/>
    <m/>
    <s v="False"/>
    <n v="0"/>
    <m/>
    <s v="False"/>
    <s v="False"/>
    <n v="336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9"/>
    <x v="0"/>
    <x v="0"/>
    <x v="9"/>
    <s v="SCHWANKE"/>
    <s v="BLUMENAU"/>
    <n v="23030"/>
    <n v="23030"/>
    <n v="0"/>
    <x v="34"/>
    <n v="3401"/>
    <x v="44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710"/>
    <n v="0"/>
    <n v="2691"/>
    <n v="0"/>
    <n v="0"/>
    <n v="2000"/>
    <s v="False"/>
    <s v="CIF"/>
    <s v="SC PENHA"/>
    <s v="MARIA"/>
    <s v="MARIA"/>
    <d v="2026-01-15T07:25:57"/>
    <m/>
    <m/>
    <m/>
    <s v="False"/>
    <n v="0"/>
    <m/>
    <s v="False"/>
    <s v="False"/>
    <n v="161"/>
    <s v="N"/>
  </r>
  <r>
    <s v="ONDA DO VALE - FILIAL"/>
    <x v="50"/>
    <x v="0"/>
    <x v="0"/>
    <x v="9"/>
    <s v="STB"/>
    <s v="PALHOCA"/>
    <n v="16100"/>
    <n v="16100"/>
    <n v="0"/>
    <x v="35"/>
    <n v="4892"/>
    <x v="45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2"/>
    <s v="CAROLINA"/>
    <x v="46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2"/>
    <x v="0"/>
    <x v="0"/>
    <x v="9"/>
    <s v="WETZEL - ELTROTECNICA"/>
    <s v="JOINVILLE"/>
    <n v="3600"/>
    <n v="3600"/>
    <n v="0"/>
    <x v="36"/>
    <n v="439"/>
    <x v="4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439"/>
    <n v="0"/>
    <n v="0"/>
    <n v="500"/>
    <s v="False"/>
    <s v="CIF"/>
    <m/>
    <s v="BETUSA"/>
    <s v="BETUSA"/>
    <d v="2026-01-15T13:50:09"/>
    <m/>
    <m/>
    <m/>
    <s v="False"/>
    <n v="0"/>
    <m/>
    <s v="False"/>
    <s v="False"/>
    <n v="7224"/>
    <s v="N"/>
  </r>
  <r>
    <s v="FORTE EMBALAGENS"/>
    <x v="53"/>
    <x v="0"/>
    <x v="0"/>
    <x v="9"/>
    <s v="JINRRA"/>
    <s v="PENHA"/>
    <n v="8146"/>
    <n v="8146"/>
    <n v="0"/>
    <x v="37"/>
    <n v="2266.9"/>
    <x v="48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2266.9"/>
    <n v="0"/>
    <n v="0"/>
    <n v="0"/>
    <n v="0"/>
    <n v="2300"/>
    <s v="False"/>
    <s v="CIF"/>
    <s v="SC PENHA"/>
    <s v="RAFAEL"/>
    <s v="BETUSA"/>
    <d v="2026-01-16T08:00:25"/>
    <m/>
    <m/>
    <m/>
    <s v="False"/>
    <n v="0"/>
    <m/>
    <s v="False"/>
    <s v="False"/>
    <n v="3465"/>
    <s v="N"/>
  </r>
  <r>
    <s v="MDN "/>
    <x v="54"/>
    <x v="0"/>
    <x v="0"/>
    <x v="9"/>
    <s v="PLIAR"/>
    <s v="BLUMENAU"/>
    <n v="4122"/>
    <n v="4122"/>
    <n v="0"/>
    <x v="38"/>
    <n v="1069.2"/>
    <x v="49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5"/>
    <x v="1"/>
    <x v="2"/>
    <x v="1"/>
    <n v="0"/>
    <n v="1800"/>
    <s v="False"/>
    <s v="CIF"/>
    <s v="SC BLUMENAU"/>
    <x v="5"/>
    <s v="BETUSA"/>
    <x v="50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56"/>
    <x v="0"/>
    <x v="0"/>
    <x v="9"/>
    <s v="MAFRATEXTIL"/>
    <s v="BRUSQUE"/>
    <n v="15024"/>
    <n v="15024"/>
    <n v="0"/>
    <x v="39"/>
    <n v="2781.6"/>
    <x v="51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2781.6"/>
    <n v="2400"/>
    <s v="False"/>
    <s v="CIF"/>
    <m/>
    <s v="BETUSA"/>
    <s v="BETUSA"/>
    <d v="2026-01-15T16:51:08"/>
    <m/>
    <m/>
    <m/>
    <s v="False"/>
    <n v="0"/>
    <m/>
    <s v="False"/>
    <s v="False"/>
    <n v="1301"/>
    <s v="N"/>
  </r>
  <r>
    <s v="MDN "/>
    <x v="57"/>
    <x v="0"/>
    <x v="0"/>
    <x v="9"/>
    <s v="MAFRATEXTIL"/>
    <s v="BRUSQUE"/>
    <n v="18780"/>
    <n v="18780"/>
    <n v="0"/>
    <x v="40"/>
    <n v="3477"/>
    <x v="52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3477"/>
    <n v="3000"/>
    <s v="False"/>
    <s v="CIF"/>
    <m/>
    <s v="BETUSA"/>
    <s v="BETUSA"/>
    <d v="2026-01-15T16:51:18"/>
    <m/>
    <m/>
    <m/>
    <s v="False"/>
    <n v="0"/>
    <m/>
    <s v="False"/>
    <s v="False"/>
    <n v="1301"/>
    <s v="N"/>
  </r>
  <r>
    <s v="FORTE EMBALAGENS"/>
    <x v="58"/>
    <x v="0"/>
    <x v="0"/>
    <x v="9"/>
    <s v="MAFRATEXTIL"/>
    <s v="BRUSQUE"/>
    <n v="22536"/>
    <n v="22536"/>
    <n v="0"/>
    <x v="41"/>
    <n v="4172.3999999999996"/>
    <x v="53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172.3999999999996"/>
    <n v="3600"/>
    <s v="False"/>
    <s v="CIF"/>
    <m/>
    <s v="BETUSA"/>
    <s v="BETUSA"/>
    <d v="2026-01-15T16:51:33"/>
    <m/>
    <m/>
    <m/>
    <s v="False"/>
    <n v="0"/>
    <m/>
    <s v="False"/>
    <s v="False"/>
    <n v="1301"/>
    <s v="N"/>
  </r>
  <r>
    <s v="FORTE EMBALAGENS"/>
    <x v="59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46"/>
    <m/>
    <m/>
    <m/>
    <s v="False"/>
    <n v="0"/>
    <m/>
    <s v="False"/>
    <s v="False"/>
    <n v="1301"/>
    <s v="N"/>
  </r>
  <r>
    <s v="FORTE EMBALAGENS"/>
    <x v="60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59"/>
    <m/>
    <m/>
    <m/>
    <s v="False"/>
    <n v="0"/>
    <m/>
    <s v="False"/>
    <s v="False"/>
    <n v="1301"/>
    <s v="N"/>
  </r>
  <r>
    <s v="FORTE EMBALAGENS"/>
    <x v="61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2:10"/>
    <m/>
    <m/>
    <m/>
    <s v="False"/>
    <n v="0"/>
    <m/>
    <s v="False"/>
    <s v="False"/>
    <n v="1301"/>
    <s v="N"/>
  </r>
  <r>
    <s v="ONDA DO VALE"/>
    <x v="62"/>
    <x v="0"/>
    <x v="0"/>
    <x v="9"/>
    <s v="AMANCO - MEXICHEM"/>
    <s v="JOINVILLE"/>
    <n v="2105"/>
    <n v="2105"/>
    <n v="0"/>
    <x v="43"/>
    <n v="473"/>
    <x v="55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3"/>
    <x v="1"/>
    <x v="2"/>
    <x v="1"/>
    <n v="0"/>
    <n v="500"/>
    <s v="False"/>
    <s v="Terceiros"/>
    <m/>
    <x v="5"/>
    <s v="BETUSA"/>
    <x v="56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4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8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5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9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6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7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MDN "/>
    <x v="68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3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70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4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71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2"/>
    <m/>
    <m/>
    <m/>
    <s v="False"/>
    <n v="0"/>
    <m/>
    <s v="False"/>
    <s v="False"/>
    <n v="1009"/>
    <s v="N"/>
  </r>
  <r>
    <s v="ONDA DO VALE"/>
    <x v="72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9"/>
    <m/>
    <m/>
    <m/>
    <s v="False"/>
    <n v="0"/>
    <m/>
    <s v="False"/>
    <s v="False"/>
    <n v="1009"/>
    <s v="N"/>
  </r>
  <r>
    <s v="ONDA DO VALE"/>
    <x v="73"/>
    <x v="0"/>
    <x v="0"/>
    <x v="11"/>
    <s v="RIOMAR"/>
    <s v="ITAJAI"/>
    <n v="11212"/>
    <n v="11212"/>
    <n v="0"/>
    <x v="47"/>
    <n v="1642"/>
    <x v="66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4"/>
    <x v="1"/>
    <x v="2"/>
    <x v="1"/>
    <n v="1129.2"/>
    <n v="1400"/>
    <s v="False"/>
    <s v="CIF"/>
    <m/>
    <x v="5"/>
    <s v="BETUSA"/>
    <x v="67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75"/>
    <x v="0"/>
    <x v="0"/>
    <x v="11"/>
    <s v="M2M TEXTIL"/>
    <s v="ASCURRA"/>
    <n v="9384"/>
    <n v="9384"/>
    <n v="0"/>
    <x v="48"/>
    <n v="1102.4000000000001"/>
    <x v="68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1-19T11:35:11"/>
    <m/>
    <m/>
    <m/>
    <s v="False"/>
    <n v="0"/>
    <m/>
    <s v="False"/>
    <s v="False"/>
    <n v="4340"/>
    <s v="N"/>
  </r>
  <r>
    <s v="MDN "/>
    <x v="76"/>
    <x v="0"/>
    <x v="0"/>
    <x v="12"/>
    <s v="BREED FIT"/>
    <s v="BRUSQUE"/>
    <n v="3708"/>
    <n v="3708"/>
    <n v="0"/>
    <x v="49"/>
    <n v="691.2"/>
    <x v="6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691.2"/>
    <n v="1200"/>
    <s v="False"/>
    <s v="CIF"/>
    <m/>
    <s v="BETUSA"/>
    <s v="MARIA"/>
    <d v="2026-01-20T14:34:23"/>
    <m/>
    <m/>
    <m/>
    <s v="False"/>
    <n v="0"/>
    <m/>
    <s v="False"/>
    <s v="False"/>
    <n v="7472"/>
    <s v="N"/>
  </r>
  <r>
    <s v="ONDA DO VALE"/>
    <x v="77"/>
    <x v="0"/>
    <x v="0"/>
    <x v="12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1-20T14:36:13"/>
    <m/>
    <m/>
    <m/>
    <s v="False"/>
    <n v="0"/>
    <m/>
    <s v="False"/>
    <s v="False"/>
    <n v="4089"/>
    <s v="N"/>
  </r>
  <r>
    <s v="ONDA DO VALE"/>
    <x v="78"/>
    <x v="0"/>
    <x v="0"/>
    <x v="12"/>
    <s v="MAISLUX"/>
    <s v="JOINVILLE"/>
    <n v="2239.1999999999998"/>
    <n v="2239.1999999999998"/>
    <n v="0"/>
    <x v="51"/>
    <n v="466.56"/>
    <x v="71"/>
    <s v="AMANDA DE OLIVEIRA VIANA"/>
    <s v="True"/>
    <s v="True"/>
    <s v="True"/>
    <s v="False"/>
    <s v="False"/>
    <s v="N"/>
    <n v="145"/>
    <s v="AMANDA 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9"/>
    <x v="1"/>
    <x v="2"/>
    <x v="1"/>
    <n v="0"/>
    <n v="720"/>
    <s v="False"/>
    <s v="CIF"/>
    <s v="SC JOINVILLE"/>
    <x v="5"/>
    <s v="BETUSA"/>
    <x v="72"/>
    <m/>
    <m/>
    <m/>
    <s v="False"/>
    <n v="0"/>
    <m/>
    <s v="False"/>
    <s v="False"/>
    <n v="7814"/>
    <s v="N"/>
    <m/>
    <m/>
    <m/>
    <m/>
    <m/>
    <m/>
    <m/>
    <m/>
    <m/>
    <m/>
    <m/>
    <m/>
    <m/>
    <m/>
    <m/>
    <m/>
    <m/>
    <m/>
    <m/>
    <m/>
    <m/>
    <m/>
    <m/>
    <m/>
  </r>
  <r>
    <s v="MDN "/>
    <x v="80"/>
    <x v="0"/>
    <x v="0"/>
    <x v="13"/>
    <s v="STB"/>
    <s v="PALHOCA"/>
    <n v="5350"/>
    <n v="5350"/>
    <n v="0"/>
    <x v="52"/>
    <n v="4892"/>
    <x v="73"/>
    <s v="CAROLINA XAVIER"/>
    <s v="True"/>
    <s v="True"/>
    <s v="True"/>
    <s v="False"/>
    <s v="False"/>
    <s v="N"/>
    <n v="126"/>
    <s v="CAROL"/>
    <n v="0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10"/>
    <s v="MARIA"/>
    <x v="74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MDN "/>
    <x v="81"/>
    <x v="0"/>
    <x v="0"/>
    <x v="14"/>
    <s v="DECORE PREMIUM"/>
    <s v="TIJUCAS"/>
    <n v="13130.35"/>
    <n v="13130.35"/>
    <n v="0"/>
    <x v="53"/>
    <n v="2707.8"/>
    <x v="75"/>
    <s v="PAULO ROBERTO DA SILVA"/>
    <s v="True"/>
    <s v="True"/>
    <s v="True"/>
    <s v="False"/>
    <s v="False"/>
    <s v="N"/>
    <n v="167"/>
    <s v="PAULO"/>
    <s v="30 60 DD"/>
    <n v="0"/>
    <s v="Data vallida do limite de crédito já passou."/>
    <n v="2707.8"/>
    <n v="0"/>
    <n v="0"/>
    <n v="0"/>
    <n v="0"/>
    <n v="1250"/>
    <s v="False"/>
    <s v="CIF"/>
    <m/>
    <s v="BETUSA"/>
    <s v="BETUSA"/>
    <d v="2026-01-22T14:17:47"/>
    <m/>
    <m/>
    <m/>
    <s v="False"/>
    <n v="0"/>
    <m/>
    <s v="False"/>
    <s v="False"/>
    <n v="8561"/>
    <s v="N"/>
  </r>
  <r>
    <s v="ONDA DO VALE"/>
    <x v="82"/>
    <x v="0"/>
    <x v="0"/>
    <x v="14"/>
    <s v="DELICIAS DA TERRINHA"/>
    <s v="GUARULHOS"/>
    <n v="5258"/>
    <n v="5258"/>
    <n v="0"/>
    <x v="54"/>
    <n v="1234.2"/>
    <x v="76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34.2"/>
    <n v="2200"/>
    <s v="False"/>
    <s v="CIF"/>
    <s v="SC GARUVA"/>
    <x v="2"/>
    <s v="CAROLINA"/>
    <x v="77"/>
    <m/>
    <m/>
    <m/>
    <s v="False"/>
    <n v="0"/>
    <m/>
    <s v="False"/>
    <s v="False"/>
    <n v="859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83"/>
    <x v="0"/>
    <x v="0"/>
    <x v="14"/>
    <s v="INPLAC"/>
    <s v="BIGUACU"/>
    <n v="10372"/>
    <n v="10372"/>
    <n v="0"/>
    <x v="55"/>
    <n v="1115.2"/>
    <x v="78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115.2"/>
    <n v="0"/>
    <n v="0"/>
    <n v="800"/>
    <s v="False"/>
    <s v="CIF"/>
    <m/>
    <s v="BETUSA"/>
    <s v="BETUSA"/>
    <d v="2026-01-22T17:00:36"/>
    <m/>
    <m/>
    <m/>
    <s v="False"/>
    <n v="0"/>
    <m/>
    <s v="False"/>
    <s v="False"/>
    <n v="8469"/>
    <s v="N"/>
  </r>
  <r>
    <s v="ONDA DO VALE"/>
    <x v="84"/>
    <x v="0"/>
    <x v="0"/>
    <x v="14"/>
    <s v="RIVATTI"/>
    <s v="NAVEGANTES"/>
    <n v="65830"/>
    <n v="65830"/>
    <n v="0"/>
    <x v="56"/>
    <n v="9907.5"/>
    <x v="79"/>
    <s v="RD LITORAL REPRESENTACOES LTDA"/>
    <s v="True"/>
    <s v="True"/>
    <s v="True"/>
    <s v="False"/>
    <s v="False"/>
    <s v="N"/>
    <n v="83"/>
    <m/>
    <s v="28 42 56 72 DD"/>
    <n v="0"/>
    <s v="Data vallida do limite de crédito já passou."/>
    <n v="0"/>
    <n v="0"/>
    <n v="294.5"/>
    <n v="0"/>
    <n v="9613"/>
    <n v="11500"/>
    <s v="False"/>
    <s v="CIF"/>
    <m/>
    <s v="RAFAEL"/>
    <s v="BETUSA"/>
    <d v="2026-01-23T07:46:55"/>
    <m/>
    <m/>
    <m/>
    <s v="False"/>
    <n v="0"/>
    <m/>
    <s v="False"/>
    <s v="False"/>
    <n v="4386"/>
    <s v="N"/>
  </r>
  <r>
    <s v="FORTE EMBALAGENS"/>
    <x v="85"/>
    <x v="0"/>
    <x v="0"/>
    <x v="15"/>
    <s v="JINRRA"/>
    <s v="PENHA"/>
    <n v="4264.2"/>
    <n v="4264.2"/>
    <n v="0"/>
    <x v="57"/>
    <n v="735.54"/>
    <x v="80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0"/>
    <n v="0"/>
    <n v="0"/>
    <n v="0"/>
    <n v="735.54"/>
    <n v="460"/>
    <s v="False"/>
    <s v="CIF"/>
    <s v="SC PENHA"/>
    <s v="RAFAEL"/>
    <s v="BETUSA"/>
    <d v="2026-01-23T11:31:40"/>
    <m/>
    <m/>
    <m/>
    <s v="False"/>
    <n v="0"/>
    <m/>
    <s v="False"/>
    <s v="False"/>
    <n v="3465"/>
    <s v="N"/>
  </r>
  <r>
    <s v="ONDA DO VALE"/>
    <x v="86"/>
    <x v="0"/>
    <x v="0"/>
    <x v="15"/>
    <s v="SCHWANKE"/>
    <s v="BLUMENAU"/>
    <n v="2288.9"/>
    <n v="2288.9"/>
    <n v="0"/>
    <x v="58"/>
    <n v="400.65"/>
    <x v="81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59.85"/>
    <n v="0"/>
    <n v="340.8"/>
    <n v="0"/>
    <n v="0"/>
    <n v="80"/>
    <s v="False"/>
    <s v="CIF"/>
    <s v="SC PENHA"/>
    <s v="BETUSA"/>
    <s v="BETUSA"/>
    <d v="2026-01-23T11:23:56"/>
    <m/>
    <m/>
    <m/>
    <s v="False"/>
    <n v="0"/>
    <m/>
    <s v="False"/>
    <s v="False"/>
    <n v="161"/>
    <s v="N"/>
  </r>
  <r>
    <s v="MDN "/>
    <x v="87"/>
    <x v="0"/>
    <x v="0"/>
    <x v="16"/>
    <s v="SEVEN TEXTIL"/>
    <s v="BRUSQUE"/>
    <n v="225"/>
    <n v="225"/>
    <n v="0"/>
    <x v="59"/>
    <n v="82.5"/>
    <x v="82"/>
    <s v="CAROLINA XAVIER"/>
    <s v="True"/>
    <s v="True"/>
    <s v="True"/>
    <s v="False"/>
    <s v="False"/>
    <s v="N"/>
    <n v="126"/>
    <s v="CAROL"/>
    <s v="30 DD"/>
    <n v="0"/>
    <s v="Data vallida do limite de crédito já passou."/>
    <n v="82.5"/>
    <n v="0"/>
    <n v="0"/>
    <n v="0"/>
    <n v="0"/>
    <n v="2500"/>
    <s v="False"/>
    <s v="CIF"/>
    <s v="SC BRUSQUE"/>
    <s v="CAROLINA"/>
    <s v="CAROLINA"/>
    <d v="2026-01-26T10:22:02"/>
    <m/>
    <m/>
    <m/>
    <s v="False"/>
    <n v="0"/>
    <m/>
    <s v="False"/>
    <s v="False"/>
    <n v="5486"/>
    <s v="N"/>
  </r>
  <r>
    <s v="MDN "/>
    <x v="88"/>
    <x v="0"/>
    <x v="0"/>
    <x v="16"/>
    <s v="BILITON"/>
    <s v="ITAJAI"/>
    <n v="9160"/>
    <n v="9160"/>
    <n v="0"/>
    <x v="60"/>
    <n v="1610"/>
    <x v="8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610"/>
    <n v="0"/>
    <n v="0"/>
    <n v="2000"/>
    <s v="False"/>
    <s v="CIF"/>
    <m/>
    <s v="CAROLINA"/>
    <s v="CAROLINA"/>
    <d v="2026-01-26T10:56:13"/>
    <m/>
    <m/>
    <m/>
    <s v="False"/>
    <n v="0"/>
    <m/>
    <s v="False"/>
    <s v="False"/>
    <n v="322"/>
    <s v="N"/>
  </r>
  <r>
    <s v="ONDA DO VALE"/>
    <x v="89"/>
    <x v="0"/>
    <x v="0"/>
    <x v="16"/>
    <s v="INECEL"/>
    <s v="GUARAMIRIM"/>
    <n v="14902"/>
    <n v="14902"/>
    <n v="0"/>
    <x v="61"/>
    <n v="2835.2"/>
    <x v="84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0"/>
    <x v="1"/>
    <x v="2"/>
    <x v="1"/>
    <n v="122"/>
    <n v="3200"/>
    <s v="False"/>
    <s v="CIF"/>
    <m/>
    <x v="2"/>
    <s v="CAROLINA"/>
    <x v="85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91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35"/>
    <m/>
    <m/>
    <m/>
    <s v="False"/>
    <n v="0"/>
    <m/>
    <s v="False"/>
    <s v="False"/>
    <n v="4900"/>
    <s v="N"/>
  </r>
  <r>
    <s v="ONDA DO VALE"/>
    <x v="92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47"/>
    <m/>
    <m/>
    <m/>
    <s v="False"/>
    <n v="0"/>
    <m/>
    <s v="False"/>
    <s v="False"/>
    <n v="4900"/>
    <s v="N"/>
  </r>
  <r>
    <s v="ONDA DO VALE"/>
    <x v="93"/>
    <x v="0"/>
    <x v="0"/>
    <x v="17"/>
    <s v="ANTROPOCENO ENGENHARIA"/>
    <s v="PALHOCA"/>
    <n v="5655"/>
    <n v="5655"/>
    <n v="0"/>
    <x v="63"/>
    <n v="1144.5"/>
    <x v="87"/>
    <s v="PAULO ROBERTO DA SILVA"/>
    <s v="True"/>
    <s v="True"/>
    <s v="True"/>
    <s v="False"/>
    <s v="False"/>
    <s v="N"/>
    <n v="167"/>
    <s v="PAULO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4"/>
    <x v="1"/>
    <x v="2"/>
    <x v="1"/>
    <n v="0"/>
    <n v="1501"/>
    <s v="False"/>
    <s v="CIF"/>
    <m/>
    <x v="5"/>
    <s v="BETUSA"/>
    <x v="88"/>
    <m/>
    <m/>
    <m/>
    <s v="False"/>
    <n v="0"/>
    <m/>
    <s v="False"/>
    <s v="False"/>
    <n v="8587"/>
    <s v="N"/>
    <m/>
    <m/>
    <m/>
    <m/>
    <m/>
    <m/>
    <m/>
    <m/>
    <m/>
    <m/>
    <m/>
    <m/>
    <m/>
    <m/>
    <m/>
    <m/>
    <m/>
    <m/>
    <m/>
    <m/>
    <m/>
    <m/>
    <m/>
    <m/>
  </r>
  <r>
    <s v="MDN "/>
    <x v="95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36"/>
    <m/>
    <m/>
    <m/>
    <s v="False"/>
    <n v="0"/>
    <m/>
    <s v="False"/>
    <s v="False"/>
    <n v="554"/>
    <s v="N"/>
  </r>
  <r>
    <s v="MDN "/>
    <x v="96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48"/>
    <m/>
    <m/>
    <m/>
    <s v="False"/>
    <n v="0"/>
    <m/>
    <s v="False"/>
    <s v="False"/>
    <n v="554"/>
    <s v="N"/>
  </r>
  <r>
    <s v="ONDA DO VALE"/>
    <x v="97"/>
    <x v="0"/>
    <x v="0"/>
    <x v="17"/>
    <s v="SCHWANKE"/>
    <s v="BLUMENAU"/>
    <n v="30260"/>
    <n v="30260"/>
    <n v="0"/>
    <x v="65"/>
    <n v="5198"/>
    <x v="90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2507"/>
    <n v="0"/>
    <n v="2691"/>
    <n v="0"/>
    <n v="0"/>
    <n v="5000"/>
    <s v="False"/>
    <s v="CIF"/>
    <s v="SC PENHA"/>
    <s v="MARIA"/>
    <s v="MARIA"/>
    <d v="2026-01-27T14:50:57"/>
    <m/>
    <m/>
    <m/>
    <s v="False"/>
    <n v="0"/>
    <m/>
    <s v="False"/>
    <s v="False"/>
    <n v="161"/>
    <s v="N"/>
  </r>
  <r>
    <s v="ONDA DO VALE"/>
    <x v="98"/>
    <x v="0"/>
    <x v="0"/>
    <x v="18"/>
    <s v="GRUPO IW8"/>
    <s v="BRUSQUE"/>
    <n v="5586"/>
    <n v="5586"/>
    <n v="0"/>
    <x v="66"/>
    <n v="550.20000000000005"/>
    <x v="91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6"/>
    <x v="1"/>
    <n v="0"/>
    <n v="300"/>
    <s v="False"/>
    <s v="CIF"/>
    <s v="SC BRUSQUE"/>
    <x v="2"/>
    <s v="CAROLINA"/>
    <x v="92"/>
    <m/>
    <m/>
    <m/>
    <s v="False"/>
    <n v="0"/>
    <m/>
    <s v="False"/>
    <s v="False"/>
    <n v="5328"/>
    <s v="N"/>
    <m/>
    <m/>
    <m/>
    <m/>
    <m/>
    <m/>
    <m/>
    <m/>
    <m/>
    <m/>
    <m/>
    <m/>
    <m/>
    <m/>
    <m/>
    <m/>
    <m/>
    <m/>
    <m/>
    <m/>
    <m/>
    <m/>
    <m/>
    <m/>
  </r>
  <r>
    <s v="MDN "/>
    <x v="99"/>
    <x v="0"/>
    <x v="0"/>
    <x v="18"/>
    <s v="WILLMIX"/>
    <s v="BRUSQUE"/>
    <n v="870"/>
    <n v="870"/>
    <n v="0"/>
    <x v="19"/>
    <n v="175"/>
    <x v="93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0"/>
    <x v="1"/>
    <x v="2"/>
    <x v="1"/>
    <n v="0"/>
    <n v="1000"/>
    <s v="False"/>
    <s v="CIF"/>
    <m/>
    <x v="2"/>
    <s v="BETUSA"/>
    <x v="94"/>
    <m/>
    <m/>
    <m/>
    <s v="False"/>
    <n v="0"/>
    <m/>
    <s v="False"/>
    <s v="False"/>
    <n v="7228"/>
    <s v="N"/>
    <m/>
    <m/>
    <m/>
    <m/>
    <m/>
    <m/>
    <m/>
    <m/>
    <m/>
    <m/>
    <m/>
    <m/>
    <m/>
    <m/>
    <m/>
    <m/>
    <m/>
    <m/>
    <m/>
    <m/>
    <m/>
    <m/>
    <m/>
    <m/>
  </r>
  <r>
    <s v="MDN "/>
    <x v="101"/>
    <x v="0"/>
    <x v="0"/>
    <x v="18"/>
    <s v="SEVEN TEXTIL"/>
    <s v="BRUSQUE"/>
    <n v="900"/>
    <n v="900"/>
    <n v="0"/>
    <x v="67"/>
    <n v="241"/>
    <x v="95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241"/>
    <n v="0"/>
    <n v="0"/>
    <n v="0"/>
    <n v="0"/>
    <n v="1000"/>
    <s v="False"/>
    <s v="CIF"/>
    <s v="SC BRUSQUE"/>
    <s v="CAROLINA"/>
    <s v="CAROLINA"/>
    <d v="2026-01-28T10:48:27"/>
    <m/>
    <m/>
    <m/>
    <s v="False"/>
    <n v="0"/>
    <m/>
    <s v="False"/>
    <s v="False"/>
    <n v="5486"/>
    <s v="N"/>
  </r>
  <r>
    <s v="MDN "/>
    <x v="102"/>
    <x v="0"/>
    <x v="0"/>
    <x v="18"/>
    <s v="POD BEBIDAS"/>
    <s v="ITAJAI"/>
    <n v="20626"/>
    <n v="20626"/>
    <n v="0"/>
    <x v="68"/>
    <n v="2928"/>
    <x v="96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7"/>
    <x v="1"/>
    <n v="2460"/>
    <n v="6000"/>
    <s v="False"/>
    <s v="CIF"/>
    <s v="SC ITAJAI"/>
    <x v="2"/>
    <s v="CAROLINA"/>
    <x v="97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MDN "/>
    <x v="103"/>
    <x v="0"/>
    <x v="0"/>
    <x v="18"/>
    <s v="POD BEBIDAS"/>
    <s v="ITAJAI"/>
    <n v="20180"/>
    <n v="20180"/>
    <n v="0"/>
    <x v="69"/>
    <n v="3021"/>
    <x v="98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4"/>
    <x v="1"/>
    <x v="2"/>
    <x v="1"/>
    <n v="2355"/>
    <n v="7000"/>
    <s v="False"/>
    <s v="CIF"/>
    <s v="SC ITAJAI"/>
    <x v="2"/>
    <s v="CAROLINA"/>
    <x v="99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5"/>
    <x v="0"/>
    <x v="0"/>
    <x v="18"/>
    <s v="CIAPLASTIC"/>
    <s v="ARAQUARI"/>
    <n v="7092"/>
    <n v="7092"/>
    <n v="0"/>
    <x v="70"/>
    <n v="605.4"/>
    <x v="100"/>
    <s v="PAULO ROBERTO DA SILVA"/>
    <s v="True"/>
    <s v="True"/>
    <s v="True"/>
    <s v="False"/>
    <s v="False"/>
    <s v="N"/>
    <n v="167"/>
    <s v="PAULO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8"/>
    <x v="1"/>
    <n v="0"/>
    <n v="375"/>
    <s v="False"/>
    <s v="CIF"/>
    <m/>
    <x v="5"/>
    <s v="BETUSA"/>
    <x v="101"/>
    <m/>
    <m/>
    <m/>
    <s v="False"/>
    <n v="0"/>
    <m/>
    <s v="False"/>
    <s v="False"/>
    <n v="590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6"/>
    <x v="0"/>
    <x v="0"/>
    <x v="19"/>
    <s v="PACIFIC"/>
    <s v="ITAJAI"/>
    <n v="5837"/>
    <n v="5837"/>
    <n v="0"/>
    <x v="71"/>
    <n v="1033.5"/>
    <x v="10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1033.5"/>
    <n v="0"/>
    <n v="0"/>
    <n v="0"/>
    <n v="1300"/>
    <s v="False"/>
    <s v="CIF"/>
    <m/>
    <s v="BETUSA"/>
    <s v="BETUSA"/>
    <d v="2026-01-29T07:37:30"/>
    <m/>
    <m/>
    <m/>
    <s v="False"/>
    <n v="0"/>
    <m/>
    <s v="False"/>
    <s v="False"/>
    <n v="3723"/>
    <s v="N"/>
  </r>
  <r>
    <s v="MDN "/>
    <x v="107"/>
    <x v="0"/>
    <x v="0"/>
    <x v="19"/>
    <s v="SEVEN TEXTIL"/>
    <s v="BRUSQUE"/>
    <n v="8706.5"/>
    <n v="8706.5"/>
    <n v="0"/>
    <x v="72"/>
    <n v="2429.61"/>
    <x v="103"/>
    <s v="CAROLINA XAVIER"/>
    <s v="True"/>
    <s v="True"/>
    <s v="True"/>
    <s v="False"/>
    <s v="False"/>
    <s v="N"/>
    <n v="126"/>
    <s v="CAROL"/>
    <s v="30 60 90 DD"/>
    <n v="0"/>
    <s v="Data vallida do limite de crédito já passou."/>
    <n v="2285.0100000000002"/>
    <n v="0"/>
    <n v="144.6"/>
    <n v="0"/>
    <n v="0"/>
    <n v="15770"/>
    <s v="False"/>
    <s v="CIF"/>
    <s v="SC BRUSQUE"/>
    <s v="CAROLINA"/>
    <s v="CAROLINA"/>
    <d v="2026-01-29T16:27:50"/>
    <m/>
    <m/>
    <m/>
    <s v="False"/>
    <n v="0"/>
    <m/>
    <s v="False"/>
    <s v="False"/>
    <n v="5486"/>
    <s v="N"/>
  </r>
  <r>
    <s v="MDN "/>
    <x v="108"/>
    <x v="0"/>
    <x v="0"/>
    <x v="19"/>
    <s v="REALSC EMBALAGENS"/>
    <s v="BIGUACU"/>
    <n v="2288"/>
    <n v="2288"/>
    <n v="0"/>
    <x v="73"/>
    <n v="329.6"/>
    <x v="10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9"/>
    <x v="1"/>
    <n v="0"/>
    <n v="800"/>
    <s v="False"/>
    <s v="CIF"/>
    <m/>
    <x v="2"/>
    <s v="CAROLINA"/>
    <x v="105"/>
    <m/>
    <m/>
    <m/>
    <s v="False"/>
    <n v="0"/>
    <m/>
    <s v="False"/>
    <s v="False"/>
    <n v="742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9"/>
    <x v="0"/>
    <x v="0"/>
    <x v="19"/>
    <s v="TREK BRASIL"/>
    <s v="ITAJAI"/>
    <n v="6036"/>
    <n v="6036"/>
    <n v="0"/>
    <x v="74"/>
    <n v="1290.5999999999999"/>
    <x v="106"/>
    <s v="RD LITORAL REPRESENTACOES LTDA"/>
    <s v="True"/>
    <s v="True"/>
    <s v="True"/>
    <s v="False"/>
    <s v="False"/>
    <s v="N"/>
    <n v="83"/>
    <s v="RAFAEL E DAIANE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0"/>
    <x v="1"/>
    <x v="2"/>
    <x v="1"/>
    <n v="0"/>
    <n v="1200"/>
    <s v="False"/>
    <s v="CIF"/>
    <m/>
    <x v="75"/>
    <s v="BETUSA"/>
    <x v="107"/>
    <m/>
    <m/>
    <m/>
    <s v="False"/>
    <n v="0"/>
    <m/>
    <s v="False"/>
    <s v="False"/>
    <n v="4126"/>
    <s v="N"/>
    <m/>
    <m/>
    <m/>
    <m/>
    <m/>
    <m/>
    <m/>
    <m/>
    <m/>
    <m/>
    <m/>
    <m/>
    <m/>
    <m/>
    <m/>
    <m/>
    <m/>
    <m/>
    <m/>
    <m/>
    <m/>
    <m/>
    <m/>
    <m/>
  </r>
  <r>
    <s v="MDN "/>
    <x v="111"/>
    <x v="0"/>
    <x v="0"/>
    <x v="19"/>
    <s v="YES EMBALAGENS"/>
    <s v="BALNEARIO CAMBORIU"/>
    <n v="3820"/>
    <n v="3820"/>
    <n v="0"/>
    <x v="76"/>
    <n v="690.5"/>
    <x v="108"/>
    <s v="CAROLINA XAVIER"/>
    <s v="True"/>
    <s v="True"/>
    <s v="True"/>
    <s v="False"/>
    <s v="False"/>
    <s v="N"/>
    <n v="126"/>
    <s v="CAROL"/>
    <s v="28 35 42 DD"/>
    <n v="0"/>
    <s v="Limite de crédito inferior à soma dos valores pendentes."/>
    <n v="118"/>
    <n v="0"/>
    <n v="0"/>
    <n v="0"/>
    <n v="572.5"/>
    <n v="1500"/>
    <s v="False"/>
    <s v="CIF"/>
    <m/>
    <s v="CAROLINA"/>
    <s v="CAROLINA"/>
    <d v="2026-01-29T13:09:21"/>
    <m/>
    <m/>
    <m/>
    <s v="False"/>
    <n v="0"/>
    <m/>
    <s v="False"/>
    <s v="False"/>
    <n v="4075"/>
    <s v="N"/>
  </r>
  <r>
    <s v="ONDA DO VALE"/>
    <x v="112"/>
    <x v="0"/>
    <x v="0"/>
    <x v="19"/>
    <s v="SKIN "/>
    <s v="ARAQUARI"/>
    <n v="12295"/>
    <n v="12295"/>
    <n v="0"/>
    <x v="77"/>
    <n v="1797"/>
    <x v="109"/>
    <s v="RD LITORAL REPRESENTACOES LTDA"/>
    <s v="True"/>
    <s v="True"/>
    <s v="True"/>
    <s v="False"/>
    <s v="False"/>
    <s v="N"/>
    <n v="83"/>
    <s v="JUAREZ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3"/>
    <x v="1"/>
    <x v="10"/>
    <x v="20"/>
    <n v="0"/>
    <n v="2501"/>
    <s v="False"/>
    <s v="CIF"/>
    <m/>
    <x v="75"/>
    <s v="BETUSA"/>
    <x v="110"/>
    <m/>
    <m/>
    <m/>
    <s v="False"/>
    <n v="0"/>
    <m/>
    <s v="False"/>
    <s v="False"/>
    <n v="7023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14"/>
    <x v="0"/>
    <x v="0"/>
    <x v="19"/>
    <s v="DEYU FISHING NET"/>
    <s v="ITAJAI"/>
    <n v="3378.2"/>
    <n v="3378.2"/>
    <n v="0"/>
    <x v="78"/>
    <n v="571.14"/>
    <x v="111"/>
    <s v="RD LITORAL REPRESENTACOES LTDA"/>
    <s v="True"/>
    <s v="True"/>
    <s v="True"/>
    <s v="False"/>
    <s v="False"/>
    <s v="N"/>
    <n v="83"/>
    <s v="RAFAEL E DAIANE"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1"/>
    <x v="20"/>
    <n v="0"/>
    <n v="380"/>
    <s v="False"/>
    <s v="CIF"/>
    <m/>
    <x v="75"/>
    <s v="BETUSA"/>
    <x v="112"/>
    <m/>
    <m/>
    <m/>
    <s v="False"/>
    <n v="0"/>
    <m/>
    <s v="False"/>
    <s v="False"/>
    <n v="844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5"/>
    <x v="0"/>
    <x v="0"/>
    <x v="19"/>
    <s v="SC PEÇAS EIRELI"/>
    <s v="BIGUACU"/>
    <n v="12152"/>
    <n v="12152"/>
    <n v="0"/>
    <x v="79"/>
    <n v="1496.8"/>
    <x v="113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6"/>
    <x v="1"/>
    <x v="12"/>
    <x v="1"/>
    <n v="0"/>
    <n v="2000"/>
    <s v="False"/>
    <s v="CIF"/>
    <s v="SC BIGUACU"/>
    <x v="2"/>
    <s v="CAROLINA"/>
    <x v="114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7"/>
    <x v="0"/>
    <x v="0"/>
    <x v="19"/>
    <s v="MERCOFAR-FITAM"/>
    <s v="BIGUACU"/>
    <n v="5276"/>
    <n v="5276"/>
    <n v="0"/>
    <x v="80"/>
    <n v="1029.5999999999999"/>
    <x v="115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1029.5999999999999"/>
    <n v="0"/>
    <n v="0"/>
    <n v="0"/>
    <n v="0"/>
    <n v="400"/>
    <s v="False"/>
    <s v="CIF"/>
    <m/>
    <s v="CAROLINA"/>
    <s v="CAROLINA"/>
    <d v="2026-01-29T16:15:47"/>
    <m/>
    <m/>
    <m/>
    <s v="False"/>
    <n v="0"/>
    <m/>
    <s v="False"/>
    <s v="False"/>
    <n v="6611"/>
    <s v="N"/>
  </r>
  <r>
    <s v="ONDA DO VALE"/>
    <x v="118"/>
    <x v="0"/>
    <x v="0"/>
    <x v="21"/>
    <s v="UNILUX"/>
    <s v="SAO JOSE"/>
    <n v="14119.82"/>
    <n v="14119.82"/>
    <n v="0"/>
    <x v="81"/>
    <n v="1573.08"/>
    <x v="11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573.08"/>
    <n v="0"/>
    <n v="0"/>
    <n v="1156"/>
    <s v="False"/>
    <s v="CIF"/>
    <m/>
    <s v="BETUSA"/>
    <s v="BETUSA"/>
    <d v="2026-01-30T10:31:19"/>
    <m/>
    <m/>
    <m/>
    <s v="False"/>
    <n v="0"/>
    <m/>
    <s v="False"/>
    <s v="False"/>
    <n v="4694"/>
    <s v="N"/>
  </r>
  <r>
    <s v="ONDA DO VALE"/>
    <x v="119"/>
    <x v="0"/>
    <x v="0"/>
    <x v="21"/>
    <s v="LEAL"/>
    <s v="NAVEGANTES"/>
    <n v="2690"/>
    <n v="2690"/>
    <n v="0"/>
    <x v="82"/>
    <n v="339"/>
    <x v="117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339"/>
    <n v="0"/>
    <n v="0"/>
    <n v="1000"/>
    <s v="False"/>
    <s v="CIF"/>
    <m/>
    <s v="MARIA"/>
    <s v="MARIA"/>
    <d v="2026-01-30T10:41:08"/>
    <m/>
    <m/>
    <m/>
    <s v="False"/>
    <n v="0"/>
    <m/>
    <s v="False"/>
    <s v="False"/>
    <n v="3124"/>
    <s v="N"/>
  </r>
  <r>
    <s v="FORTE EMBALAGENS"/>
    <x v="120"/>
    <x v="0"/>
    <x v="0"/>
    <x v="21"/>
    <s v="JORANI - GARDENMIX"/>
    <s v="RIO DOS CEDROS"/>
    <n v="25124"/>
    <n v="25124"/>
    <n v="0"/>
    <x v="83"/>
    <n v="5213.1000000000004"/>
    <x v="118"/>
    <s v="DIRETA"/>
    <s v="True"/>
    <s v="True"/>
    <s v="True"/>
    <s v="False"/>
    <s v="False"/>
    <s v="N"/>
    <n v="9"/>
    <m/>
    <s v="30 45 60 7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2"/>
    <x v="2"/>
    <x v="1"/>
    <n v="0"/>
    <n v="2300"/>
    <s v="False"/>
    <s v="CIF"/>
    <m/>
    <x v="10"/>
    <s v="MARIA"/>
    <x v="119"/>
    <m/>
    <m/>
    <m/>
    <s v="False"/>
    <n v="0"/>
    <m/>
    <s v="False"/>
    <s v="False"/>
    <n v="885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21"/>
    <x v="0"/>
    <x v="0"/>
    <x v="22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2-02T08:14:21"/>
    <m/>
    <m/>
    <m/>
    <s v="False"/>
    <n v="0"/>
    <m/>
    <s v="False"/>
    <s v="False"/>
    <n v="4089"/>
    <s v="N"/>
  </r>
  <r>
    <s v="ONDA DO VALE"/>
    <x v="122"/>
    <x v="0"/>
    <x v="0"/>
    <x v="22"/>
    <s v="DISTRIBUIDORA MULLER"/>
    <s v="ITAJAI"/>
    <n v="18310"/>
    <n v="18310"/>
    <n v="0"/>
    <x v="84"/>
    <n v="4084"/>
    <x v="120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4084"/>
    <n v="0"/>
    <n v="0"/>
    <n v="0"/>
    <n v="0"/>
    <n v="4000"/>
    <s v="False"/>
    <s v="CIF"/>
    <m/>
    <s v="CAROLINA"/>
    <s v="CAROLINA"/>
    <d v="2026-02-02T11:36:50"/>
    <m/>
    <m/>
    <m/>
    <s v="False"/>
    <n v="0"/>
    <m/>
    <s v="False"/>
    <s v="False"/>
    <n v="1877"/>
    <s v="N"/>
  </r>
  <r>
    <s v="ONDA DO VALE"/>
    <x v="123"/>
    <x v="0"/>
    <x v="0"/>
    <x v="22"/>
    <s v="DISTRIBUIDORA MULLER"/>
    <s v="ITAJAI"/>
    <n v="10200"/>
    <n v="10200"/>
    <n v="0"/>
    <x v="85"/>
    <n v="2328"/>
    <x v="121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2328"/>
    <n v="0"/>
    <n v="0"/>
    <n v="0"/>
    <n v="0"/>
    <n v="2000"/>
    <s v="False"/>
    <s v="CIF"/>
    <m/>
    <s v="CAROLINA"/>
    <s v="CAROLINA"/>
    <d v="2026-02-02T11:45:28"/>
    <m/>
    <m/>
    <m/>
    <s v="False"/>
    <n v="0"/>
    <m/>
    <s v="False"/>
    <s v="False"/>
    <n v="1877"/>
    <s v="N"/>
  </r>
  <r>
    <s v="MDN "/>
    <x v="124"/>
    <x v="0"/>
    <x v="0"/>
    <x v="22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3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6"/>
    <x v="0"/>
    <x v="0"/>
    <x v="23"/>
    <s v="COOKOA - FABRICA DE ALIMENTOS"/>
    <s v="PALHOCA"/>
    <n v="1704"/>
    <n v="1704"/>
    <n v="0"/>
    <x v="87"/>
    <n v="215.4"/>
    <x v="12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3"/>
    <x v="1"/>
    <n v="0"/>
    <n v="600"/>
    <s v="False"/>
    <s v="CIF"/>
    <m/>
    <x v="2"/>
    <s v="CAROLINA"/>
    <x v="125"/>
    <m/>
    <m/>
    <m/>
    <s v="False"/>
    <n v="0"/>
    <m/>
    <s v="False"/>
    <s v="False"/>
    <n v="7986"/>
    <s v="N"/>
    <m/>
    <m/>
    <m/>
    <m/>
    <m/>
    <m/>
    <m/>
    <m/>
    <m/>
    <m/>
    <m/>
    <m/>
    <m/>
    <m/>
    <m/>
    <m/>
    <m/>
    <m/>
    <m/>
    <m/>
    <m/>
    <m/>
    <m/>
    <m/>
  </r>
  <r>
    <s v="MDN "/>
    <x v="127"/>
    <x v="0"/>
    <x v="0"/>
    <x v="23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6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8"/>
    <x v="0"/>
    <x v="0"/>
    <x v="23"/>
    <s v="CICAMPO"/>
    <s v="TIMBO"/>
    <n v="5640"/>
    <n v="5640"/>
    <n v="0"/>
    <x v="88"/>
    <n v="1380"/>
    <x v="127"/>
    <s v="RD LITORAL REPRESENTACOES LTDA"/>
    <s v="True"/>
    <s v="True"/>
    <s v="True"/>
    <s v="False"/>
    <s v="False"/>
    <s v="N"/>
    <n v="83"/>
    <s v="RAFAEL E DAIANE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9"/>
    <x v="1"/>
    <x v="2"/>
    <x v="1"/>
    <n v="0"/>
    <n v="3000"/>
    <s v="False"/>
    <s v="CIF"/>
    <m/>
    <x v="75"/>
    <s v="BETUSA"/>
    <x v="128"/>
    <m/>
    <m/>
    <m/>
    <s v="False"/>
    <n v="0"/>
    <m/>
    <s v="False"/>
    <s v="False"/>
    <n v="5908"/>
    <s v="N"/>
    <m/>
    <m/>
    <m/>
    <m/>
    <m/>
    <m/>
    <m/>
    <m/>
    <m/>
    <m/>
    <m/>
    <m/>
    <m/>
    <m/>
    <m/>
    <m/>
    <m/>
    <m/>
    <m/>
    <m/>
    <m/>
    <m/>
    <m/>
    <m/>
  </r>
  <r>
    <s v="MDN "/>
    <x v="130"/>
    <x v="0"/>
    <x v="0"/>
    <x v="23"/>
    <s v="BELA FLOR - SP"/>
    <s v="SAO JOSE DO RIO PRETO"/>
    <n v="13393.4"/>
    <n v="13393.4"/>
    <n v="0"/>
    <x v="89"/>
    <n v="2445.16"/>
    <x v="129"/>
    <s v="AMANDA DE OLIVEIRA VIANA"/>
    <s v="True"/>
    <s v="True"/>
    <s v="True"/>
    <s v="False"/>
    <s v="False"/>
    <s v="N"/>
    <n v="145"/>
    <s v="MARIA"/>
    <s v="30 60 DD"/>
    <n v="0"/>
    <s v="Data vallida do limite de crédito já passou."/>
    <n v="0"/>
    <n v="0"/>
    <n v="0"/>
    <n v="0"/>
    <n v="2445.16"/>
    <n v="1461"/>
    <s v="False"/>
    <s v="CIF"/>
    <s v="SC ITAJAI"/>
    <s v="BETUSA"/>
    <s v="MARIA"/>
    <d v="2026-02-03T16:35:02"/>
    <m/>
    <m/>
    <m/>
    <s v="False"/>
    <n v="0"/>
    <m/>
    <s v="False"/>
    <s v="False"/>
    <n v="8600"/>
    <s v="N"/>
  </r>
  <r>
    <s v="ONDA DO VALE"/>
    <x v="131"/>
    <x v="0"/>
    <x v="0"/>
    <x v="23"/>
    <s v="SMART MAGENTA "/>
    <s v="ITAJAI"/>
    <n v="4845.8999999999996"/>
    <n v="4845.8999999999996"/>
    <n v="0"/>
    <x v="90"/>
    <n v="922.55"/>
    <x v="130"/>
    <s v="RD LITORAL REPRESENTACOES LTDA"/>
    <s v="True"/>
    <s v="True"/>
    <s v="True"/>
    <s v="False"/>
    <s v="False"/>
    <s v="N"/>
    <n v="83"/>
    <m/>
    <s v="28 35 42 49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32"/>
    <x v="1"/>
    <x v="2"/>
    <x v="1"/>
    <n v="0"/>
    <n v="1030"/>
    <s v="False"/>
    <s v="CIF"/>
    <m/>
    <x v="75"/>
    <s v="BETUSA"/>
    <x v="131"/>
    <m/>
    <m/>
    <m/>
    <s v="False"/>
    <n v="0"/>
    <m/>
    <s v="False"/>
    <s v="False"/>
    <n v="7361"/>
    <s v="N"/>
    <m/>
    <m/>
    <m/>
    <m/>
    <m/>
    <m/>
    <m/>
    <m/>
    <m/>
    <m/>
    <m/>
    <m/>
    <m/>
    <m/>
    <m/>
    <m/>
    <m/>
    <m/>
    <m/>
    <m/>
    <m/>
    <m/>
    <m/>
    <m/>
  </r>
  <r>
    <s v="MDN "/>
    <x v="133"/>
    <x v="0"/>
    <x v="0"/>
    <x v="24"/>
    <s v="PAFER"/>
    <s v="JOINVILLE"/>
    <n v="7764"/>
    <n v="7764"/>
    <n v="0"/>
    <x v="91"/>
    <n v="1257.2"/>
    <x v="132"/>
    <s v="CAROLINA XAVIER"/>
    <s v="True"/>
    <s v="True"/>
    <s v="True"/>
    <s v="False"/>
    <s v="False"/>
    <s v="N"/>
    <n v="126"/>
    <s v="CAROL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57.2"/>
    <n v="3600"/>
    <s v="False"/>
    <s v="CIF"/>
    <m/>
    <x v="2"/>
    <s v="CAROLINA"/>
    <x v="133"/>
    <m/>
    <m/>
    <m/>
    <s v="False"/>
    <n v="0"/>
    <m/>
    <s v="False"/>
    <s v="False"/>
    <n v="807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4"/>
    <x v="0"/>
    <x v="0"/>
    <x v="24"/>
    <s v="FISCHER"/>
    <s v="BRUSQUE"/>
    <n v="1389.4"/>
    <n v="1389.4"/>
    <n v="0"/>
    <x v="92"/>
    <n v="150.12"/>
    <x v="134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150.12"/>
    <n v="0"/>
    <n v="0"/>
    <n v="40"/>
    <s v="False"/>
    <s v="CIF"/>
    <m/>
    <s v="BETUSA"/>
    <s v="BETUSA"/>
    <d v="2026-02-04T09:56:17"/>
    <m/>
    <m/>
    <m/>
    <s v="False"/>
    <n v="0"/>
    <m/>
    <s v="False"/>
    <s v="False"/>
    <n v="1009"/>
    <s v="N"/>
  </r>
  <r>
    <s v="MDN "/>
    <x v="135"/>
    <x v="0"/>
    <x v="0"/>
    <x v="24"/>
    <s v="HIPER TEXTIL"/>
    <s v="BRUSQUE"/>
    <n v="3850"/>
    <n v="3850"/>
    <n v="0"/>
    <x v="93"/>
    <n v="1060"/>
    <x v="135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060"/>
    <n v="0"/>
    <n v="0"/>
    <n v="0"/>
    <n v="0"/>
    <n v="25000"/>
    <s v="False"/>
    <s v="CIF"/>
    <s v="SC BRUSQUE"/>
    <s v="CAROLINA"/>
    <s v="CAROLINA"/>
    <d v="2026-02-04T10:01:21"/>
    <m/>
    <m/>
    <m/>
    <s v="False"/>
    <n v="0"/>
    <m/>
    <s v="False"/>
    <s v="False"/>
    <n v="4759"/>
    <s v="N"/>
  </r>
  <r>
    <s v="ONDA DO VALE"/>
    <x v="136"/>
    <x v="0"/>
    <x v="0"/>
    <x v="24"/>
    <s v="FISCHER"/>
    <s v="BRUSQUE"/>
    <n v="2165.1999999999998"/>
    <n v="2165.1999999999998"/>
    <n v="0"/>
    <x v="94"/>
    <n v="210.16"/>
    <x v="136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10.16"/>
    <n v="0"/>
    <n v="0"/>
    <n v="60"/>
    <s v="False"/>
    <s v="CIF"/>
    <m/>
    <s v="BETUSA"/>
    <s v="BETUSA"/>
    <d v="2026-02-04T10:04:37"/>
    <m/>
    <m/>
    <m/>
    <s v="False"/>
    <n v="0"/>
    <m/>
    <s v="False"/>
    <s v="False"/>
    <n v="1009"/>
    <s v="N"/>
  </r>
  <r>
    <s v="ONDA DO VALE"/>
    <x v="137"/>
    <x v="0"/>
    <x v="0"/>
    <x v="24"/>
    <s v="FISCHER"/>
    <s v="BRUSQUE"/>
    <n v="5703.6"/>
    <n v="5703.6"/>
    <n v="0"/>
    <x v="95"/>
    <n v="752.04"/>
    <x v="137"/>
    <s v="DIRETA"/>
    <s v="True"/>
    <s v="True"/>
    <s v="True"/>
    <s v="False"/>
    <s v="False"/>
    <s v="N"/>
    <n v="9"/>
    <s v="TELEVENDAS"/>
    <s v="35 DD"/>
    <n v="0"/>
    <s v="Data vallida do limite de crédito já passou."/>
    <n v="530"/>
    <n v="0"/>
    <n v="222.04"/>
    <n v="0"/>
    <n v="0"/>
    <n v="1060"/>
    <s v="False"/>
    <s v="CIF"/>
    <m/>
    <s v="BETUSA"/>
    <s v="BETUSA"/>
    <d v="2026-02-04T10:06:53"/>
    <m/>
    <m/>
    <m/>
    <s v="False"/>
    <n v="0"/>
    <m/>
    <s v="False"/>
    <s v="False"/>
    <n v="1009"/>
    <s v="N"/>
  </r>
  <r>
    <s v="ONDA DO VALE"/>
    <x v="138"/>
    <x v="0"/>
    <x v="0"/>
    <x v="24"/>
    <s v="FISCHER"/>
    <s v="BRUSQUE"/>
    <n v="2217.4"/>
    <n v="2217.4"/>
    <n v="0"/>
    <x v="96"/>
    <n v="235.2"/>
    <x v="138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35.2"/>
    <n v="0"/>
    <n v="0"/>
    <n v="60"/>
    <s v="False"/>
    <s v="CIF"/>
    <m/>
    <s v="BETUSA"/>
    <s v="BETUSA"/>
    <d v="2026-02-04T10:10:35"/>
    <m/>
    <m/>
    <m/>
    <s v="False"/>
    <n v="0"/>
    <m/>
    <s v="False"/>
    <s v="False"/>
    <n v="1009"/>
    <s v="N"/>
  </r>
  <r>
    <s v="MDN "/>
    <x v="139"/>
    <x v="0"/>
    <x v="0"/>
    <x v="24"/>
    <s v="ELLOS"/>
    <s v="ITAJAI"/>
    <n v="4709"/>
    <n v="4709"/>
    <n v="0"/>
    <x v="97"/>
    <n v="969"/>
    <x v="139"/>
    <s v="DIRETA"/>
    <s v="True"/>
    <s v="True"/>
    <s v="True"/>
    <s v="False"/>
    <s v="False"/>
    <s v="N"/>
    <n v="9"/>
    <s v="TELEVENDAS"/>
    <s v="30 45 60 DD"/>
    <n v="0"/>
    <s v="Data vallida do limite de crédito já passou."/>
    <n v="969"/>
    <n v="0"/>
    <n v="0"/>
    <n v="0"/>
    <n v="0"/>
    <n v="1700"/>
    <s v="False"/>
    <s v="CIF"/>
    <m/>
    <s v="BETUSA"/>
    <s v="BETUSA"/>
    <d v="2026-02-04T14:46:37"/>
    <m/>
    <m/>
    <m/>
    <s v="False"/>
    <n v="0"/>
    <m/>
    <s v="False"/>
    <s v="False"/>
    <n v="3508"/>
    <s v="N"/>
  </r>
  <r>
    <s v="ONDA DO VALE"/>
    <x v="140"/>
    <x v="0"/>
    <x v="0"/>
    <x v="24"/>
    <s v="MELATO METAIS"/>
    <s v="TIMBO"/>
    <n v="4020"/>
    <n v="4020"/>
    <n v="0"/>
    <x v="98"/>
    <n v="732"/>
    <x v="140"/>
    <s v="DIRETA"/>
    <s v="True"/>
    <s v="True"/>
    <s v="True"/>
    <s v="False"/>
    <s v="False"/>
    <s v="N"/>
    <n v="9"/>
    <s v="TELEVENDAS"/>
    <s v="28 35 DD"/>
    <n v="0"/>
    <s v="Data vallida do limite de crédito já passou."/>
    <n v="732"/>
    <n v="0"/>
    <n v="0"/>
    <n v="0"/>
    <n v="0"/>
    <n v="2000"/>
    <s v="False"/>
    <s v="CIF"/>
    <m/>
    <s v="BETUSA"/>
    <s v="BETUSA"/>
    <d v="2026-02-04T16:40:25"/>
    <m/>
    <m/>
    <m/>
    <s v="False"/>
    <n v="0"/>
    <m/>
    <s v="False"/>
    <s v="False"/>
    <n v="6401"/>
    <s v="N"/>
  </r>
  <r>
    <s v="MDN "/>
    <x v="141"/>
    <x v="0"/>
    <x v="0"/>
    <x v="24"/>
    <s v="PLIAR"/>
    <s v="BLUMENAU"/>
    <n v="3960"/>
    <n v="3960"/>
    <n v="0"/>
    <x v="99"/>
    <n v="1045"/>
    <x v="141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2"/>
    <x v="1"/>
    <x v="2"/>
    <x v="1"/>
    <n v="0"/>
    <n v="2200"/>
    <s v="False"/>
    <s v="CIF"/>
    <s v="SC BLUMENAU"/>
    <x v="5"/>
    <s v="BETUSA"/>
    <x v="142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143"/>
    <x v="0"/>
    <x v="0"/>
    <x v="25"/>
    <s v="BILITON"/>
    <s v="ITAJAI"/>
    <n v="15280"/>
    <n v="15280"/>
    <n v="0"/>
    <x v="100"/>
    <n v="2684"/>
    <x v="14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2684"/>
    <n v="0"/>
    <n v="0"/>
    <n v="4000"/>
    <s v="False"/>
    <s v="CIF"/>
    <m/>
    <s v="CAROLINA"/>
    <s v="CAROLINA"/>
    <d v="2026-02-05T10:48:28"/>
    <m/>
    <m/>
    <m/>
    <s v="False"/>
    <n v="0"/>
    <m/>
    <s v="False"/>
    <s v="False"/>
    <n v="322"/>
    <s v="N"/>
  </r>
  <r>
    <s v="ONDA DO VALE"/>
    <x v="144"/>
    <x v="0"/>
    <x v="0"/>
    <x v="26"/>
    <s v="BERTOZZO"/>
    <s v="FLORIANOPOLIS"/>
    <n v="8100"/>
    <n v="8100"/>
    <n v="0"/>
    <x v="101"/>
    <n v="1098"/>
    <x v="144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0"/>
    <n v="0"/>
    <n v="1098"/>
    <n v="0"/>
    <n v="0"/>
    <n v="1500"/>
    <s v="False"/>
    <s v="CIF"/>
    <s v="SC FLORIANOPOLIS"/>
    <s v="MARIA"/>
    <s v="MARIA"/>
    <d v="2026-02-06T11:52:42"/>
    <m/>
    <m/>
    <m/>
    <s v="False"/>
    <n v="0"/>
    <m/>
    <s v="False"/>
    <s v="False"/>
    <n v="4089"/>
    <s v="N"/>
  </r>
  <r>
    <s v="ONDA DO VALE"/>
    <x v="145"/>
    <x v="0"/>
    <x v="0"/>
    <x v="26"/>
    <s v="SCHWANKE"/>
    <s v="BLUMENAU"/>
    <n v="68640"/>
    <n v="68640"/>
    <n v="0"/>
    <x v="102"/>
    <n v="14277"/>
    <x v="14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4277"/>
    <n v="0"/>
    <n v="0"/>
    <n v="0"/>
    <n v="0"/>
    <n v="21000"/>
    <s v="False"/>
    <s v="CIF"/>
    <s v="SC PENHA"/>
    <s v="MARIA"/>
    <s v="MARIA"/>
    <d v="2026-02-06T13:04:08"/>
    <m/>
    <m/>
    <m/>
    <s v="False"/>
    <n v="0"/>
    <m/>
    <s v="False"/>
    <s v="False"/>
    <n v="161"/>
    <s v="N"/>
  </r>
  <r>
    <s v="ONDA DO VALE"/>
    <x v="146"/>
    <x v="0"/>
    <x v="0"/>
    <x v="26"/>
    <s v="INECEL"/>
    <s v="GUARAMIRIM"/>
    <n v="12082"/>
    <n v="12082"/>
    <n v="0"/>
    <x v="103"/>
    <n v="2395.16"/>
    <x v="146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7"/>
    <x v="1"/>
    <x v="2"/>
    <x v="1"/>
    <n v="292.8"/>
    <n v="3820"/>
    <s v="False"/>
    <s v="CIF"/>
    <m/>
    <x v="2"/>
    <s v="CAROLINA"/>
    <x v="147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MDN "/>
    <x v="148"/>
    <x v="0"/>
    <x v="0"/>
    <x v="26"/>
    <s v="VIDA BELA COSMETICOS"/>
    <s v="BALNEARIO CAMBORIU"/>
    <n v="1569"/>
    <n v="1569"/>
    <n v="0"/>
    <x v="104"/>
    <n v="297.89999999999998"/>
    <x v="14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9"/>
    <x v="1"/>
    <x v="2"/>
    <x v="1"/>
    <n v="0"/>
    <n v="700"/>
    <s v="False"/>
    <s v="CIF"/>
    <m/>
    <x v="2"/>
    <s v="CAROLINA"/>
    <x v="149"/>
    <m/>
    <m/>
    <m/>
    <s v="False"/>
    <n v="0"/>
    <m/>
    <s v="False"/>
    <s v="False"/>
    <n v="850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0"/>
    <x v="0"/>
    <x v="0"/>
    <x v="27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150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151"/>
    <x v="0"/>
    <x v="0"/>
    <x v="27"/>
    <s v="COREMMA"/>
    <s v="BLUMENAU"/>
    <n v="12428"/>
    <n v="12428"/>
    <n v="0"/>
    <x v="105"/>
    <n v="1247.4000000000001"/>
    <x v="151"/>
    <s v="QUEENPACK REPRESENTACOES LTDA"/>
    <s v="True"/>
    <s v="True"/>
    <s v="True"/>
    <s v="False"/>
    <s v="False"/>
    <s v="N"/>
    <n v="138"/>
    <s v="AMANDA 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4"/>
    <x v="1"/>
    <n v="988.4"/>
    <n v="3400"/>
    <s v="False"/>
    <s v="CIF"/>
    <s v="SC BLUMENAU"/>
    <x v="10"/>
    <s v="MARIA"/>
    <x v="152"/>
    <m/>
    <m/>
    <m/>
    <s v="False"/>
    <n v="0"/>
    <m/>
    <s v="False"/>
    <s v="False"/>
    <n v="216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2"/>
    <x v="0"/>
    <x v="0"/>
    <x v="27"/>
    <s v="FLASH WAY"/>
    <s v="ITAJAI"/>
    <n v="240"/>
    <n v="240"/>
    <n v="0"/>
    <x v="106"/>
    <n v="68.400000000000006"/>
    <x v="153"/>
    <s v="RD LITORAL REPRESENTACOES LTDA"/>
    <s v="True"/>
    <s v="True"/>
    <s v="True"/>
    <s v="False"/>
    <s v="False"/>
    <s v="N"/>
    <n v="83"/>
    <m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53"/>
    <x v="1"/>
    <x v="2"/>
    <x v="1"/>
    <n v="0"/>
    <n v="60"/>
    <s v="False"/>
    <s v="CIF"/>
    <m/>
    <x v="75"/>
    <s v="BETUSA"/>
    <x v="154"/>
    <m/>
    <m/>
    <m/>
    <s v="False"/>
    <n v="0"/>
    <m/>
    <s v="False"/>
    <s v="False"/>
    <n v="885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4"/>
    <x v="0"/>
    <x v="0"/>
    <x v="27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2-09T16:34:15"/>
    <m/>
    <m/>
    <m/>
    <s v="False"/>
    <n v="0"/>
    <m/>
    <s v="False"/>
    <s v="False"/>
    <n v="4089"/>
    <s v="N"/>
  </r>
  <r>
    <s v="ONDA DO VALE"/>
    <x v="155"/>
    <x v="0"/>
    <x v="0"/>
    <x v="27"/>
    <s v="SCHWANKE"/>
    <s v="BLUMENAU"/>
    <n v="7490"/>
    <n v="7490"/>
    <n v="0"/>
    <x v="107"/>
    <n v="1578"/>
    <x v="15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578"/>
    <n v="0"/>
    <n v="0"/>
    <n v="0"/>
    <n v="0"/>
    <n v="5000"/>
    <s v="False"/>
    <s v="CIF"/>
    <s v="SC PENHA"/>
    <s v="MARIA"/>
    <s v="MARIA"/>
    <d v="2026-02-09T17:40:30"/>
    <m/>
    <m/>
    <m/>
    <s v="False"/>
    <n v="0"/>
    <m/>
    <s v="False"/>
    <s v="False"/>
    <n v="161"/>
    <s v="N"/>
  </r>
  <r>
    <s v="MDN "/>
    <x v="156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2:45"/>
    <m/>
    <m/>
    <m/>
    <s v="False"/>
    <n v="0"/>
    <m/>
    <s v="False"/>
    <s v="False"/>
    <n v="1301"/>
    <s v="N"/>
  </r>
  <r>
    <s v="MDN "/>
    <x v="157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1:37"/>
    <m/>
    <m/>
    <m/>
    <s v="False"/>
    <n v="0"/>
    <m/>
    <s v="False"/>
    <s v="False"/>
    <n v="1301"/>
    <s v="N"/>
  </r>
  <r>
    <s v="MDN "/>
    <x v="158"/>
    <x v="0"/>
    <x v="0"/>
    <x v="28"/>
    <s v="SAMIRA INJETADOS LTDA"/>
    <s v="SAO JOAO BATISTA"/>
    <n v="4360"/>
    <n v="4360"/>
    <n v="0"/>
    <x v="109"/>
    <n v="1104"/>
    <x v="15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104"/>
    <n v="0"/>
    <n v="0"/>
    <n v="0"/>
    <n v="0"/>
    <n v="2000"/>
    <s v="False"/>
    <s v="CIF"/>
    <m/>
    <s v="CAROLINA"/>
    <s v="CAROLINA"/>
    <d v="2026-02-10T13:30:17"/>
    <m/>
    <m/>
    <m/>
    <s v="False"/>
    <n v="0"/>
    <m/>
    <s v="False"/>
    <s v="False"/>
    <n v="5478"/>
    <s v="N"/>
  </r>
  <r>
    <s v="MDN "/>
    <x v="159"/>
    <x v="0"/>
    <x v="0"/>
    <x v="28"/>
    <s v="KREUMAC - PRAYON - FERMONT"/>
    <s v="BLUMENAU"/>
    <n v="9320"/>
    <n v="9320"/>
    <n v="0"/>
    <x v="110"/>
    <n v="1896"/>
    <x v="15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896"/>
    <n v="0"/>
    <n v="0"/>
    <n v="0"/>
    <n v="0"/>
    <n v="4000"/>
    <s v="False"/>
    <s v="CIF"/>
    <m/>
    <s v="BETUSA"/>
    <s v="BETUSA"/>
    <d v="2026-02-10T17:11:36"/>
    <m/>
    <m/>
    <m/>
    <s v="False"/>
    <n v="0"/>
    <m/>
    <s v="False"/>
    <s v="False"/>
    <n v="5117"/>
    <s v="N"/>
  </r>
  <r>
    <s v="ONDA DO VALE - FILIAL"/>
    <x v="160"/>
    <x v="0"/>
    <x v="0"/>
    <x v="29"/>
    <s v="ETIQUETAR"/>
    <s v="BLUMENAU"/>
    <n v="6880"/>
    <n v="6880"/>
    <n v="0"/>
    <x v="111"/>
    <n v="1153"/>
    <x v="159"/>
    <s v="AMANDA DE OLIVEIRA VIANA"/>
    <s v="True"/>
    <s v="True"/>
    <s v="True"/>
    <s v="False"/>
    <s v="False"/>
    <s v="N"/>
    <n v="145"/>
    <s v="PAULO"/>
    <s v="30 60 DD"/>
    <n v="0"/>
    <s v="Data vallida do limite de crédito já passou."/>
    <n v="275"/>
    <n v="0"/>
    <n v="0"/>
    <n v="0"/>
    <n v="878"/>
    <n v="1500"/>
    <s v="False"/>
    <s v="CIF"/>
    <m/>
    <s v="BETUSA"/>
    <s v="BETUSA"/>
    <d v="2026-02-11T10:55:30"/>
    <m/>
    <m/>
    <m/>
    <s v="False"/>
    <n v="0"/>
    <m/>
    <s v="False"/>
    <s v="False"/>
    <n v="251"/>
    <s v="N"/>
  </r>
  <r>
    <s v="MDN "/>
    <x v="161"/>
    <x v="0"/>
    <x v="0"/>
    <x v="29"/>
    <s v="RIO BRANCO"/>
    <s v="ITAJAI"/>
    <n v="3576"/>
    <n v="3576"/>
    <n v="0"/>
    <x v="112"/>
    <n v="643.20000000000005"/>
    <x v="160"/>
    <s v="RD LITORAL REPRESENTACOES LTDA"/>
    <s v="True"/>
    <s v="True"/>
    <s v="True"/>
    <s v="False"/>
    <s v="False"/>
    <s v="N"/>
    <n v="83"/>
    <m/>
    <s v="30 60 DD"/>
    <n v="0"/>
    <s v="Data vallida do limite de crédito já passou."/>
    <n v="0"/>
    <n v="0"/>
    <n v="0"/>
    <n v="0"/>
    <n v="643.20000000000005"/>
    <n v="2400"/>
    <s v="False"/>
    <s v="CIF"/>
    <m/>
    <s v="RAFAEL"/>
    <s v="BETUSA"/>
    <d v="2026-02-11T13:53:27"/>
    <m/>
    <m/>
    <m/>
    <s v="False"/>
    <n v="0"/>
    <m/>
    <s v="False"/>
    <s v="False"/>
    <n v="4097"/>
    <s v="N"/>
  </r>
  <r>
    <s v="ONDA DO VALE"/>
    <x v="162"/>
    <x v="0"/>
    <x v="0"/>
    <x v="29"/>
    <s v="MICRONICS ENGINEERED FILTRATION GROUP"/>
    <s v="INDAIAL"/>
    <n v="7000"/>
    <n v="7000"/>
    <n v="0"/>
    <x v="113"/>
    <n v="1041"/>
    <x v="161"/>
    <s v="CAROLINA XAVIER"/>
    <s v="True"/>
    <s v="True"/>
    <s v="True"/>
    <s v="False"/>
    <s v="False"/>
    <s v="N"/>
    <n v="126"/>
    <s v="CAROL"/>
    <s v="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5"/>
    <x v="1"/>
    <n v="0"/>
    <n v="1000"/>
    <s v="False"/>
    <s v="CIF"/>
    <m/>
    <x v="2"/>
    <s v="BETUSA"/>
    <x v="162"/>
    <m/>
    <m/>
    <m/>
    <s v="False"/>
    <n v="0"/>
    <m/>
    <s v="False"/>
    <s v="False"/>
    <n v="737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63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13"/>
    <m/>
    <m/>
    <m/>
    <s v="False"/>
    <n v="0"/>
    <m/>
    <s v="False"/>
    <s v="False"/>
    <n v="4900"/>
    <s v="N"/>
  </r>
  <r>
    <s v="ONDA DO VALE"/>
    <x v="164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25"/>
    <m/>
    <m/>
    <m/>
    <s v="False"/>
    <n v="0"/>
    <m/>
    <s v="False"/>
    <s v="False"/>
    <n v="4900"/>
    <s v="N"/>
  </r>
  <r>
    <s v="MDN "/>
    <x v="165"/>
    <x v="0"/>
    <x v="0"/>
    <x v="29"/>
    <s v="DANNY - SP"/>
    <s v="GUARULHOS"/>
    <n v="8798"/>
    <n v="8798"/>
    <n v="0"/>
    <x v="115"/>
    <n v="1495.3"/>
    <x v="164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1495.3"/>
    <n v="1700"/>
    <s v="False"/>
    <s v="CIF"/>
    <s v="SC *** Nenhuma ***"/>
    <s v="BETUSA"/>
    <s v="BETUSA"/>
    <d v="2026-02-11T13:47:23"/>
    <m/>
    <m/>
    <m/>
    <s v="False"/>
    <n v="0"/>
    <m/>
    <s v="False"/>
    <s v="False"/>
    <n v="6082"/>
    <s v="N"/>
  </r>
  <r>
    <s v="FORTE EMBALAGENS"/>
    <x v="166"/>
    <x v="0"/>
    <x v="0"/>
    <x v="29"/>
    <s v="BIFIT INDUSTRIA  DISTRIBUIDORA"/>
    <s v="BRUSQUE"/>
    <n v="22050"/>
    <n v="22050"/>
    <n v="0"/>
    <x v="116"/>
    <n v="6115"/>
    <x v="16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67"/>
    <x v="1"/>
    <x v="2"/>
    <x v="1"/>
    <n v="0"/>
    <n v="5000"/>
    <s v="False"/>
    <s v="CIF"/>
    <m/>
    <x v="5"/>
    <s v="BETUSA"/>
    <x v="16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MDN "/>
    <x v="168"/>
    <x v="0"/>
    <x v="0"/>
    <x v="29"/>
    <s v="BILITON"/>
    <s v="ITAJAI"/>
    <n v="3498"/>
    <n v="3498"/>
    <n v="0"/>
    <x v="117"/>
    <n v="547.20000000000005"/>
    <x v="167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547.20000000000005"/>
    <n v="0"/>
    <n v="0"/>
    <n v="300"/>
    <s v="False"/>
    <s v="CIF"/>
    <m/>
    <s v="CAROLINA"/>
    <s v="CAROLINA"/>
    <d v="2026-02-11T14:44:49"/>
    <m/>
    <m/>
    <m/>
    <s v="False"/>
    <n v="0"/>
    <m/>
    <s v="False"/>
    <s v="False"/>
    <n v="322"/>
    <s v="N"/>
  </r>
  <r>
    <s v="MDN "/>
    <x v="169"/>
    <x v="0"/>
    <x v="0"/>
    <x v="29"/>
    <s v="DINAMAR"/>
    <s v="ITAJAI"/>
    <n v="954"/>
    <n v="954"/>
    <n v="0"/>
    <x v="118"/>
    <n v="103.2"/>
    <x v="16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0"/>
    <x v="1"/>
    <x v="2"/>
    <x v="1"/>
    <n v="0"/>
    <n v="300"/>
    <s v="False"/>
    <s v="CIF"/>
    <m/>
    <x v="2"/>
    <s v="BETUSA"/>
    <x v="169"/>
    <m/>
    <m/>
    <m/>
    <s v="False"/>
    <n v="0"/>
    <m/>
    <s v="False"/>
    <s v="False"/>
    <n v="60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1"/>
    <x v="0"/>
    <x v="0"/>
    <x v="29"/>
    <s v="REIKI"/>
    <s v="BALNEARIO CAMBORIU"/>
    <n v="7174"/>
    <n v="7174"/>
    <n v="0"/>
    <x v="119"/>
    <n v="1356.8"/>
    <x v="17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356.8"/>
    <n v="0"/>
    <n v="0"/>
    <n v="0"/>
    <n v="0"/>
    <n v="1400"/>
    <s v="False"/>
    <s v="CIF"/>
    <s v="SC CAMBORIU"/>
    <s v="CAROLINA"/>
    <s v="CAROLINA"/>
    <d v="2026-02-11T17:10:36"/>
    <m/>
    <m/>
    <m/>
    <s v="False"/>
    <n v="0"/>
    <m/>
    <s v="False"/>
    <s v="False"/>
    <n v="6910"/>
    <s v="N"/>
  </r>
  <r>
    <s v="MDN "/>
    <x v="172"/>
    <x v="0"/>
    <x v="0"/>
    <x v="29"/>
    <s v="MS COSMETICOS"/>
    <s v="JARAGUA DO SUL"/>
    <n v="2900"/>
    <n v="2900"/>
    <n v="0"/>
    <x v="120"/>
    <n v="584"/>
    <x v="171"/>
    <s v="CAROLINA XAVIER"/>
    <s v="True"/>
    <s v="True"/>
    <s v="True"/>
    <s v="False"/>
    <s v="False"/>
    <s v="N"/>
    <n v="126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3"/>
    <x v="1"/>
    <x v="2"/>
    <x v="1"/>
    <n v="0"/>
    <n v="2000"/>
    <s v="False"/>
    <s v="CIF"/>
    <m/>
    <x v="2"/>
    <s v="CAROLINA"/>
    <x v="172"/>
    <m/>
    <m/>
    <m/>
    <s v="False"/>
    <n v="0"/>
    <m/>
    <s v="False"/>
    <s v="False"/>
    <n v="873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4"/>
    <x v="0"/>
    <x v="0"/>
    <x v="30"/>
    <s v="CARIBOR"/>
    <s v="JOINVILLE"/>
    <n v="6887"/>
    <n v="6887"/>
    <n v="0"/>
    <x v="121"/>
    <n v="763.9"/>
    <x v="173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763.9"/>
    <n v="0"/>
    <n v="0"/>
    <n v="800"/>
    <s v="False"/>
    <s v="CIF"/>
    <m/>
    <s v="DIEGO"/>
    <s v="MARIA"/>
    <d v="2026-02-12T15:07:53"/>
    <m/>
    <m/>
    <m/>
    <s v="False"/>
    <n v="0"/>
    <m/>
    <s v="False"/>
    <s v="False"/>
    <n v="3204"/>
    <s v="N"/>
  </r>
  <r>
    <s v="ONDA DO VALE - FILIAL"/>
    <x v="175"/>
    <x v="0"/>
    <x v="0"/>
    <x v="30"/>
    <s v="BRASILPEX"/>
    <s v="ITAPEMA"/>
    <n v="25800"/>
    <n v="25800"/>
    <n v="0"/>
    <x v="122"/>
    <n v="6175"/>
    <x v="174"/>
    <s v="RD LITORAL REPRESENTACOES LTDA"/>
    <s v="True"/>
    <s v="True"/>
    <s v="True"/>
    <s v="False"/>
    <s v="False"/>
    <s v="N"/>
    <n v="83"/>
    <m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6"/>
    <x v="1"/>
    <x v="2"/>
    <x v="1"/>
    <n v="0"/>
    <n v="15000"/>
    <s v="False"/>
    <s v="CIF"/>
    <m/>
    <x v="75"/>
    <s v="MARIA"/>
    <x v="175"/>
    <m/>
    <m/>
    <m/>
    <s v="False"/>
    <n v="0"/>
    <m/>
    <s v="False"/>
    <s v="False"/>
    <n v="4212"/>
    <s v="N"/>
    <m/>
    <m/>
    <m/>
    <m/>
    <m/>
    <m/>
    <m/>
    <m/>
    <m/>
    <m/>
    <m/>
    <m/>
    <m/>
    <m/>
    <m/>
    <m/>
    <m/>
    <m/>
    <m/>
    <m/>
    <m/>
    <m/>
    <m/>
    <m/>
  </r>
  <r>
    <s v="MDN "/>
    <x v="177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7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MDN "/>
    <x v="179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8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0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1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2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2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3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3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4"/>
    <x v="0"/>
    <x v="0"/>
    <x v="32"/>
    <s v="FORNOS JUNG"/>
    <s v="BLUMENAU"/>
    <n v="1345.1"/>
    <n v="1345.1"/>
    <n v="0"/>
    <x v="124"/>
    <n v="103.95"/>
    <x v="184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6"/>
    <x v="1"/>
    <n v="0"/>
    <n v="50"/>
    <s v="False"/>
    <s v="CIF"/>
    <m/>
    <x v="5"/>
    <s v="BETUSA"/>
    <x v="185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5"/>
    <x v="0"/>
    <x v="0"/>
    <x v="33"/>
    <s v="B &amp; F INDUSTRIA METALURGICA LTDA"/>
    <s v="BRUSQUE"/>
    <n v="4090"/>
    <n v="4090"/>
    <n v="0"/>
    <x v="125"/>
    <n v="811"/>
    <x v="186"/>
    <s v="DIRETA"/>
    <s v="True"/>
    <s v="True"/>
    <s v="True"/>
    <s v="False"/>
    <s v="False"/>
    <s v="N"/>
    <n v="9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6"/>
    <x v="1"/>
    <x v="2"/>
    <x v="1"/>
    <n v="0"/>
    <n v="1000"/>
    <s v="False"/>
    <s v="CIF"/>
    <m/>
    <x v="5"/>
    <s v="BETUSA"/>
    <x v="187"/>
    <m/>
    <m/>
    <m/>
    <s v="False"/>
    <n v="0"/>
    <m/>
    <s v="False"/>
    <s v="False"/>
    <n v="885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7"/>
    <x v="0"/>
    <x v="0"/>
    <x v="33"/>
    <s v="SCHWANKE"/>
    <s v="BLUMENAU"/>
    <n v="15410"/>
    <n v="15410"/>
    <n v="0"/>
    <x v="126"/>
    <n v="3221"/>
    <x v="188"/>
    <s v="DIRETA"/>
    <s v="True"/>
    <s v="True"/>
    <s v="True"/>
    <s v="False"/>
    <s v="False"/>
    <s v="N"/>
    <n v="9"/>
    <s v="TELEVENDAS"/>
    <s v="30 60 75 DD"/>
    <n v="0"/>
    <s v="Valor do limite de atraso ultrapassado."/>
    <n v="3221"/>
    <n v="0"/>
    <n v="0"/>
    <n v="0"/>
    <n v="0"/>
    <n v="5000"/>
    <s v="False"/>
    <s v="CIF"/>
    <s v="SC PENHA"/>
    <s v="BETUSA"/>
    <s v="BETUSA"/>
    <d v="2026-02-18T09:50:00"/>
    <m/>
    <m/>
    <m/>
    <s v="False"/>
    <n v="0"/>
    <m/>
    <s v="False"/>
    <s v="False"/>
    <n v="161"/>
    <s v="N"/>
  </r>
  <r>
    <s v="ONDA DO VALE - FILIAL"/>
    <x v="188"/>
    <x v="0"/>
    <x v="0"/>
    <x v="33"/>
    <s v="SAUBA"/>
    <s v="ANTONIO CARLOS"/>
    <n v="26400"/>
    <n v="26400"/>
    <n v="0"/>
    <x v="127"/>
    <n v="7872"/>
    <x v="18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9"/>
    <x v="1"/>
    <x v="2"/>
    <x v="1"/>
    <n v="0"/>
    <n v="8000"/>
    <s v="False"/>
    <s v="CIF"/>
    <m/>
    <x v="2"/>
    <s v="CAROLINA"/>
    <x v="190"/>
    <m/>
    <m/>
    <m/>
    <s v="False"/>
    <n v="0"/>
    <m/>
    <s v="False"/>
    <s v="False"/>
    <n v="401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0"/>
    <x v="0"/>
    <x v="0"/>
    <x v="33"/>
    <s v="CHEIRO BRASIL COSMETICOS NATURAIS"/>
    <s v="BALNEARIO CAMBORIU"/>
    <n v="5997.6"/>
    <n v="5997.6"/>
    <n v="0"/>
    <x v="128"/>
    <n v="974.4"/>
    <x v="191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974.4"/>
    <n v="1400"/>
    <s v="False"/>
    <s v="CIF"/>
    <m/>
    <x v="2"/>
    <s v="CAROLINA"/>
    <x v="192"/>
    <m/>
    <m/>
    <m/>
    <s v="False"/>
    <n v="0"/>
    <m/>
    <s v="False"/>
    <s v="False"/>
    <n v="8572"/>
    <s v="N"/>
    <m/>
    <m/>
    <m/>
    <m/>
    <m/>
    <m/>
    <m/>
    <m/>
    <m/>
    <m/>
    <m/>
    <m/>
    <m/>
    <m/>
    <m/>
    <m/>
    <m/>
    <m/>
    <m/>
    <m/>
    <m/>
    <m/>
    <m/>
    <m/>
  </r>
  <r>
    <s v="MDN "/>
    <x v="191"/>
    <x v="0"/>
    <x v="0"/>
    <x v="33"/>
    <s v="TZE"/>
    <s v="POMERODE"/>
    <n v="8780"/>
    <n v="8780"/>
    <n v="0"/>
    <x v="129"/>
    <n v="1825"/>
    <x v="193"/>
    <s v="AMANDA DE OLIVEIRA VIANA"/>
    <s v="True"/>
    <s v="True"/>
    <s v="True"/>
    <s v="False"/>
    <s v="False"/>
    <s v="N"/>
    <n v="145"/>
    <s v="AMANDA "/>
    <s v="75 DD"/>
    <n v="0"/>
    <s v="Data vallida do limite de crédito já passou."/>
    <n v="1825"/>
    <n v="0"/>
    <n v="0"/>
    <n v="0"/>
    <n v="0"/>
    <n v="5000"/>
    <s v="False"/>
    <s v="CIF"/>
    <m/>
    <s v="BETUSA"/>
    <s v="BETUSA"/>
    <d v="2026-02-18T11:33:03"/>
    <m/>
    <m/>
    <m/>
    <s v="False"/>
    <n v="0"/>
    <m/>
    <s v="False"/>
    <s v="False"/>
    <n v="5017"/>
    <s v="N"/>
  </r>
  <r>
    <s v="ONDA DO VALE"/>
    <x v="192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5:59:28"/>
    <m/>
    <m/>
    <m/>
    <s v="False"/>
    <n v="0"/>
    <m/>
    <s v="False"/>
    <s v="False"/>
    <n v="4900"/>
    <s v="N"/>
  </r>
  <r>
    <s v="ONDA DO VALE"/>
    <x v="193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6:00:21"/>
    <m/>
    <m/>
    <m/>
    <s v="False"/>
    <n v="0"/>
    <m/>
    <s v="False"/>
    <s v="False"/>
    <n v="4900"/>
    <s v="N"/>
  </r>
  <r>
    <s v="ONDA DO VALE"/>
    <x v="194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47"/>
    <m/>
    <m/>
    <m/>
    <s v="False"/>
    <n v="0"/>
    <m/>
    <s v="False"/>
    <s v="False"/>
    <n v="4900"/>
    <s v="N"/>
  </r>
  <r>
    <s v="ONDA DO VALE"/>
    <x v="195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57"/>
    <m/>
    <m/>
    <m/>
    <s v="False"/>
    <n v="0"/>
    <m/>
    <s v="False"/>
    <s v="False"/>
    <n v="4900"/>
    <s v="N"/>
  </r>
  <r>
    <s v="MDN "/>
    <x v="196"/>
    <x v="0"/>
    <x v="0"/>
    <x v="33"/>
    <s v="DONNA BLU"/>
    <s v="POMERODE"/>
    <n v="2502"/>
    <n v="2502"/>
    <n v="0"/>
    <x v="131"/>
    <n v="487.8"/>
    <x v="195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7"/>
    <x v="1"/>
    <x v="2"/>
    <x v="1"/>
    <n v="0"/>
    <n v="900"/>
    <s v="False"/>
    <s v="CIF"/>
    <m/>
    <x v="5"/>
    <s v="BETUSA"/>
    <x v="196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198"/>
    <x v="0"/>
    <x v="0"/>
    <x v="33"/>
    <s v="DONNA BLU"/>
    <s v="POMERODE"/>
    <n v="2780"/>
    <n v="2780"/>
    <n v="0"/>
    <x v="132"/>
    <n v="542"/>
    <x v="197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9"/>
    <x v="1"/>
    <x v="2"/>
    <x v="1"/>
    <n v="0"/>
    <n v="1000"/>
    <s v="False"/>
    <s v="CIF"/>
    <m/>
    <x v="5"/>
    <s v="BETUSA"/>
    <x v="198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200"/>
    <x v="0"/>
    <x v="0"/>
    <x v="33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6:52"/>
    <m/>
    <m/>
    <m/>
    <s v="False"/>
    <n v="0"/>
    <m/>
    <s v="False"/>
    <s v="False"/>
    <n v="8054"/>
    <s v="N"/>
  </r>
  <r>
    <s v="MDN "/>
    <x v="201"/>
    <x v="0"/>
    <x v="0"/>
    <x v="33"/>
    <s v="M2M TEXTIL"/>
    <s v="ASCURRA"/>
    <n v="9384"/>
    <n v="9384"/>
    <n v="0"/>
    <x v="48"/>
    <n v="1102.4000000000001"/>
    <x v="200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2-18T16:57:32"/>
    <m/>
    <m/>
    <m/>
    <s v="False"/>
    <n v="0"/>
    <m/>
    <s v="False"/>
    <s v="False"/>
    <n v="4340"/>
    <s v="N"/>
  </r>
  <r>
    <s v="MDN "/>
    <x v="202"/>
    <x v="0"/>
    <x v="0"/>
    <x v="34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8:10"/>
    <m/>
    <m/>
    <m/>
    <s v="False"/>
    <n v="0"/>
    <m/>
    <s v="False"/>
    <s v="False"/>
    <n v="8054"/>
    <s v="N"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CBC691-8FE5-4117-AD29-0522370051A7}" name="Tabela dinâmica1" cacheId="0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7" firstHeaderRow="1" firstDataRow="1" firstDataCol="1" rowPageCount="2" colPageCount="1"/>
  <pivotFields count="47">
    <pivotField showAll="0"/>
    <pivotField showAll="0">
      <items count="205">
        <item x="2"/>
        <item x="153"/>
        <item x="170"/>
        <item x="116"/>
        <item x="100"/>
        <item x="39"/>
        <item x="149"/>
        <item x="41"/>
        <item x="79"/>
        <item x="63"/>
        <item x="197"/>
        <item x="12"/>
        <item x="74"/>
        <item x="69"/>
        <item x="199"/>
        <item x="173"/>
        <item x="9"/>
        <item x="104"/>
        <item x="113"/>
        <item x="186"/>
        <item x="132"/>
        <item x="142"/>
        <item x="55"/>
        <item x="94"/>
        <item x="43"/>
        <item x="125"/>
        <item x="110"/>
        <item x="129"/>
        <item x="48"/>
        <item x="147"/>
        <item x="178"/>
        <item x="90"/>
        <item x="24"/>
        <item x="51"/>
        <item x="167"/>
        <item x="176"/>
        <item x="189"/>
        <item x="0"/>
        <item x="1"/>
        <item x="3"/>
        <item x="4"/>
        <item x="5"/>
        <item x="6"/>
        <item x="7"/>
        <item x="8"/>
        <item x="10"/>
        <item x="11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2"/>
        <item x="44"/>
        <item x="45"/>
        <item x="46"/>
        <item x="47"/>
        <item x="49"/>
        <item x="50"/>
        <item x="52"/>
        <item x="53"/>
        <item x="54"/>
        <item x="56"/>
        <item x="57"/>
        <item x="58"/>
        <item x="59"/>
        <item x="60"/>
        <item x="61"/>
        <item x="62"/>
        <item x="64"/>
        <item x="65"/>
        <item x="66"/>
        <item x="67"/>
        <item x="68"/>
        <item x="70"/>
        <item x="71"/>
        <item x="72"/>
        <item x="73"/>
        <item x="75"/>
        <item x="76"/>
        <item x="77"/>
        <item x="78"/>
        <item x="80"/>
        <item x="81"/>
        <item x="82"/>
        <item x="83"/>
        <item x="84"/>
        <item x="85"/>
        <item x="86"/>
        <item x="87"/>
        <item x="88"/>
        <item x="89"/>
        <item x="91"/>
        <item x="92"/>
        <item x="93"/>
        <item x="95"/>
        <item x="96"/>
        <item x="97"/>
        <item x="98"/>
        <item x="99"/>
        <item x="101"/>
        <item x="102"/>
        <item x="103"/>
        <item x="105"/>
        <item x="106"/>
        <item x="107"/>
        <item x="108"/>
        <item x="109"/>
        <item x="111"/>
        <item x="112"/>
        <item x="114"/>
        <item x="115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8"/>
        <item x="150"/>
        <item x="151"/>
        <item x="152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8"/>
        <item x="169"/>
        <item x="171"/>
        <item x="172"/>
        <item x="174"/>
        <item x="175"/>
        <item x="177"/>
        <item x="179"/>
        <item x="180"/>
        <item x="181"/>
        <item x="182"/>
        <item x="183"/>
        <item x="184"/>
        <item x="185"/>
        <item x="187"/>
        <item x="188"/>
        <item x="190"/>
        <item x="191"/>
        <item x="192"/>
        <item x="193"/>
        <item x="194"/>
        <item x="195"/>
        <item x="196"/>
        <item x="198"/>
        <item x="200"/>
        <item x="201"/>
        <item x="202"/>
        <item x="20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axis="axisPage" multipleItemSelectionAllowed="1" showAll="0">
      <items count="19">
        <item h="1" x="2"/>
        <item h="1" x="3"/>
        <item h="1" x="16"/>
        <item h="1" x="13"/>
        <item h="1" x="14"/>
        <item h="1" x="9"/>
        <item h="1" x="7"/>
        <item h="1" x="6"/>
        <item h="1" x="4"/>
        <item h="1" x="11"/>
        <item h="1" x="8"/>
        <item h="1" x="10"/>
        <item h="1" x="15"/>
        <item h="1" x="12"/>
        <item h="1" x="1"/>
        <item h="1" x="5"/>
        <item x="0"/>
        <item h="1" x="17"/>
        <item t="default"/>
      </items>
    </pivotField>
    <pivotField axis="axisPage" multipleItemSelectionAllowed="1" showAll="0">
      <items count="37">
        <item h="1" x="20"/>
        <item h="1" x="1"/>
        <item h="1" x="0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h="1" x="35"/>
        <item t="default"/>
      </items>
    </pivotField>
    <pivotField showAll="0"/>
    <pivotField showAll="0"/>
    <pivotField showAll="0"/>
    <pivotField showAll="0"/>
    <pivotField showAll="0"/>
    <pivotField dataField="1" showAll="0">
      <items count="136">
        <item x="59"/>
        <item x="106"/>
        <item x="46"/>
        <item x="19"/>
        <item x="67"/>
        <item x="118"/>
        <item x="27"/>
        <item x="133"/>
        <item x="124"/>
        <item x="104"/>
        <item x="92"/>
        <item x="87"/>
        <item x="62"/>
        <item x="21"/>
        <item x="114"/>
        <item x="45"/>
        <item x="9"/>
        <item x="73"/>
        <item x="11"/>
        <item x="43"/>
        <item x="8"/>
        <item x="94"/>
        <item x="131"/>
        <item x="96"/>
        <item x="28"/>
        <item x="51"/>
        <item x="58"/>
        <item x="82"/>
        <item x="132"/>
        <item x="120"/>
        <item x="130"/>
        <item x="26"/>
        <item x="78"/>
        <item x="117"/>
        <item x="112"/>
        <item x="4"/>
        <item x="49"/>
        <item x="6"/>
        <item x="76"/>
        <item x="93"/>
        <item x="99"/>
        <item x="38"/>
        <item x="36"/>
        <item x="57"/>
        <item x="109"/>
        <item x="98"/>
        <item x="15"/>
        <item x="125"/>
        <item x="97"/>
        <item x="14"/>
        <item x="86"/>
        <item x="52"/>
        <item x="90"/>
        <item x="88"/>
        <item x="25"/>
        <item x="54"/>
        <item x="80"/>
        <item x="95"/>
        <item x="66"/>
        <item x="16"/>
        <item x="63"/>
        <item x="71"/>
        <item x="30"/>
        <item x="111"/>
        <item x="128"/>
        <item x="74"/>
        <item x="13"/>
        <item x="29"/>
        <item x="91"/>
        <item x="121"/>
        <item x="113"/>
        <item x="101"/>
        <item x="37"/>
        <item x="70"/>
        <item x="50"/>
        <item x="119"/>
        <item x="107"/>
        <item x="72"/>
        <item x="64"/>
        <item x="129"/>
        <item x="115"/>
        <item x="60"/>
        <item x="110"/>
        <item x="33"/>
        <item x="48"/>
        <item x="23"/>
        <item x="85"/>
        <item x="55"/>
        <item x="12"/>
        <item x="31"/>
        <item x="105"/>
        <item x="47"/>
        <item x="53"/>
        <item x="20"/>
        <item x="89"/>
        <item x="3"/>
        <item x="103"/>
        <item x="79"/>
        <item x="77"/>
        <item x="39"/>
        <item x="1"/>
        <item x="100"/>
        <item x="108"/>
        <item x="35"/>
        <item x="81"/>
        <item x="7"/>
        <item x="61"/>
        <item x="18"/>
        <item x="126"/>
        <item x="24"/>
        <item x="123"/>
        <item x="40"/>
        <item x="69"/>
        <item x="68"/>
        <item x="84"/>
        <item x="116"/>
        <item x="41"/>
        <item x="83"/>
        <item x="122"/>
        <item x="42"/>
        <item x="127"/>
        <item x="34"/>
        <item x="22"/>
        <item x="0"/>
        <item x="32"/>
        <item x="65"/>
        <item x="44"/>
        <item x="17"/>
        <item x="56"/>
        <item x="102"/>
        <item x="5"/>
        <item x="2"/>
        <item x="10"/>
        <item x="75"/>
        <item x="134"/>
        <item t="default"/>
      </items>
    </pivotField>
    <pivotField dataField="1" showAll="0"/>
    <pivotField dataField="1" showAll="0">
      <items count="203">
        <item x="153"/>
        <item x="82"/>
        <item x="65"/>
        <item x="168"/>
        <item x="93"/>
        <item x="23"/>
        <item x="13"/>
        <item x="95"/>
        <item x="184"/>
        <item x="33"/>
        <item x="148"/>
        <item x="134"/>
        <item x="124"/>
        <item x="199"/>
        <item x="86"/>
        <item x="27"/>
        <item x="163"/>
        <item x="62"/>
        <item x="136"/>
        <item x="71"/>
        <item x="55"/>
        <item x="138"/>
        <item x="11"/>
        <item x="35"/>
        <item x="171"/>
        <item x="195"/>
        <item x="194"/>
        <item x="104"/>
        <item x="197"/>
        <item x="140"/>
        <item x="117"/>
        <item x="81"/>
        <item x="6"/>
        <item x="8"/>
        <item x="32"/>
        <item x="17"/>
        <item x="4"/>
        <item x="18"/>
        <item x="47"/>
        <item x="130"/>
        <item x="186"/>
        <item x="160"/>
        <item x="141"/>
        <item x="108"/>
        <item x="49"/>
        <item x="167"/>
        <item x="135"/>
        <item x="69"/>
        <item x="111"/>
        <item x="91"/>
        <item x="19"/>
        <item x="80"/>
        <item x="137"/>
        <item x="157"/>
        <item x="122"/>
        <item x="139"/>
        <item x="76"/>
        <item x="31"/>
        <item x="100"/>
        <item x="115"/>
        <item x="106"/>
        <item x="87"/>
        <item x="16"/>
        <item x="127"/>
        <item x="191"/>
        <item x="102"/>
        <item x="173"/>
        <item x="37"/>
        <item x="155"/>
        <item x="159"/>
        <item x="170"/>
        <item x="70"/>
        <item x="132"/>
        <item x="161"/>
        <item x="68"/>
        <item x="200"/>
        <item x="42"/>
        <item x="39"/>
        <item x="144"/>
        <item x="164"/>
        <item x="78"/>
        <item x="193"/>
        <item x="3"/>
        <item x="48"/>
        <item x="103"/>
        <item x="89"/>
        <item x="66"/>
        <item x="151"/>
        <item x="40"/>
        <item x="146"/>
        <item x="29"/>
        <item x="121"/>
        <item x="113"/>
        <item x="83"/>
        <item x="158"/>
        <item x="109"/>
        <item x="1"/>
        <item x="7"/>
        <item x="116"/>
        <item x="75"/>
        <item x="15"/>
        <item x="84"/>
        <item x="188"/>
        <item x="129"/>
        <item x="51"/>
        <item x="25"/>
        <item x="22"/>
        <item x="156"/>
        <item x="30"/>
        <item x="98"/>
        <item x="143"/>
        <item x="96"/>
        <item x="120"/>
        <item x="52"/>
        <item x="176"/>
        <item x="174"/>
        <item x="0"/>
        <item x="44"/>
        <item x="53"/>
        <item x="45"/>
        <item x="41"/>
        <item x="165"/>
        <item x="54"/>
        <item x="73"/>
        <item x="118"/>
        <item x="28"/>
        <item x="90"/>
        <item x="189"/>
        <item x="57"/>
        <item x="179"/>
        <item x="79"/>
        <item x="21"/>
        <item x="145"/>
        <item x="2"/>
        <item x="5"/>
        <item x="9"/>
        <item x="10"/>
        <item x="12"/>
        <item x="14"/>
        <item x="20"/>
        <item x="26"/>
        <item x="24"/>
        <item x="36"/>
        <item x="34"/>
        <item x="38"/>
        <item x="43"/>
        <item x="46"/>
        <item x="50"/>
        <item x="58"/>
        <item x="59"/>
        <item x="60"/>
        <item x="61"/>
        <item x="56"/>
        <item x="67"/>
        <item x="63"/>
        <item x="64"/>
        <item x="72"/>
        <item x="74"/>
        <item x="77"/>
        <item x="85"/>
        <item x="88"/>
        <item x="92"/>
        <item x="97"/>
        <item x="99"/>
        <item x="94"/>
        <item x="101"/>
        <item x="105"/>
        <item x="107"/>
        <item x="112"/>
        <item x="114"/>
        <item x="110"/>
        <item x="119"/>
        <item x="123"/>
        <item x="125"/>
        <item x="126"/>
        <item x="131"/>
        <item x="128"/>
        <item x="133"/>
        <item x="142"/>
        <item x="147"/>
        <item x="149"/>
        <item x="150"/>
        <item x="152"/>
        <item x="154"/>
        <item x="166"/>
        <item x="162"/>
        <item x="175"/>
        <item x="177"/>
        <item x="178"/>
        <item x="172"/>
        <item x="180"/>
        <item x="181"/>
        <item x="182"/>
        <item x="183"/>
        <item x="185"/>
        <item x="169"/>
        <item x="187"/>
        <item x="190"/>
        <item x="192"/>
        <item x="196"/>
        <item x="198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3">
    <i>
      <x/>
    </i>
    <i i="1">
      <x v="1"/>
    </i>
    <i i="2">
      <x v="2"/>
    </i>
  </rowItems>
  <colItems count="1">
    <i/>
  </colItems>
  <pageFields count="2">
    <pageField fld="4" hier="-1"/>
    <pageField fld="3" hier="-1"/>
  </pageFields>
  <dataFields count="3">
    <dataField name="Soma de Kg" fld="12" baseField="0" baseItem="0"/>
    <dataField name="Soma de Valor Com IPI" fld="10" baseField="0" baseItem="0"/>
    <dataField name="Soma de Total m2" fld="11" baseField="0" baseItem="0"/>
  </dataFields>
  <formats count="4">
    <format dxfId="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">
      <pivotArea collapsedLevelsAreSubtotals="1" fieldPosition="0">
        <references count="1">
          <reference field="4294967294" count="1">
            <x v="2"/>
          </reference>
        </references>
      </pivotArea>
    </format>
    <format dxfId="3">
      <pivotArea outline="0" collapsedLevelsAreSubtotals="1" fieldPosition="0"/>
    </format>
    <format dxfId="2">
      <pivotArea dataOnly="0" labelOnly="1" grandCol="1" outline="0" axis="axisCol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29"/>
  <sheetViews>
    <sheetView tabSelected="1" zoomScale="85" zoomScaleNormal="85" workbookViewId="0">
      <pane ySplit="1" topLeftCell="A80" activePane="bottomLeft" state="frozen"/>
      <selection pane="bottomLeft" activeCell="G65" sqref="G65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47</v>
      </c>
      <c r="B2">
        <v>38.625</v>
      </c>
      <c r="C2" t="s">
        <v>48</v>
      </c>
      <c r="D2" t="s">
        <v>49</v>
      </c>
      <c r="E2" s="2">
        <v>46056</v>
      </c>
      <c r="F2" t="s">
        <v>172</v>
      </c>
      <c r="G2" t="s">
        <v>173</v>
      </c>
      <c r="H2" t="s">
        <v>188</v>
      </c>
      <c r="I2" t="s">
        <v>188</v>
      </c>
      <c r="J2" t="s">
        <v>189</v>
      </c>
      <c r="K2" t="s">
        <v>188</v>
      </c>
      <c r="L2" t="s">
        <v>190</v>
      </c>
      <c r="M2" t="s">
        <v>191</v>
      </c>
      <c r="N2" t="s">
        <v>70</v>
      </c>
      <c r="O2" t="b">
        <v>1</v>
      </c>
      <c r="P2" t="b">
        <v>1</v>
      </c>
      <c r="Q2" t="b">
        <v>1</v>
      </c>
      <c r="R2" t="b">
        <v>0</v>
      </c>
      <c r="S2" t="b">
        <v>0</v>
      </c>
      <c r="T2" t="s">
        <v>51</v>
      </c>
      <c r="U2">
        <v>9</v>
      </c>
      <c r="V2" t="s">
        <v>63</v>
      </c>
      <c r="W2">
        <v>0</v>
      </c>
      <c r="X2" s="4">
        <v>0</v>
      </c>
      <c r="Y2" t="s">
        <v>57</v>
      </c>
    </row>
    <row r="3" spans="1:47" x14ac:dyDescent="0.25">
      <c r="A3" t="s">
        <v>54</v>
      </c>
      <c r="B3" t="s">
        <v>192</v>
      </c>
      <c r="C3" t="s">
        <v>189</v>
      </c>
      <c r="D3" t="s">
        <v>193</v>
      </c>
      <c r="E3" t="s">
        <v>189</v>
      </c>
      <c r="F3" t="s">
        <v>189</v>
      </c>
      <c r="G3" t="s">
        <v>194</v>
      </c>
      <c r="H3" t="b">
        <v>0</v>
      </c>
      <c r="I3" t="s">
        <v>55</v>
      </c>
      <c r="K3" t="s">
        <v>65</v>
      </c>
      <c r="L3" t="s">
        <v>65</v>
      </c>
      <c r="M3" s="5">
        <v>46056.385648148149</v>
      </c>
      <c r="Q3" t="b">
        <v>0</v>
      </c>
      <c r="R3">
        <v>0</v>
      </c>
      <c r="T3" t="b">
        <v>0</v>
      </c>
      <c r="U3" t="b">
        <v>0</v>
      </c>
      <c r="V3">
        <v>2581</v>
      </c>
      <c r="W3" t="s">
        <v>51</v>
      </c>
    </row>
    <row r="4" spans="1:47" x14ac:dyDescent="0.25">
      <c r="A4" t="s">
        <v>47</v>
      </c>
      <c r="B4">
        <v>38.625999999999998</v>
      </c>
      <c r="C4" t="s">
        <v>48</v>
      </c>
      <c r="D4" t="s">
        <v>49</v>
      </c>
      <c r="E4" s="2">
        <v>46056</v>
      </c>
      <c r="F4" t="s">
        <v>174</v>
      </c>
      <c r="G4" t="s">
        <v>151</v>
      </c>
      <c r="H4" t="s">
        <v>195</v>
      </c>
      <c r="I4" t="s">
        <v>195</v>
      </c>
      <c r="J4" t="s">
        <v>189</v>
      </c>
      <c r="K4" t="s">
        <v>196</v>
      </c>
      <c r="L4" t="s">
        <v>197</v>
      </c>
      <c r="M4" t="s">
        <v>198</v>
      </c>
      <c r="N4" t="s">
        <v>83</v>
      </c>
      <c r="O4" t="b">
        <v>1</v>
      </c>
      <c r="P4" t="b">
        <v>1</v>
      </c>
      <c r="Q4" t="b">
        <v>1</v>
      </c>
      <c r="R4" t="b">
        <v>0</v>
      </c>
      <c r="S4" t="b">
        <v>0</v>
      </c>
      <c r="T4" t="s">
        <v>51</v>
      </c>
      <c r="U4">
        <v>145</v>
      </c>
      <c r="V4" t="s">
        <v>100</v>
      </c>
      <c r="W4" t="s">
        <v>98</v>
      </c>
      <c r="X4" s="4">
        <v>0</v>
      </c>
      <c r="Y4" t="s">
        <v>57</v>
      </c>
    </row>
    <row r="5" spans="1:47" x14ac:dyDescent="0.25">
      <c r="A5" t="s">
        <v>58</v>
      </c>
      <c r="B5" t="s">
        <v>197</v>
      </c>
      <c r="C5" t="s">
        <v>189</v>
      </c>
      <c r="D5" t="s">
        <v>189</v>
      </c>
      <c r="E5" t="s">
        <v>189</v>
      </c>
      <c r="F5" t="s">
        <v>189</v>
      </c>
      <c r="G5" t="s">
        <v>199</v>
      </c>
      <c r="H5" t="b">
        <v>0</v>
      </c>
      <c r="I5" t="s">
        <v>55</v>
      </c>
      <c r="K5" t="s">
        <v>65</v>
      </c>
      <c r="L5" t="s">
        <v>65</v>
      </c>
      <c r="M5" s="5">
        <v>46056.475451388891</v>
      </c>
      <c r="Q5" t="b">
        <v>0</v>
      </c>
      <c r="R5">
        <v>0</v>
      </c>
      <c r="T5" t="b">
        <v>0</v>
      </c>
      <c r="U5" t="b">
        <v>0</v>
      </c>
      <c r="V5">
        <v>5323</v>
      </c>
      <c r="W5" t="s">
        <v>51</v>
      </c>
    </row>
    <row r="6" spans="1:47" x14ac:dyDescent="0.25">
      <c r="A6" t="s">
        <v>47</v>
      </c>
      <c r="B6">
        <v>38.627000000000002</v>
      </c>
      <c r="C6" t="s">
        <v>48</v>
      </c>
      <c r="D6" t="s">
        <v>49</v>
      </c>
      <c r="E6" s="2">
        <v>46056</v>
      </c>
      <c r="F6" t="s">
        <v>136</v>
      </c>
      <c r="G6" t="s">
        <v>137</v>
      </c>
      <c r="H6" t="s">
        <v>200</v>
      </c>
      <c r="I6" t="s">
        <v>200</v>
      </c>
      <c r="J6" t="s">
        <v>189</v>
      </c>
      <c r="K6" t="s">
        <v>200</v>
      </c>
      <c r="L6" t="s">
        <v>201</v>
      </c>
      <c r="M6" t="s">
        <v>202</v>
      </c>
      <c r="N6" t="s">
        <v>70</v>
      </c>
      <c r="O6" t="b">
        <v>1</v>
      </c>
      <c r="P6" t="b">
        <v>1</v>
      </c>
      <c r="Q6" t="b">
        <v>1</v>
      </c>
      <c r="R6" t="b">
        <v>0</v>
      </c>
      <c r="S6" t="b">
        <v>0</v>
      </c>
      <c r="T6" t="s">
        <v>51</v>
      </c>
      <c r="U6">
        <v>9</v>
      </c>
      <c r="W6" t="s">
        <v>138</v>
      </c>
      <c r="X6" s="4">
        <v>0</v>
      </c>
      <c r="Y6" t="s">
        <v>54</v>
      </c>
      <c r="Z6" t="s">
        <v>189</v>
      </c>
      <c r="AA6" t="s">
        <v>189</v>
      </c>
      <c r="AB6" t="s">
        <v>201</v>
      </c>
      <c r="AC6" t="s">
        <v>189</v>
      </c>
      <c r="AD6" t="s">
        <v>189</v>
      </c>
      <c r="AE6" t="s">
        <v>203</v>
      </c>
      <c r="AF6" t="b">
        <v>0</v>
      </c>
      <c r="AG6" t="s">
        <v>55</v>
      </c>
      <c r="AI6" t="s">
        <v>75</v>
      </c>
      <c r="AJ6" t="s">
        <v>75</v>
      </c>
      <c r="AK6" s="5">
        <v>46056.472407407404</v>
      </c>
      <c r="AO6" t="b">
        <v>0</v>
      </c>
      <c r="AP6">
        <v>0</v>
      </c>
      <c r="AR6" t="b">
        <v>0</v>
      </c>
      <c r="AS6" t="b">
        <v>0</v>
      </c>
      <c r="AT6">
        <v>3124</v>
      </c>
      <c r="AU6" t="s">
        <v>51</v>
      </c>
    </row>
    <row r="7" spans="1:47" x14ac:dyDescent="0.25">
      <c r="A7" t="s">
        <v>47</v>
      </c>
      <c r="B7">
        <v>38.628</v>
      </c>
      <c r="C7" t="s">
        <v>48</v>
      </c>
      <c r="D7" t="s">
        <v>49</v>
      </c>
      <c r="E7" s="2">
        <v>46056</v>
      </c>
      <c r="F7" t="s">
        <v>129</v>
      </c>
      <c r="G7" t="s">
        <v>128</v>
      </c>
      <c r="H7" t="s">
        <v>204</v>
      </c>
      <c r="I7" t="s">
        <v>204</v>
      </c>
      <c r="J7" t="s">
        <v>189</v>
      </c>
      <c r="K7" t="s">
        <v>205</v>
      </c>
      <c r="L7" t="s">
        <v>206</v>
      </c>
      <c r="M7" t="s">
        <v>207</v>
      </c>
      <c r="N7" t="s">
        <v>50</v>
      </c>
      <c r="O7" t="b">
        <v>1</v>
      </c>
      <c r="P7" t="b">
        <v>1</v>
      </c>
      <c r="Q7" t="b">
        <v>1</v>
      </c>
      <c r="R7" t="b">
        <v>0</v>
      </c>
      <c r="S7" t="b">
        <v>0</v>
      </c>
      <c r="T7" t="s">
        <v>51</v>
      </c>
      <c r="U7">
        <v>126</v>
      </c>
      <c r="V7" t="s">
        <v>52</v>
      </c>
      <c r="W7" t="s">
        <v>53</v>
      </c>
      <c r="X7" s="4">
        <v>0</v>
      </c>
      <c r="Y7" t="s">
        <v>57</v>
      </c>
    </row>
    <row r="8" spans="1:47" x14ac:dyDescent="0.25">
      <c r="A8" t="s">
        <v>58</v>
      </c>
      <c r="B8" t="s">
        <v>208</v>
      </c>
      <c r="C8" t="s">
        <v>189</v>
      </c>
      <c r="D8" t="s">
        <v>209</v>
      </c>
      <c r="E8" t="s">
        <v>189</v>
      </c>
      <c r="F8" t="s">
        <v>189</v>
      </c>
      <c r="G8" t="s">
        <v>210</v>
      </c>
      <c r="H8" t="b">
        <v>0</v>
      </c>
      <c r="I8" t="s">
        <v>55</v>
      </c>
      <c r="J8" t="s">
        <v>130</v>
      </c>
      <c r="K8" t="s">
        <v>65</v>
      </c>
      <c r="L8" t="s">
        <v>56</v>
      </c>
      <c r="M8" s="5">
        <v>46115.627488425926</v>
      </c>
      <c r="Q8" t="b">
        <v>0</v>
      </c>
      <c r="R8">
        <v>0</v>
      </c>
      <c r="T8" t="b">
        <v>0</v>
      </c>
      <c r="U8" t="b">
        <v>0</v>
      </c>
      <c r="V8">
        <v>7006</v>
      </c>
      <c r="W8" t="s">
        <v>51</v>
      </c>
    </row>
    <row r="9" spans="1:47" x14ac:dyDescent="0.25">
      <c r="A9" t="s">
        <v>78</v>
      </c>
      <c r="B9">
        <v>38.631</v>
      </c>
      <c r="C9" t="s">
        <v>48</v>
      </c>
      <c r="D9" t="s">
        <v>49</v>
      </c>
      <c r="E9" s="2">
        <v>46056</v>
      </c>
      <c r="F9" t="s">
        <v>175</v>
      </c>
      <c r="G9" t="s">
        <v>76</v>
      </c>
      <c r="H9" t="s">
        <v>211</v>
      </c>
      <c r="I9" t="s">
        <v>211</v>
      </c>
      <c r="J9" t="s">
        <v>189</v>
      </c>
      <c r="K9" t="s">
        <v>211</v>
      </c>
      <c r="L9" t="s">
        <v>212</v>
      </c>
      <c r="M9" t="s">
        <v>213</v>
      </c>
      <c r="N9" t="s">
        <v>83</v>
      </c>
      <c r="O9" t="b">
        <v>1</v>
      </c>
      <c r="P9" t="b">
        <v>1</v>
      </c>
      <c r="Q9" t="b">
        <v>1</v>
      </c>
      <c r="R9" t="b">
        <v>0</v>
      </c>
      <c r="S9" t="b">
        <v>0</v>
      </c>
      <c r="T9" t="s">
        <v>51</v>
      </c>
      <c r="U9">
        <v>145</v>
      </c>
      <c r="V9" t="s">
        <v>100</v>
      </c>
      <c r="W9" t="s">
        <v>64</v>
      </c>
      <c r="X9" s="4">
        <v>0</v>
      </c>
      <c r="Y9" t="s">
        <v>57</v>
      </c>
    </row>
    <row r="10" spans="1:47" x14ac:dyDescent="0.25">
      <c r="A10" t="s">
        <v>58</v>
      </c>
      <c r="B10" t="s">
        <v>214</v>
      </c>
      <c r="C10" t="s">
        <v>189</v>
      </c>
      <c r="D10" t="s">
        <v>215</v>
      </c>
      <c r="E10" t="s">
        <v>189</v>
      </c>
      <c r="F10" t="s">
        <v>189</v>
      </c>
      <c r="G10" t="s">
        <v>216</v>
      </c>
      <c r="H10" t="b">
        <v>0</v>
      </c>
      <c r="I10" t="s">
        <v>55</v>
      </c>
      <c r="K10" t="s">
        <v>65</v>
      </c>
      <c r="L10" t="s">
        <v>65</v>
      </c>
      <c r="M10" s="5">
        <v>46084.414490740739</v>
      </c>
      <c r="Q10" t="b">
        <v>0</v>
      </c>
      <c r="R10">
        <v>0</v>
      </c>
      <c r="T10" t="b">
        <v>0</v>
      </c>
      <c r="U10" t="b">
        <v>0</v>
      </c>
      <c r="V10">
        <v>2412</v>
      </c>
      <c r="W10" t="s">
        <v>51</v>
      </c>
    </row>
    <row r="11" spans="1:47" x14ac:dyDescent="0.25">
      <c r="A11" t="s">
        <v>47</v>
      </c>
      <c r="B11">
        <v>38.631999999999998</v>
      </c>
      <c r="C11" t="s">
        <v>48</v>
      </c>
      <c r="D11" t="s">
        <v>49</v>
      </c>
      <c r="E11" s="2">
        <v>46056</v>
      </c>
      <c r="F11" t="s">
        <v>90</v>
      </c>
      <c r="G11" t="s">
        <v>91</v>
      </c>
      <c r="H11" t="s">
        <v>217</v>
      </c>
      <c r="I11" t="s">
        <v>217</v>
      </c>
      <c r="J11" t="s">
        <v>189</v>
      </c>
      <c r="K11" t="s">
        <v>218</v>
      </c>
      <c r="L11" t="s">
        <v>219</v>
      </c>
      <c r="M11" t="s">
        <v>220</v>
      </c>
      <c r="N11" t="s">
        <v>66</v>
      </c>
      <c r="O11" t="b">
        <v>1</v>
      </c>
      <c r="P11" t="b">
        <v>1</v>
      </c>
      <c r="Q11" t="b">
        <v>1</v>
      </c>
      <c r="R11" t="b">
        <v>0</v>
      </c>
      <c r="S11" t="b">
        <v>0</v>
      </c>
      <c r="T11" t="s">
        <v>51</v>
      </c>
      <c r="U11">
        <v>83</v>
      </c>
      <c r="W11" t="s">
        <v>71</v>
      </c>
      <c r="X11" s="4">
        <v>0</v>
      </c>
      <c r="Y11" t="s">
        <v>54</v>
      </c>
      <c r="Z11" t="s">
        <v>189</v>
      </c>
      <c r="AA11" t="s">
        <v>189</v>
      </c>
      <c r="AB11" t="s">
        <v>219</v>
      </c>
      <c r="AC11" t="s">
        <v>189</v>
      </c>
      <c r="AD11" t="s">
        <v>189</v>
      </c>
      <c r="AE11" t="s">
        <v>221</v>
      </c>
      <c r="AF11" t="b">
        <v>0</v>
      </c>
      <c r="AG11" t="s">
        <v>55</v>
      </c>
      <c r="AI11" t="s">
        <v>68</v>
      </c>
      <c r="AJ11" t="s">
        <v>65</v>
      </c>
      <c r="AK11" s="5">
        <v>46056.701620370368</v>
      </c>
      <c r="AO11" t="b">
        <v>0</v>
      </c>
      <c r="AP11">
        <v>0</v>
      </c>
      <c r="AR11" t="b">
        <v>0</v>
      </c>
      <c r="AS11" t="b">
        <v>0</v>
      </c>
      <c r="AT11">
        <v>4900</v>
      </c>
      <c r="AU11" t="s">
        <v>51</v>
      </c>
    </row>
    <row r="12" spans="1:47" x14ac:dyDescent="0.25">
      <c r="A12" t="s">
        <v>47</v>
      </c>
      <c r="B12">
        <v>38.633000000000003</v>
      </c>
      <c r="C12" t="s">
        <v>48</v>
      </c>
      <c r="D12" t="s">
        <v>49</v>
      </c>
      <c r="E12" s="2">
        <v>46056</v>
      </c>
      <c r="F12" t="s">
        <v>80</v>
      </c>
      <c r="G12" t="s">
        <v>76</v>
      </c>
      <c r="H12" t="s">
        <v>222</v>
      </c>
      <c r="I12" t="s">
        <v>222</v>
      </c>
      <c r="J12" t="s">
        <v>189</v>
      </c>
      <c r="K12" t="s">
        <v>223</v>
      </c>
      <c r="L12" t="s">
        <v>224</v>
      </c>
      <c r="M12" t="s">
        <v>225</v>
      </c>
      <c r="N12" t="s">
        <v>70</v>
      </c>
      <c r="O12" t="b">
        <v>1</v>
      </c>
      <c r="P12" t="b">
        <v>1</v>
      </c>
      <c r="Q12" t="b">
        <v>1</v>
      </c>
      <c r="R12" t="b">
        <v>0</v>
      </c>
      <c r="S12" t="b">
        <v>0</v>
      </c>
      <c r="T12" t="s">
        <v>51</v>
      </c>
      <c r="U12">
        <v>9</v>
      </c>
      <c r="V12" t="s">
        <v>63</v>
      </c>
      <c r="W12" t="s">
        <v>81</v>
      </c>
      <c r="X12" s="4">
        <v>0</v>
      </c>
      <c r="Z12" t="s">
        <v>226</v>
      </c>
      <c r="AA12" t="s">
        <v>189</v>
      </c>
      <c r="AB12" t="s">
        <v>227</v>
      </c>
      <c r="AC12" t="s">
        <v>189</v>
      </c>
      <c r="AD12" t="s">
        <v>189</v>
      </c>
      <c r="AE12" t="s">
        <v>228</v>
      </c>
      <c r="AF12" t="b">
        <v>0</v>
      </c>
      <c r="AG12" t="s">
        <v>55</v>
      </c>
      <c r="AH12" t="s">
        <v>82</v>
      </c>
      <c r="AI12" t="s">
        <v>75</v>
      </c>
      <c r="AJ12" t="s">
        <v>75</v>
      </c>
      <c r="AK12" s="5">
        <v>46056.709467592591</v>
      </c>
      <c r="AO12" t="b">
        <v>0</v>
      </c>
      <c r="AP12">
        <v>0</v>
      </c>
      <c r="AR12" t="b">
        <v>0</v>
      </c>
      <c r="AS12" t="b">
        <v>0</v>
      </c>
      <c r="AT12">
        <v>161</v>
      </c>
      <c r="AU12" t="s">
        <v>51</v>
      </c>
    </row>
    <row r="13" spans="1:47" x14ac:dyDescent="0.25">
      <c r="A13" t="s">
        <v>47</v>
      </c>
      <c r="B13">
        <v>38.634</v>
      </c>
      <c r="C13" t="s">
        <v>48</v>
      </c>
      <c r="D13" t="s">
        <v>49</v>
      </c>
      <c r="E13" s="2">
        <v>46084</v>
      </c>
      <c r="F13" t="s">
        <v>102</v>
      </c>
      <c r="G13" t="s">
        <v>59</v>
      </c>
      <c r="H13" t="s">
        <v>229</v>
      </c>
      <c r="I13" t="s">
        <v>229</v>
      </c>
      <c r="J13" t="s">
        <v>189</v>
      </c>
      <c r="K13" t="s">
        <v>230</v>
      </c>
      <c r="L13" t="s">
        <v>231</v>
      </c>
      <c r="M13" t="s">
        <v>232</v>
      </c>
      <c r="N13" t="s">
        <v>70</v>
      </c>
      <c r="O13" t="b">
        <v>1</v>
      </c>
      <c r="P13" t="b">
        <v>1</v>
      </c>
      <c r="Q13" t="b">
        <v>1</v>
      </c>
      <c r="R13" t="b">
        <v>0</v>
      </c>
      <c r="S13" t="b">
        <v>0</v>
      </c>
      <c r="T13" t="s">
        <v>51</v>
      </c>
      <c r="U13">
        <v>9</v>
      </c>
      <c r="V13" t="s">
        <v>63</v>
      </c>
      <c r="W13" t="s">
        <v>53</v>
      </c>
      <c r="X13" s="4">
        <v>0</v>
      </c>
      <c r="Y13" t="s">
        <v>54</v>
      </c>
      <c r="Z13" t="s">
        <v>189</v>
      </c>
      <c r="AA13" t="s">
        <v>189</v>
      </c>
      <c r="AB13" t="s">
        <v>231</v>
      </c>
      <c r="AC13" t="s">
        <v>189</v>
      </c>
      <c r="AD13" t="s">
        <v>189</v>
      </c>
      <c r="AE13" t="s">
        <v>233</v>
      </c>
      <c r="AF13" t="b">
        <v>0</v>
      </c>
      <c r="AG13" t="s">
        <v>55</v>
      </c>
      <c r="AI13" t="s">
        <v>65</v>
      </c>
      <c r="AJ13" t="s">
        <v>65</v>
      </c>
      <c r="AK13" s="5">
        <v>46084.336053240739</v>
      </c>
      <c r="AO13" t="b">
        <v>0</v>
      </c>
      <c r="AP13">
        <v>0</v>
      </c>
      <c r="AR13" t="b">
        <v>0</v>
      </c>
      <c r="AS13" t="b">
        <v>0</v>
      </c>
      <c r="AT13">
        <v>1009</v>
      </c>
      <c r="AU13" t="s">
        <v>51</v>
      </c>
    </row>
    <row r="14" spans="1:47" x14ac:dyDescent="0.25">
      <c r="A14" t="s">
        <v>47</v>
      </c>
      <c r="B14">
        <v>38.634999999999998</v>
      </c>
      <c r="C14" t="s">
        <v>48</v>
      </c>
      <c r="D14" t="s">
        <v>49</v>
      </c>
      <c r="E14" s="2">
        <v>46084</v>
      </c>
      <c r="F14" t="s">
        <v>93</v>
      </c>
      <c r="G14" t="s">
        <v>94</v>
      </c>
      <c r="H14" t="s">
        <v>234</v>
      </c>
      <c r="I14" t="s">
        <v>234</v>
      </c>
      <c r="J14" t="s">
        <v>189</v>
      </c>
      <c r="K14" t="s">
        <v>235</v>
      </c>
      <c r="L14" t="s">
        <v>236</v>
      </c>
      <c r="M14" t="s">
        <v>237</v>
      </c>
      <c r="N14" t="s">
        <v>50</v>
      </c>
      <c r="O14" t="b">
        <v>1</v>
      </c>
      <c r="P14" t="b">
        <v>1</v>
      </c>
      <c r="Q14" t="b">
        <v>1</v>
      </c>
      <c r="R14" t="b">
        <v>0</v>
      </c>
      <c r="S14" t="b">
        <v>0</v>
      </c>
      <c r="T14" t="s">
        <v>51</v>
      </c>
      <c r="U14">
        <v>126</v>
      </c>
      <c r="V14" t="s">
        <v>52</v>
      </c>
      <c r="W14" t="s">
        <v>126</v>
      </c>
      <c r="X14" s="4">
        <v>0</v>
      </c>
      <c r="Y14" t="s">
        <v>57</v>
      </c>
    </row>
    <row r="15" spans="1:47" x14ac:dyDescent="0.25">
      <c r="A15" t="s">
        <v>58</v>
      </c>
      <c r="B15" t="s">
        <v>238</v>
      </c>
      <c r="C15" t="s">
        <v>189</v>
      </c>
      <c r="D15" t="s">
        <v>189</v>
      </c>
      <c r="E15" t="s">
        <v>189</v>
      </c>
      <c r="F15" t="s">
        <v>239</v>
      </c>
      <c r="G15" t="s">
        <v>240</v>
      </c>
      <c r="H15" t="b">
        <v>0</v>
      </c>
      <c r="I15" t="s">
        <v>55</v>
      </c>
      <c r="K15" t="s">
        <v>65</v>
      </c>
      <c r="L15" t="s">
        <v>65</v>
      </c>
      <c r="M15" s="5">
        <v>46084.454791666663</v>
      </c>
      <c r="Q15" t="b">
        <v>0</v>
      </c>
      <c r="R15">
        <v>0</v>
      </c>
      <c r="T15" t="b">
        <v>0</v>
      </c>
      <c r="U15" t="b">
        <v>0</v>
      </c>
      <c r="V15">
        <v>6379</v>
      </c>
      <c r="W15" t="s">
        <v>51</v>
      </c>
    </row>
    <row r="16" spans="1:47" x14ac:dyDescent="0.25">
      <c r="A16" t="s">
        <v>78</v>
      </c>
      <c r="B16">
        <v>38.636000000000003</v>
      </c>
      <c r="C16" t="s">
        <v>48</v>
      </c>
      <c r="D16" t="s">
        <v>49</v>
      </c>
      <c r="E16" s="2">
        <v>46084</v>
      </c>
      <c r="F16" t="s">
        <v>176</v>
      </c>
      <c r="G16" t="s">
        <v>151</v>
      </c>
      <c r="H16" t="s">
        <v>241</v>
      </c>
      <c r="I16" t="s">
        <v>241</v>
      </c>
      <c r="J16" t="s">
        <v>189</v>
      </c>
      <c r="K16" t="s">
        <v>241</v>
      </c>
      <c r="L16" t="s">
        <v>242</v>
      </c>
      <c r="M16" t="s">
        <v>243</v>
      </c>
      <c r="N16" t="s">
        <v>83</v>
      </c>
      <c r="O16" t="b">
        <v>1</v>
      </c>
      <c r="P16" t="b">
        <v>1</v>
      </c>
      <c r="Q16" t="b">
        <v>1</v>
      </c>
      <c r="R16" t="b">
        <v>0</v>
      </c>
      <c r="S16" t="b">
        <v>0</v>
      </c>
      <c r="T16" t="s">
        <v>51</v>
      </c>
      <c r="U16">
        <v>145</v>
      </c>
      <c r="V16" t="s">
        <v>100</v>
      </c>
      <c r="W16" t="s">
        <v>154</v>
      </c>
      <c r="X16" s="4">
        <v>0</v>
      </c>
      <c r="Y16" t="s">
        <v>57</v>
      </c>
    </row>
    <row r="17" spans="1:47" x14ac:dyDescent="0.25">
      <c r="A17" t="s">
        <v>58</v>
      </c>
      <c r="B17" t="s">
        <v>189</v>
      </c>
      <c r="C17" t="s">
        <v>242</v>
      </c>
      <c r="D17" t="s">
        <v>189</v>
      </c>
      <c r="E17" t="s">
        <v>189</v>
      </c>
      <c r="F17" t="s">
        <v>189</v>
      </c>
      <c r="G17" t="s">
        <v>228</v>
      </c>
      <c r="H17" t="b">
        <v>0</v>
      </c>
      <c r="I17" t="s">
        <v>55</v>
      </c>
      <c r="K17" t="s">
        <v>65</v>
      </c>
      <c r="L17" t="s">
        <v>65</v>
      </c>
      <c r="M17" s="5">
        <v>46084.632997685185</v>
      </c>
      <c r="Q17" t="b">
        <v>0</v>
      </c>
      <c r="R17">
        <v>0</v>
      </c>
      <c r="T17" t="b">
        <v>0</v>
      </c>
      <c r="U17" t="b">
        <v>0</v>
      </c>
      <c r="V17">
        <v>4699</v>
      </c>
      <c r="W17" t="s">
        <v>51</v>
      </c>
    </row>
    <row r="18" spans="1:47" x14ac:dyDescent="0.25">
      <c r="A18" t="s">
        <v>78</v>
      </c>
      <c r="B18">
        <v>38.637</v>
      </c>
      <c r="C18" t="s">
        <v>48</v>
      </c>
      <c r="D18" t="s">
        <v>49</v>
      </c>
      <c r="E18" s="2">
        <v>46084</v>
      </c>
      <c r="F18" t="s">
        <v>177</v>
      </c>
      <c r="G18" t="s">
        <v>76</v>
      </c>
      <c r="H18" t="s">
        <v>244</v>
      </c>
      <c r="I18" t="s">
        <v>244</v>
      </c>
      <c r="J18" t="s">
        <v>189</v>
      </c>
      <c r="K18" t="s">
        <v>244</v>
      </c>
      <c r="L18" t="s">
        <v>245</v>
      </c>
      <c r="M18" t="s">
        <v>246</v>
      </c>
      <c r="N18" t="s">
        <v>50</v>
      </c>
      <c r="O18" t="b">
        <v>1</v>
      </c>
      <c r="P18" t="b">
        <v>1</v>
      </c>
      <c r="Q18" t="b">
        <v>1</v>
      </c>
      <c r="R18" t="b">
        <v>0</v>
      </c>
      <c r="S18" t="b">
        <v>0</v>
      </c>
      <c r="T18" t="s">
        <v>51</v>
      </c>
      <c r="U18">
        <v>126</v>
      </c>
      <c r="V18" t="s">
        <v>52</v>
      </c>
      <c r="W18" t="s">
        <v>64</v>
      </c>
      <c r="X18" s="4">
        <v>0</v>
      </c>
      <c r="Y18" t="s">
        <v>57</v>
      </c>
    </row>
    <row r="19" spans="1:47" x14ac:dyDescent="0.25">
      <c r="A19" t="s">
        <v>58</v>
      </c>
      <c r="B19" t="s">
        <v>189</v>
      </c>
      <c r="C19" t="s">
        <v>189</v>
      </c>
      <c r="D19" t="s">
        <v>245</v>
      </c>
      <c r="E19" t="s">
        <v>189</v>
      </c>
      <c r="F19" t="s">
        <v>189</v>
      </c>
      <c r="G19" t="s">
        <v>247</v>
      </c>
      <c r="H19" t="b">
        <v>0</v>
      </c>
      <c r="I19" t="s">
        <v>55</v>
      </c>
      <c r="K19" t="s">
        <v>65</v>
      </c>
      <c r="L19" t="s">
        <v>56</v>
      </c>
      <c r="M19" s="5">
        <v>46115.627685185187</v>
      </c>
      <c r="Q19" t="b">
        <v>0</v>
      </c>
      <c r="R19">
        <v>0</v>
      </c>
      <c r="T19" t="b">
        <v>0</v>
      </c>
      <c r="U19" t="b">
        <v>0</v>
      </c>
      <c r="V19">
        <v>8463</v>
      </c>
      <c r="W19" t="s">
        <v>51</v>
      </c>
    </row>
    <row r="20" spans="1:47" x14ac:dyDescent="0.25">
      <c r="A20" t="s">
        <v>69</v>
      </c>
      <c r="B20">
        <v>38.637999999999998</v>
      </c>
      <c r="C20" t="s">
        <v>48</v>
      </c>
      <c r="D20" t="s">
        <v>49</v>
      </c>
      <c r="E20" s="2">
        <v>46115</v>
      </c>
      <c r="F20" t="s">
        <v>142</v>
      </c>
      <c r="G20" t="s">
        <v>143</v>
      </c>
      <c r="H20" t="s">
        <v>248</v>
      </c>
      <c r="I20" t="s">
        <v>248</v>
      </c>
      <c r="J20" t="s">
        <v>189</v>
      </c>
      <c r="K20" t="s">
        <v>248</v>
      </c>
      <c r="L20" t="s">
        <v>249</v>
      </c>
      <c r="M20" t="s">
        <v>250</v>
      </c>
      <c r="N20" t="s">
        <v>66</v>
      </c>
      <c r="O20" t="b">
        <v>1</v>
      </c>
      <c r="P20" t="b">
        <v>1</v>
      </c>
      <c r="Q20" t="b">
        <v>1</v>
      </c>
      <c r="R20" t="b">
        <v>0</v>
      </c>
      <c r="S20" t="b">
        <v>0</v>
      </c>
      <c r="T20" t="s">
        <v>51</v>
      </c>
      <c r="U20">
        <v>83</v>
      </c>
      <c r="W20" t="s">
        <v>109</v>
      </c>
      <c r="X20" s="4">
        <v>0</v>
      </c>
      <c r="Y20" t="s">
        <v>54</v>
      </c>
      <c r="Z20" t="s">
        <v>249</v>
      </c>
      <c r="AA20" t="s">
        <v>189</v>
      </c>
      <c r="AB20" t="s">
        <v>189</v>
      </c>
      <c r="AC20" t="s">
        <v>189</v>
      </c>
      <c r="AD20" t="s">
        <v>189</v>
      </c>
      <c r="AE20" t="s">
        <v>251</v>
      </c>
      <c r="AF20" t="b">
        <v>0</v>
      </c>
      <c r="AG20" t="s">
        <v>55</v>
      </c>
      <c r="AH20" t="s">
        <v>82</v>
      </c>
      <c r="AI20" t="s">
        <v>68</v>
      </c>
      <c r="AJ20" t="s">
        <v>65</v>
      </c>
      <c r="AK20" s="5">
        <v>46145.357824074075</v>
      </c>
      <c r="AO20" t="b">
        <v>0</v>
      </c>
      <c r="AP20">
        <v>0</v>
      </c>
      <c r="AR20" t="b">
        <v>0</v>
      </c>
      <c r="AS20" t="b">
        <v>0</v>
      </c>
      <c r="AT20">
        <v>3465</v>
      </c>
      <c r="AU20" t="s">
        <v>51</v>
      </c>
    </row>
    <row r="21" spans="1:47" x14ac:dyDescent="0.25">
      <c r="A21" t="s">
        <v>47</v>
      </c>
      <c r="B21">
        <v>38.639000000000003</v>
      </c>
      <c r="C21" t="s">
        <v>48</v>
      </c>
      <c r="D21" t="s">
        <v>49</v>
      </c>
      <c r="E21" s="2">
        <v>46115</v>
      </c>
      <c r="F21" t="s">
        <v>84</v>
      </c>
      <c r="G21" t="s">
        <v>61</v>
      </c>
      <c r="H21" t="s">
        <v>252</v>
      </c>
      <c r="I21" t="s">
        <v>252</v>
      </c>
      <c r="J21" t="s">
        <v>189</v>
      </c>
      <c r="K21" t="s">
        <v>253</v>
      </c>
      <c r="L21" t="s">
        <v>254</v>
      </c>
      <c r="M21" t="s">
        <v>255</v>
      </c>
      <c r="N21" t="s">
        <v>50</v>
      </c>
      <c r="O21" t="b">
        <v>1</v>
      </c>
      <c r="P21" t="b">
        <v>1</v>
      </c>
      <c r="Q21" t="b">
        <v>1</v>
      </c>
      <c r="R21" t="b">
        <v>0</v>
      </c>
      <c r="S21" t="b">
        <v>0</v>
      </c>
      <c r="T21" t="s">
        <v>51</v>
      </c>
      <c r="U21">
        <v>126</v>
      </c>
      <c r="V21" t="s">
        <v>52</v>
      </c>
      <c r="W21" t="s">
        <v>77</v>
      </c>
      <c r="X21" s="4">
        <v>0</v>
      </c>
      <c r="Y21" t="s">
        <v>54</v>
      </c>
      <c r="Z21" t="s">
        <v>254</v>
      </c>
      <c r="AA21" t="s">
        <v>189</v>
      </c>
      <c r="AB21" t="s">
        <v>189</v>
      </c>
      <c r="AC21" t="s">
        <v>189</v>
      </c>
      <c r="AD21" t="s">
        <v>189</v>
      </c>
      <c r="AE21" t="s">
        <v>228</v>
      </c>
      <c r="AF21" t="b">
        <v>0</v>
      </c>
      <c r="AG21" t="s">
        <v>55</v>
      </c>
      <c r="AI21" t="s">
        <v>56</v>
      </c>
      <c r="AJ21" t="s">
        <v>56</v>
      </c>
      <c r="AK21" s="5">
        <v>46115.463854166665</v>
      </c>
      <c r="AO21" t="b">
        <v>0</v>
      </c>
      <c r="AP21">
        <v>0</v>
      </c>
      <c r="AR21" t="b">
        <v>0</v>
      </c>
      <c r="AS21" t="b">
        <v>0</v>
      </c>
      <c r="AT21">
        <v>1877</v>
      </c>
      <c r="AU21" t="s">
        <v>51</v>
      </c>
    </row>
    <row r="22" spans="1:47" x14ac:dyDescent="0.25">
      <c r="A22" t="s">
        <v>78</v>
      </c>
      <c r="B22">
        <v>38.64</v>
      </c>
      <c r="C22" t="s">
        <v>48</v>
      </c>
      <c r="D22" t="s">
        <v>49</v>
      </c>
      <c r="E22" s="2">
        <v>46115</v>
      </c>
      <c r="F22" t="s">
        <v>133</v>
      </c>
      <c r="G22" t="s">
        <v>73</v>
      </c>
      <c r="H22" t="s">
        <v>256</v>
      </c>
      <c r="I22" t="s">
        <v>256</v>
      </c>
      <c r="J22" t="s">
        <v>189</v>
      </c>
      <c r="K22" t="s">
        <v>256</v>
      </c>
      <c r="L22" t="s">
        <v>257</v>
      </c>
      <c r="M22" t="s">
        <v>258</v>
      </c>
      <c r="N22" t="s">
        <v>50</v>
      </c>
      <c r="O22" t="b">
        <v>0</v>
      </c>
      <c r="P22" t="b">
        <v>1</v>
      </c>
      <c r="Q22" t="b">
        <v>1</v>
      </c>
      <c r="R22" t="b">
        <v>0</v>
      </c>
      <c r="S22" t="b">
        <v>0</v>
      </c>
      <c r="T22" t="s">
        <v>51</v>
      </c>
      <c r="U22">
        <v>126</v>
      </c>
      <c r="V22" t="s">
        <v>52</v>
      </c>
      <c r="W22" t="s">
        <v>64</v>
      </c>
      <c r="X22" s="4">
        <v>0</v>
      </c>
      <c r="Z22" t="s">
        <v>189</v>
      </c>
      <c r="AA22" t="s">
        <v>189</v>
      </c>
      <c r="AB22" t="s">
        <v>257</v>
      </c>
      <c r="AC22" t="s">
        <v>189</v>
      </c>
      <c r="AD22" t="s">
        <v>189</v>
      </c>
      <c r="AE22" t="s">
        <v>259</v>
      </c>
      <c r="AF22" t="b">
        <v>0</v>
      </c>
      <c r="AG22" t="s">
        <v>55</v>
      </c>
      <c r="AI22" t="s">
        <v>56</v>
      </c>
      <c r="AO22" t="b">
        <v>0</v>
      </c>
      <c r="AP22">
        <v>0</v>
      </c>
      <c r="AR22" t="b">
        <v>0</v>
      </c>
      <c r="AS22" t="b">
        <v>0</v>
      </c>
      <c r="AT22">
        <v>7057</v>
      </c>
      <c r="AU22" t="s">
        <v>51</v>
      </c>
    </row>
    <row r="23" spans="1:47" x14ac:dyDescent="0.25">
      <c r="A23" t="s">
        <v>78</v>
      </c>
      <c r="B23">
        <v>38.640999999999998</v>
      </c>
      <c r="C23" t="s">
        <v>48</v>
      </c>
      <c r="D23" t="s">
        <v>49</v>
      </c>
      <c r="E23" s="2">
        <v>46115</v>
      </c>
      <c r="F23" t="s">
        <v>149</v>
      </c>
      <c r="G23" t="s">
        <v>59</v>
      </c>
      <c r="H23" t="s">
        <v>260</v>
      </c>
      <c r="I23" t="s">
        <v>260</v>
      </c>
      <c r="J23" t="s">
        <v>189</v>
      </c>
      <c r="K23" t="s">
        <v>260</v>
      </c>
      <c r="L23" t="s">
        <v>261</v>
      </c>
      <c r="M23" t="s">
        <v>262</v>
      </c>
      <c r="N23" t="s">
        <v>50</v>
      </c>
      <c r="O23" t="b">
        <v>1</v>
      </c>
      <c r="P23" t="b">
        <v>1</v>
      </c>
      <c r="Q23" t="b">
        <v>1</v>
      </c>
      <c r="R23" t="b">
        <v>0</v>
      </c>
      <c r="S23" t="b">
        <v>0</v>
      </c>
      <c r="T23" t="s">
        <v>51</v>
      </c>
      <c r="U23">
        <v>126</v>
      </c>
      <c r="V23" t="s">
        <v>52</v>
      </c>
      <c r="W23" t="s">
        <v>98</v>
      </c>
      <c r="X23" s="4">
        <v>0</v>
      </c>
      <c r="Y23" t="s">
        <v>54</v>
      </c>
      <c r="Z23" t="s">
        <v>189</v>
      </c>
      <c r="AA23" t="s">
        <v>189</v>
      </c>
      <c r="AB23" t="s">
        <v>261</v>
      </c>
      <c r="AC23" t="s">
        <v>189</v>
      </c>
      <c r="AD23" t="s">
        <v>189</v>
      </c>
      <c r="AE23" t="s">
        <v>263</v>
      </c>
      <c r="AF23" t="b">
        <v>0</v>
      </c>
      <c r="AG23" t="s">
        <v>55</v>
      </c>
      <c r="AH23" t="s">
        <v>104</v>
      </c>
      <c r="AI23" t="s">
        <v>65</v>
      </c>
      <c r="AJ23" t="s">
        <v>65</v>
      </c>
      <c r="AK23" s="5">
        <v>46145.307349537034</v>
      </c>
      <c r="AO23" t="b">
        <v>0</v>
      </c>
      <c r="AP23">
        <v>0</v>
      </c>
      <c r="AR23" t="b">
        <v>0</v>
      </c>
      <c r="AS23" t="b">
        <v>0</v>
      </c>
      <c r="AT23">
        <v>5486</v>
      </c>
      <c r="AU23" t="s">
        <v>51</v>
      </c>
    </row>
    <row r="24" spans="1:47" x14ac:dyDescent="0.25">
      <c r="A24" t="s">
        <v>47</v>
      </c>
      <c r="B24">
        <v>38.642000000000003</v>
      </c>
      <c r="C24" t="s">
        <v>48</v>
      </c>
      <c r="D24" t="s">
        <v>49</v>
      </c>
      <c r="E24" s="2">
        <v>46115</v>
      </c>
      <c r="F24" t="s">
        <v>178</v>
      </c>
      <c r="G24" t="s">
        <v>61</v>
      </c>
      <c r="H24" t="s">
        <v>264</v>
      </c>
      <c r="I24" t="s">
        <v>264</v>
      </c>
      <c r="J24" t="s">
        <v>189</v>
      </c>
      <c r="K24" t="s">
        <v>265</v>
      </c>
      <c r="L24" t="s">
        <v>266</v>
      </c>
      <c r="M24" t="s">
        <v>267</v>
      </c>
      <c r="N24" t="s">
        <v>66</v>
      </c>
      <c r="O24" t="b">
        <v>1</v>
      </c>
      <c r="P24" t="b">
        <v>1</v>
      </c>
      <c r="Q24" t="b">
        <v>1</v>
      </c>
      <c r="R24" t="b">
        <v>0</v>
      </c>
      <c r="S24" t="b">
        <v>0</v>
      </c>
      <c r="T24" t="s">
        <v>51</v>
      </c>
      <c r="U24">
        <v>83</v>
      </c>
      <c r="W24" t="s">
        <v>64</v>
      </c>
      <c r="X24" s="4">
        <v>0</v>
      </c>
      <c r="Y24" t="s">
        <v>57</v>
      </c>
    </row>
    <row r="25" spans="1:47" x14ac:dyDescent="0.25">
      <c r="A25" t="s">
        <v>58</v>
      </c>
      <c r="B25" t="s">
        <v>189</v>
      </c>
      <c r="C25" t="s">
        <v>189</v>
      </c>
      <c r="D25" t="s">
        <v>266</v>
      </c>
      <c r="E25" t="s">
        <v>189</v>
      </c>
      <c r="F25" t="s">
        <v>189</v>
      </c>
      <c r="G25" t="s">
        <v>268</v>
      </c>
      <c r="H25" t="b">
        <v>0</v>
      </c>
      <c r="I25" t="s">
        <v>55</v>
      </c>
      <c r="K25" t="s">
        <v>68</v>
      </c>
      <c r="L25" t="s">
        <v>65</v>
      </c>
      <c r="M25" s="5">
        <v>46145.35738425926</v>
      </c>
      <c r="Q25" t="b">
        <v>0</v>
      </c>
      <c r="R25">
        <v>0</v>
      </c>
      <c r="T25" t="b">
        <v>0</v>
      </c>
      <c r="U25" t="b">
        <v>0</v>
      </c>
      <c r="V25">
        <v>8216</v>
      </c>
      <c r="W25" t="s">
        <v>51</v>
      </c>
    </row>
    <row r="26" spans="1:47" x14ac:dyDescent="0.25">
      <c r="A26" t="s">
        <v>47</v>
      </c>
      <c r="B26">
        <v>38.643999999999998</v>
      </c>
      <c r="C26" t="s">
        <v>48</v>
      </c>
      <c r="D26" t="s">
        <v>49</v>
      </c>
      <c r="E26" s="2">
        <v>46145</v>
      </c>
      <c r="F26" t="s">
        <v>60</v>
      </c>
      <c r="G26" t="s">
        <v>61</v>
      </c>
      <c r="H26" t="s">
        <v>269</v>
      </c>
      <c r="I26" t="s">
        <v>269</v>
      </c>
      <c r="J26" t="s">
        <v>189</v>
      </c>
      <c r="K26" t="s">
        <v>270</v>
      </c>
      <c r="L26" t="s">
        <v>271</v>
      </c>
      <c r="M26" t="s">
        <v>272</v>
      </c>
      <c r="N26" t="s">
        <v>62</v>
      </c>
      <c r="O26" t="b">
        <v>1</v>
      </c>
      <c r="P26" t="b">
        <v>1</v>
      </c>
      <c r="Q26" t="b">
        <v>1</v>
      </c>
      <c r="R26" t="b">
        <v>0</v>
      </c>
      <c r="S26" t="b">
        <v>0</v>
      </c>
      <c r="T26" t="s">
        <v>51</v>
      </c>
      <c r="U26">
        <v>76</v>
      </c>
      <c r="V26" t="s">
        <v>63</v>
      </c>
      <c r="W26" t="s">
        <v>64</v>
      </c>
      <c r="X26" s="4">
        <v>0</v>
      </c>
      <c r="Y26" t="s">
        <v>57</v>
      </c>
    </row>
    <row r="27" spans="1:47" x14ac:dyDescent="0.25">
      <c r="A27" t="s">
        <v>58</v>
      </c>
      <c r="B27" t="s">
        <v>189</v>
      </c>
      <c r="C27" t="s">
        <v>189</v>
      </c>
      <c r="D27" t="s">
        <v>189</v>
      </c>
      <c r="E27" t="s">
        <v>189</v>
      </c>
      <c r="F27" t="s">
        <v>271</v>
      </c>
      <c r="G27" t="s">
        <v>273</v>
      </c>
      <c r="H27" t="b">
        <v>0</v>
      </c>
      <c r="I27" t="s">
        <v>55</v>
      </c>
      <c r="K27" t="s">
        <v>65</v>
      </c>
      <c r="L27" t="s">
        <v>65</v>
      </c>
      <c r="M27" s="5">
        <v>46145.361793981479</v>
      </c>
      <c r="Q27" t="b">
        <v>0</v>
      </c>
      <c r="R27">
        <v>0</v>
      </c>
      <c r="T27" t="b">
        <v>0</v>
      </c>
      <c r="U27" t="b">
        <v>0</v>
      </c>
      <c r="V27">
        <v>139</v>
      </c>
      <c r="W27" t="s">
        <v>51</v>
      </c>
    </row>
    <row r="28" spans="1:47" x14ac:dyDescent="0.25">
      <c r="A28" t="s">
        <v>47</v>
      </c>
      <c r="B28">
        <v>38.645000000000003</v>
      </c>
      <c r="C28" t="s">
        <v>48</v>
      </c>
      <c r="D28" t="s">
        <v>49</v>
      </c>
      <c r="E28" s="2">
        <v>46145</v>
      </c>
      <c r="F28" t="s">
        <v>102</v>
      </c>
      <c r="G28" t="s">
        <v>59</v>
      </c>
      <c r="H28" t="s">
        <v>274</v>
      </c>
      <c r="I28" t="s">
        <v>274</v>
      </c>
      <c r="J28" t="s">
        <v>189</v>
      </c>
      <c r="K28" t="s">
        <v>275</v>
      </c>
      <c r="L28" t="s">
        <v>276</v>
      </c>
      <c r="M28" t="s">
        <v>277</v>
      </c>
      <c r="N28" t="s">
        <v>70</v>
      </c>
      <c r="O28" t="b">
        <v>1</v>
      </c>
      <c r="P28" t="b">
        <v>1</v>
      </c>
      <c r="Q28" t="b">
        <v>1</v>
      </c>
      <c r="R28" t="b">
        <v>0</v>
      </c>
      <c r="S28" t="b">
        <v>0</v>
      </c>
      <c r="T28" t="s">
        <v>51</v>
      </c>
      <c r="U28">
        <v>9</v>
      </c>
      <c r="V28" t="s">
        <v>63</v>
      </c>
      <c r="W28" t="s">
        <v>53</v>
      </c>
      <c r="X28" s="4">
        <v>0</v>
      </c>
      <c r="Y28" t="s">
        <v>54</v>
      </c>
      <c r="Z28" t="s">
        <v>189</v>
      </c>
      <c r="AA28" t="s">
        <v>189</v>
      </c>
      <c r="AB28" t="s">
        <v>276</v>
      </c>
      <c r="AC28" t="s">
        <v>189</v>
      </c>
      <c r="AD28" t="s">
        <v>189</v>
      </c>
      <c r="AE28" t="s">
        <v>278</v>
      </c>
      <c r="AF28" t="b">
        <v>0</v>
      </c>
      <c r="AG28" t="s">
        <v>55</v>
      </c>
      <c r="AI28" t="s">
        <v>65</v>
      </c>
      <c r="AJ28" t="s">
        <v>65</v>
      </c>
      <c r="AK28" s="5">
        <v>46145.404826388891</v>
      </c>
      <c r="AO28" t="b">
        <v>0</v>
      </c>
      <c r="AP28">
        <v>0</v>
      </c>
      <c r="AR28" t="b">
        <v>0</v>
      </c>
      <c r="AS28" t="b">
        <v>0</v>
      </c>
      <c r="AT28">
        <v>1009</v>
      </c>
      <c r="AU28" t="s">
        <v>51</v>
      </c>
    </row>
    <row r="29" spans="1:47" x14ac:dyDescent="0.25">
      <c r="A29" t="s">
        <v>47</v>
      </c>
      <c r="B29">
        <v>38.646000000000001</v>
      </c>
      <c r="C29" t="s">
        <v>48</v>
      </c>
      <c r="D29" t="s">
        <v>49</v>
      </c>
      <c r="E29" s="2">
        <v>46145</v>
      </c>
      <c r="F29" t="s">
        <v>102</v>
      </c>
      <c r="G29" t="s">
        <v>59</v>
      </c>
      <c r="H29" t="s">
        <v>279</v>
      </c>
      <c r="I29" t="s">
        <v>279</v>
      </c>
      <c r="J29" t="s">
        <v>189</v>
      </c>
      <c r="K29" t="s">
        <v>280</v>
      </c>
      <c r="L29" t="s">
        <v>281</v>
      </c>
      <c r="M29" t="s">
        <v>282</v>
      </c>
      <c r="N29" t="s">
        <v>70</v>
      </c>
      <c r="O29" t="b">
        <v>1</v>
      </c>
      <c r="P29" t="b">
        <v>1</v>
      </c>
      <c r="Q29" t="b">
        <v>1</v>
      </c>
      <c r="R29" t="b">
        <v>0</v>
      </c>
      <c r="S29" t="b">
        <v>0</v>
      </c>
      <c r="T29" t="s">
        <v>51</v>
      </c>
      <c r="U29">
        <v>9</v>
      </c>
      <c r="V29" t="s">
        <v>63</v>
      </c>
      <c r="W29" t="s">
        <v>53</v>
      </c>
      <c r="X29" s="4">
        <v>0</v>
      </c>
      <c r="Y29" t="s">
        <v>54</v>
      </c>
      <c r="Z29" t="s">
        <v>189</v>
      </c>
      <c r="AA29" t="s">
        <v>189</v>
      </c>
      <c r="AB29" t="s">
        <v>281</v>
      </c>
      <c r="AC29" t="s">
        <v>189</v>
      </c>
      <c r="AD29" t="s">
        <v>189</v>
      </c>
      <c r="AE29" t="s">
        <v>278</v>
      </c>
      <c r="AF29" t="b">
        <v>0</v>
      </c>
      <c r="AG29" t="s">
        <v>55</v>
      </c>
      <c r="AI29" t="s">
        <v>65</v>
      </c>
      <c r="AJ29" t="s">
        <v>65</v>
      </c>
      <c r="AK29" s="5">
        <v>46145.404895833337</v>
      </c>
      <c r="AO29" t="b">
        <v>0</v>
      </c>
      <c r="AP29">
        <v>0</v>
      </c>
      <c r="AR29" t="b">
        <v>0</v>
      </c>
      <c r="AS29" t="b">
        <v>0</v>
      </c>
      <c r="AT29">
        <v>1009</v>
      </c>
      <c r="AU29" t="s">
        <v>51</v>
      </c>
    </row>
    <row r="30" spans="1:47" x14ac:dyDescent="0.25">
      <c r="A30" t="s">
        <v>47</v>
      </c>
      <c r="B30">
        <v>38.646999999999998</v>
      </c>
      <c r="C30" t="s">
        <v>48</v>
      </c>
      <c r="D30" t="s">
        <v>49</v>
      </c>
      <c r="E30" s="2">
        <v>46145</v>
      </c>
      <c r="F30" t="s">
        <v>102</v>
      </c>
      <c r="G30" t="s">
        <v>59</v>
      </c>
      <c r="H30" t="s">
        <v>283</v>
      </c>
      <c r="I30" t="s">
        <v>283</v>
      </c>
      <c r="J30" t="s">
        <v>189</v>
      </c>
      <c r="K30" t="s">
        <v>284</v>
      </c>
      <c r="L30" t="s">
        <v>285</v>
      </c>
      <c r="M30" t="s">
        <v>286</v>
      </c>
      <c r="N30" t="s">
        <v>70</v>
      </c>
      <c r="O30" t="b">
        <v>1</v>
      </c>
      <c r="P30" t="b">
        <v>1</v>
      </c>
      <c r="Q30" t="b">
        <v>1</v>
      </c>
      <c r="R30" t="b">
        <v>0</v>
      </c>
      <c r="S30" t="b">
        <v>0</v>
      </c>
      <c r="T30" t="s">
        <v>51</v>
      </c>
      <c r="U30">
        <v>9</v>
      </c>
      <c r="V30" t="s">
        <v>63</v>
      </c>
      <c r="W30" t="s">
        <v>53</v>
      </c>
      <c r="X30" s="4">
        <v>0</v>
      </c>
      <c r="Y30" t="s">
        <v>54</v>
      </c>
      <c r="Z30" t="s">
        <v>287</v>
      </c>
      <c r="AA30" t="s">
        <v>189</v>
      </c>
      <c r="AB30" t="s">
        <v>288</v>
      </c>
      <c r="AC30" t="s">
        <v>189</v>
      </c>
      <c r="AD30" t="s">
        <v>189</v>
      </c>
      <c r="AE30" t="s">
        <v>289</v>
      </c>
      <c r="AF30" t="b">
        <v>0</v>
      </c>
      <c r="AG30" t="s">
        <v>55</v>
      </c>
      <c r="AI30" t="s">
        <v>65</v>
      </c>
      <c r="AJ30" t="s">
        <v>65</v>
      </c>
      <c r="AK30" s="5">
        <v>46145.404953703706</v>
      </c>
      <c r="AO30" t="b">
        <v>0</v>
      </c>
      <c r="AP30">
        <v>0</v>
      </c>
      <c r="AR30" t="b">
        <v>0</v>
      </c>
      <c r="AS30" t="b">
        <v>0</v>
      </c>
      <c r="AT30">
        <v>1009</v>
      </c>
      <c r="AU30" t="s">
        <v>51</v>
      </c>
    </row>
    <row r="31" spans="1:47" x14ac:dyDescent="0.25">
      <c r="A31" t="s">
        <v>47</v>
      </c>
      <c r="B31">
        <v>38.648000000000003</v>
      </c>
      <c r="C31" t="s">
        <v>48</v>
      </c>
      <c r="D31" t="s">
        <v>49</v>
      </c>
      <c r="E31" s="2">
        <v>46145</v>
      </c>
      <c r="F31" t="s">
        <v>102</v>
      </c>
      <c r="G31" t="s">
        <v>59</v>
      </c>
      <c r="H31" t="s">
        <v>290</v>
      </c>
      <c r="I31" t="s">
        <v>290</v>
      </c>
      <c r="J31" t="s">
        <v>189</v>
      </c>
      <c r="K31" t="s">
        <v>291</v>
      </c>
      <c r="L31" t="s">
        <v>292</v>
      </c>
      <c r="M31" t="s">
        <v>293</v>
      </c>
      <c r="N31" t="s">
        <v>70</v>
      </c>
      <c r="O31" t="b">
        <v>1</v>
      </c>
      <c r="P31" t="b">
        <v>1</v>
      </c>
      <c r="Q31" t="b">
        <v>1</v>
      </c>
      <c r="R31" t="b">
        <v>0</v>
      </c>
      <c r="S31" t="b">
        <v>0</v>
      </c>
      <c r="T31" t="s">
        <v>51</v>
      </c>
      <c r="U31">
        <v>9</v>
      </c>
      <c r="V31" t="s">
        <v>63</v>
      </c>
      <c r="W31" t="s">
        <v>53</v>
      </c>
      <c r="X31" s="4">
        <v>0</v>
      </c>
      <c r="Y31" t="s">
        <v>54</v>
      </c>
      <c r="Z31" t="s">
        <v>189</v>
      </c>
      <c r="AA31" t="s">
        <v>189</v>
      </c>
      <c r="AB31" t="s">
        <v>292</v>
      </c>
      <c r="AC31" t="s">
        <v>189</v>
      </c>
      <c r="AD31" t="s">
        <v>189</v>
      </c>
      <c r="AE31" t="s">
        <v>294</v>
      </c>
      <c r="AF31" t="b">
        <v>0</v>
      </c>
      <c r="AG31" t="s">
        <v>55</v>
      </c>
      <c r="AI31" t="s">
        <v>65</v>
      </c>
      <c r="AJ31" t="s">
        <v>65</v>
      </c>
      <c r="AK31" s="5">
        <v>46145.405011574076</v>
      </c>
      <c r="AO31" t="b">
        <v>0</v>
      </c>
      <c r="AP31">
        <v>0</v>
      </c>
      <c r="AR31" t="b">
        <v>0</v>
      </c>
      <c r="AS31" t="b">
        <v>0</v>
      </c>
      <c r="AT31">
        <v>1009</v>
      </c>
      <c r="AU31" t="s">
        <v>51</v>
      </c>
    </row>
    <row r="32" spans="1:47" x14ac:dyDescent="0.25">
      <c r="A32" t="s">
        <v>69</v>
      </c>
      <c r="B32">
        <v>38.651000000000003</v>
      </c>
      <c r="C32" t="s">
        <v>48</v>
      </c>
      <c r="D32" t="s">
        <v>49</v>
      </c>
      <c r="E32" s="2">
        <v>46145</v>
      </c>
      <c r="F32" t="s">
        <v>147</v>
      </c>
      <c r="G32" t="s">
        <v>137</v>
      </c>
      <c r="H32" t="s">
        <v>295</v>
      </c>
      <c r="I32" t="s">
        <v>295</v>
      </c>
      <c r="J32" t="s">
        <v>189</v>
      </c>
      <c r="K32" t="s">
        <v>295</v>
      </c>
      <c r="L32" t="s">
        <v>296</v>
      </c>
      <c r="M32" t="s">
        <v>297</v>
      </c>
      <c r="N32" t="s">
        <v>66</v>
      </c>
      <c r="O32" t="b">
        <v>1</v>
      </c>
      <c r="P32" t="b">
        <v>1</v>
      </c>
      <c r="Q32" t="b">
        <v>1</v>
      </c>
      <c r="R32" t="b">
        <v>0</v>
      </c>
      <c r="S32" t="b">
        <v>0</v>
      </c>
      <c r="T32" t="s">
        <v>51</v>
      </c>
      <c r="U32">
        <v>83</v>
      </c>
      <c r="V32" t="s">
        <v>92</v>
      </c>
      <c r="W32" t="s">
        <v>148</v>
      </c>
      <c r="X32" s="4">
        <v>0</v>
      </c>
      <c r="Y32" t="s">
        <v>54</v>
      </c>
      <c r="Z32" t="s">
        <v>189</v>
      </c>
      <c r="AA32" t="s">
        <v>189</v>
      </c>
      <c r="AB32" t="s">
        <v>298</v>
      </c>
      <c r="AC32" t="s">
        <v>189</v>
      </c>
      <c r="AD32" t="s">
        <v>299</v>
      </c>
      <c r="AE32" t="s">
        <v>300</v>
      </c>
      <c r="AF32" t="b">
        <v>0</v>
      </c>
      <c r="AG32" t="s">
        <v>55</v>
      </c>
      <c r="AI32" t="s">
        <v>65</v>
      </c>
      <c r="AJ32" t="s">
        <v>65</v>
      </c>
      <c r="AK32" s="5">
        <v>46145.683923611112</v>
      </c>
      <c r="AO32" t="b">
        <v>0</v>
      </c>
      <c r="AP32">
        <v>0</v>
      </c>
      <c r="AR32" t="b">
        <v>0</v>
      </c>
      <c r="AS32" t="b">
        <v>0</v>
      </c>
      <c r="AT32">
        <v>4386</v>
      </c>
      <c r="AU32" t="s">
        <v>51</v>
      </c>
    </row>
    <row r="33" spans="1:47" x14ac:dyDescent="0.25">
      <c r="A33" t="s">
        <v>78</v>
      </c>
      <c r="B33">
        <v>38.652000000000001</v>
      </c>
      <c r="C33" t="s">
        <v>48</v>
      </c>
      <c r="D33" t="s">
        <v>49</v>
      </c>
      <c r="E33" s="2">
        <v>46145</v>
      </c>
      <c r="F33" t="s">
        <v>145</v>
      </c>
      <c r="G33" t="s">
        <v>146</v>
      </c>
      <c r="H33" t="s">
        <v>301</v>
      </c>
      <c r="I33" t="s">
        <v>301</v>
      </c>
      <c r="J33" t="s">
        <v>189</v>
      </c>
      <c r="K33" t="s">
        <v>301</v>
      </c>
      <c r="L33" t="s">
        <v>302</v>
      </c>
      <c r="M33" t="s">
        <v>303</v>
      </c>
      <c r="N33" t="s">
        <v>83</v>
      </c>
      <c r="O33" t="b">
        <v>1</v>
      </c>
      <c r="P33" t="b">
        <v>1</v>
      </c>
      <c r="Q33" t="b">
        <v>1</v>
      </c>
      <c r="R33" t="b">
        <v>0</v>
      </c>
      <c r="S33" t="b">
        <v>0</v>
      </c>
      <c r="T33" t="s">
        <v>51</v>
      </c>
      <c r="U33">
        <v>145</v>
      </c>
      <c r="V33" t="s">
        <v>100</v>
      </c>
      <c r="W33" t="s">
        <v>95</v>
      </c>
      <c r="X33" s="4">
        <v>0</v>
      </c>
      <c r="Y33" t="s">
        <v>54</v>
      </c>
      <c r="Z33" t="s">
        <v>302</v>
      </c>
      <c r="AA33" t="s">
        <v>189</v>
      </c>
      <c r="AB33" t="s">
        <v>189</v>
      </c>
      <c r="AC33" t="s">
        <v>189</v>
      </c>
      <c r="AD33" t="s">
        <v>189</v>
      </c>
      <c r="AE33" t="s">
        <v>304</v>
      </c>
      <c r="AF33" t="b">
        <v>0</v>
      </c>
      <c r="AG33" t="s">
        <v>55</v>
      </c>
      <c r="AH33" t="s">
        <v>169</v>
      </c>
      <c r="AI33" t="s">
        <v>65</v>
      </c>
      <c r="AJ33" t="s">
        <v>65</v>
      </c>
      <c r="AK33" s="5">
        <v>46145.699456018519</v>
      </c>
      <c r="AO33" t="b">
        <v>0</v>
      </c>
      <c r="AP33">
        <v>0</v>
      </c>
      <c r="AR33" t="b">
        <v>0</v>
      </c>
      <c r="AS33" t="b">
        <v>0</v>
      </c>
      <c r="AT33">
        <v>8561</v>
      </c>
      <c r="AU33" t="s">
        <v>51</v>
      </c>
    </row>
    <row r="34" spans="1:47" x14ac:dyDescent="0.25">
      <c r="A34" t="s">
        <v>69</v>
      </c>
      <c r="B34">
        <v>38.652999999999999</v>
      </c>
      <c r="C34" t="s">
        <v>48</v>
      </c>
      <c r="D34" t="s">
        <v>49</v>
      </c>
      <c r="E34" s="2">
        <v>46145</v>
      </c>
      <c r="F34" t="s">
        <v>139</v>
      </c>
      <c r="G34" t="s">
        <v>72</v>
      </c>
      <c r="H34" t="s">
        <v>305</v>
      </c>
      <c r="I34" t="s">
        <v>305</v>
      </c>
      <c r="J34" t="s">
        <v>189</v>
      </c>
      <c r="K34" t="s">
        <v>305</v>
      </c>
      <c r="L34" t="s">
        <v>306</v>
      </c>
      <c r="M34" t="s">
        <v>307</v>
      </c>
      <c r="N34" t="s">
        <v>66</v>
      </c>
      <c r="O34" t="b">
        <v>1</v>
      </c>
      <c r="P34" t="b">
        <v>1</v>
      </c>
      <c r="Q34" t="b">
        <v>1</v>
      </c>
      <c r="R34" t="b">
        <v>0</v>
      </c>
      <c r="S34" t="b">
        <v>0</v>
      </c>
      <c r="T34" t="s">
        <v>51</v>
      </c>
      <c r="U34">
        <v>83</v>
      </c>
      <c r="V34" t="s">
        <v>52</v>
      </c>
      <c r="W34" t="s">
        <v>87</v>
      </c>
      <c r="X34" s="4">
        <v>0</v>
      </c>
      <c r="Y34" t="s">
        <v>54</v>
      </c>
      <c r="Z34" t="s">
        <v>189</v>
      </c>
      <c r="AA34" t="s">
        <v>189</v>
      </c>
      <c r="AB34" t="s">
        <v>306</v>
      </c>
      <c r="AC34" t="s">
        <v>189</v>
      </c>
      <c r="AD34" t="s">
        <v>189</v>
      </c>
      <c r="AE34" t="s">
        <v>199</v>
      </c>
      <c r="AF34" t="b">
        <v>0</v>
      </c>
      <c r="AG34" t="s">
        <v>55</v>
      </c>
      <c r="AI34" t="s">
        <v>68</v>
      </c>
      <c r="AJ34" t="s">
        <v>65</v>
      </c>
      <c r="AK34" s="5">
        <v>46145.699131944442</v>
      </c>
      <c r="AO34" t="b">
        <v>0</v>
      </c>
      <c r="AP34">
        <v>0</v>
      </c>
      <c r="AR34" t="b">
        <v>0</v>
      </c>
      <c r="AS34" t="b">
        <v>0</v>
      </c>
      <c r="AT34">
        <v>5289</v>
      </c>
      <c r="AU34" t="s">
        <v>51</v>
      </c>
    </row>
    <row r="35" spans="1:47" x14ac:dyDescent="0.25">
      <c r="A35" t="s">
        <v>69</v>
      </c>
      <c r="B35">
        <v>38.654000000000003</v>
      </c>
      <c r="C35" t="s">
        <v>48</v>
      </c>
      <c r="D35" t="s">
        <v>49</v>
      </c>
      <c r="E35" s="2">
        <v>46145</v>
      </c>
      <c r="F35" t="s">
        <v>139</v>
      </c>
      <c r="G35" t="s">
        <v>72</v>
      </c>
      <c r="H35" t="s">
        <v>308</v>
      </c>
      <c r="I35" t="s">
        <v>308</v>
      </c>
      <c r="J35" t="s">
        <v>189</v>
      </c>
      <c r="K35" t="s">
        <v>308</v>
      </c>
      <c r="L35" t="s">
        <v>309</v>
      </c>
      <c r="M35" t="s">
        <v>310</v>
      </c>
      <c r="N35" t="s">
        <v>66</v>
      </c>
      <c r="O35" t="b">
        <v>1</v>
      </c>
      <c r="P35" t="b">
        <v>1</v>
      </c>
      <c r="Q35" t="b">
        <v>1</v>
      </c>
      <c r="R35" t="b">
        <v>0</v>
      </c>
      <c r="S35" t="b">
        <v>0</v>
      </c>
      <c r="T35" t="s">
        <v>51</v>
      </c>
      <c r="U35">
        <v>83</v>
      </c>
      <c r="V35" t="s">
        <v>52</v>
      </c>
      <c r="W35">
        <v>0</v>
      </c>
      <c r="X35" s="4">
        <v>0</v>
      </c>
      <c r="Y35" t="s">
        <v>54</v>
      </c>
      <c r="Z35" t="s">
        <v>189</v>
      </c>
      <c r="AA35" t="s">
        <v>189</v>
      </c>
      <c r="AB35" t="s">
        <v>309</v>
      </c>
      <c r="AC35" t="s">
        <v>189</v>
      </c>
      <c r="AD35" t="s">
        <v>189</v>
      </c>
      <c r="AE35" t="s">
        <v>221</v>
      </c>
      <c r="AF35" t="b">
        <v>0</v>
      </c>
      <c r="AG35" t="s">
        <v>55</v>
      </c>
      <c r="AI35" t="s">
        <v>68</v>
      </c>
      <c r="AJ35" t="s">
        <v>65</v>
      </c>
      <c r="AK35" s="5">
        <v>46145.703206018516</v>
      </c>
      <c r="AO35" t="b">
        <v>0</v>
      </c>
      <c r="AP35">
        <v>0</v>
      </c>
      <c r="AR35" t="b">
        <v>0</v>
      </c>
      <c r="AS35" t="b">
        <v>0</v>
      </c>
      <c r="AT35">
        <v>5289</v>
      </c>
      <c r="AU35" t="s">
        <v>51</v>
      </c>
    </row>
    <row r="36" spans="1:47" x14ac:dyDescent="0.25">
      <c r="A36" t="s">
        <v>47</v>
      </c>
      <c r="B36">
        <v>38.655000000000001</v>
      </c>
      <c r="C36" t="s">
        <v>48</v>
      </c>
      <c r="D36" t="s">
        <v>49</v>
      </c>
      <c r="E36" s="2">
        <v>46145</v>
      </c>
      <c r="F36" t="s">
        <v>80</v>
      </c>
      <c r="G36" t="s">
        <v>76</v>
      </c>
      <c r="H36" t="s">
        <v>311</v>
      </c>
      <c r="I36" t="s">
        <v>311</v>
      </c>
      <c r="J36" t="s">
        <v>189</v>
      </c>
      <c r="K36" t="s">
        <v>312</v>
      </c>
      <c r="L36" t="s">
        <v>313</v>
      </c>
      <c r="M36" t="s">
        <v>314</v>
      </c>
      <c r="N36" t="s">
        <v>70</v>
      </c>
      <c r="O36" t="b">
        <v>1</v>
      </c>
      <c r="P36" t="b">
        <v>1</v>
      </c>
      <c r="Q36" t="b">
        <v>1</v>
      </c>
      <c r="R36" t="b">
        <v>0</v>
      </c>
      <c r="S36" t="b">
        <v>0</v>
      </c>
      <c r="T36" t="s">
        <v>51</v>
      </c>
      <c r="U36">
        <v>9</v>
      </c>
      <c r="V36" t="s">
        <v>63</v>
      </c>
      <c r="W36" t="s">
        <v>81</v>
      </c>
      <c r="X36" s="4">
        <v>0</v>
      </c>
      <c r="Z36" t="s">
        <v>315</v>
      </c>
      <c r="AA36" t="s">
        <v>189</v>
      </c>
      <c r="AB36" t="s">
        <v>227</v>
      </c>
      <c r="AC36" t="s">
        <v>189</v>
      </c>
      <c r="AD36" t="s">
        <v>189</v>
      </c>
      <c r="AE36" t="s">
        <v>300</v>
      </c>
      <c r="AF36" t="b">
        <v>0</v>
      </c>
      <c r="AG36" t="s">
        <v>55</v>
      </c>
      <c r="AH36" t="s">
        <v>82</v>
      </c>
      <c r="AI36" t="s">
        <v>75</v>
      </c>
      <c r="AJ36" t="s">
        <v>75</v>
      </c>
      <c r="AK36" s="5">
        <v>46145.730081018519</v>
      </c>
      <c r="AO36" t="b">
        <v>0</v>
      </c>
      <c r="AP36">
        <v>0</v>
      </c>
      <c r="AR36" t="b">
        <v>0</v>
      </c>
      <c r="AS36" t="b">
        <v>0</v>
      </c>
      <c r="AT36">
        <v>161</v>
      </c>
      <c r="AU36" t="s">
        <v>51</v>
      </c>
    </row>
    <row r="37" spans="1:47" x14ac:dyDescent="0.25">
      <c r="A37" t="s">
        <v>78</v>
      </c>
      <c r="B37">
        <v>38.655999999999999</v>
      </c>
      <c r="C37" t="s">
        <v>48</v>
      </c>
      <c r="D37" t="s">
        <v>49</v>
      </c>
      <c r="E37" s="2">
        <v>46145</v>
      </c>
      <c r="F37" t="s">
        <v>152</v>
      </c>
      <c r="G37" t="s">
        <v>61</v>
      </c>
      <c r="H37" t="s">
        <v>316</v>
      </c>
      <c r="I37" t="s">
        <v>316</v>
      </c>
      <c r="J37" t="s">
        <v>189</v>
      </c>
      <c r="K37" t="s">
        <v>316</v>
      </c>
      <c r="L37" t="s">
        <v>317</v>
      </c>
      <c r="M37" t="s">
        <v>318</v>
      </c>
      <c r="N37" t="s">
        <v>50</v>
      </c>
      <c r="O37" t="b">
        <v>1</v>
      </c>
      <c r="P37" t="b">
        <v>1</v>
      </c>
      <c r="Q37" t="b">
        <v>1</v>
      </c>
      <c r="R37" t="b">
        <v>0</v>
      </c>
      <c r="S37" t="b">
        <v>0</v>
      </c>
      <c r="T37" t="s">
        <v>51</v>
      </c>
      <c r="U37">
        <v>126</v>
      </c>
      <c r="V37" t="s">
        <v>52</v>
      </c>
      <c r="W37" t="s">
        <v>106</v>
      </c>
      <c r="X37" s="4">
        <v>0</v>
      </c>
      <c r="Y37" t="s">
        <v>57</v>
      </c>
    </row>
    <row r="38" spans="1:47" x14ac:dyDescent="0.25">
      <c r="A38" t="s">
        <v>58</v>
      </c>
      <c r="B38" t="s">
        <v>189</v>
      </c>
      <c r="C38" t="s">
        <v>189</v>
      </c>
      <c r="D38" t="s">
        <v>319</v>
      </c>
      <c r="E38" t="s">
        <v>189</v>
      </c>
      <c r="F38" t="s">
        <v>320</v>
      </c>
      <c r="G38" t="s">
        <v>321</v>
      </c>
      <c r="H38" t="b">
        <v>0</v>
      </c>
      <c r="I38" t="s">
        <v>55</v>
      </c>
      <c r="J38" t="s">
        <v>67</v>
      </c>
      <c r="K38" t="s">
        <v>56</v>
      </c>
      <c r="L38" t="s">
        <v>56</v>
      </c>
      <c r="M38" s="5">
        <v>46145.772812499999</v>
      </c>
      <c r="Q38" t="b">
        <v>0</v>
      </c>
      <c r="R38">
        <v>0</v>
      </c>
      <c r="T38" t="b">
        <v>0</v>
      </c>
      <c r="U38" t="b">
        <v>0</v>
      </c>
      <c r="V38">
        <v>8105</v>
      </c>
      <c r="W38" t="s">
        <v>51</v>
      </c>
    </row>
    <row r="39" spans="1:47" x14ac:dyDescent="0.25">
      <c r="A39" t="s">
        <v>47</v>
      </c>
      <c r="B39">
        <v>38.656999999999996</v>
      </c>
      <c r="C39" t="s">
        <v>48</v>
      </c>
      <c r="D39" t="s">
        <v>49</v>
      </c>
      <c r="E39" s="2">
        <v>46176</v>
      </c>
      <c r="F39" t="s">
        <v>60</v>
      </c>
      <c r="G39" t="s">
        <v>61</v>
      </c>
      <c r="H39" t="s">
        <v>322</v>
      </c>
      <c r="I39" t="s">
        <v>322</v>
      </c>
      <c r="J39" t="s">
        <v>189</v>
      </c>
      <c r="K39" t="s">
        <v>323</v>
      </c>
      <c r="L39" t="s">
        <v>324</v>
      </c>
      <c r="M39" t="s">
        <v>325</v>
      </c>
      <c r="N39" t="s">
        <v>62</v>
      </c>
      <c r="O39" t="b">
        <v>1</v>
      </c>
      <c r="P39" t="b">
        <v>1</v>
      </c>
      <c r="Q39" t="b">
        <v>1</v>
      </c>
      <c r="R39" t="b">
        <v>0</v>
      </c>
      <c r="S39" t="b">
        <v>0</v>
      </c>
      <c r="T39" t="s">
        <v>51</v>
      </c>
      <c r="U39">
        <v>76</v>
      </c>
      <c r="V39" t="s">
        <v>63</v>
      </c>
      <c r="W39" t="s">
        <v>64</v>
      </c>
      <c r="X39" s="4">
        <v>0</v>
      </c>
      <c r="Y39" t="s">
        <v>57</v>
      </c>
    </row>
    <row r="40" spans="1:47" x14ac:dyDescent="0.25">
      <c r="A40" t="s">
        <v>58</v>
      </c>
      <c r="B40" t="s">
        <v>326</v>
      </c>
      <c r="C40" t="s">
        <v>189</v>
      </c>
      <c r="D40" t="s">
        <v>189</v>
      </c>
      <c r="E40" t="s">
        <v>189</v>
      </c>
      <c r="F40" t="s">
        <v>327</v>
      </c>
      <c r="G40" t="s">
        <v>328</v>
      </c>
      <c r="H40" t="b">
        <v>0</v>
      </c>
      <c r="I40" t="s">
        <v>55</v>
      </c>
      <c r="K40" t="s">
        <v>65</v>
      </c>
      <c r="L40" t="s">
        <v>65</v>
      </c>
      <c r="M40" s="5">
        <v>46176.381678240738</v>
      </c>
      <c r="Q40" t="b">
        <v>0</v>
      </c>
      <c r="R40">
        <v>0</v>
      </c>
      <c r="T40" t="b">
        <v>0</v>
      </c>
      <c r="U40" t="b">
        <v>0</v>
      </c>
      <c r="V40">
        <v>139</v>
      </c>
      <c r="W40" t="s">
        <v>51</v>
      </c>
    </row>
    <row r="41" spans="1:47" x14ac:dyDescent="0.25">
      <c r="A41" t="s">
        <v>69</v>
      </c>
      <c r="B41">
        <v>38.658999999999999</v>
      </c>
      <c r="C41" t="s">
        <v>48</v>
      </c>
      <c r="D41" t="s">
        <v>49</v>
      </c>
      <c r="E41" s="2">
        <v>46176</v>
      </c>
      <c r="F41" t="s">
        <v>139</v>
      </c>
      <c r="G41" t="s">
        <v>72</v>
      </c>
      <c r="H41" t="s">
        <v>305</v>
      </c>
      <c r="I41" t="s">
        <v>305</v>
      </c>
      <c r="J41" t="s">
        <v>189</v>
      </c>
      <c r="K41" t="s">
        <v>305</v>
      </c>
      <c r="L41" t="s">
        <v>306</v>
      </c>
      <c r="M41" t="s">
        <v>307</v>
      </c>
      <c r="N41" t="s">
        <v>66</v>
      </c>
      <c r="O41" t="b">
        <v>1</v>
      </c>
      <c r="P41" t="b">
        <v>1</v>
      </c>
      <c r="Q41" t="b">
        <v>1</v>
      </c>
      <c r="R41" t="b">
        <v>0</v>
      </c>
      <c r="S41" t="b">
        <v>0</v>
      </c>
      <c r="T41" t="s">
        <v>51</v>
      </c>
      <c r="U41">
        <v>83</v>
      </c>
      <c r="V41" t="s">
        <v>52</v>
      </c>
      <c r="W41" t="s">
        <v>87</v>
      </c>
      <c r="X41" s="4">
        <v>0</v>
      </c>
      <c r="Y41" t="s">
        <v>54</v>
      </c>
      <c r="Z41" t="s">
        <v>189</v>
      </c>
      <c r="AA41" t="s">
        <v>189</v>
      </c>
      <c r="AB41" t="s">
        <v>306</v>
      </c>
      <c r="AC41" t="s">
        <v>189</v>
      </c>
      <c r="AD41" t="s">
        <v>189</v>
      </c>
      <c r="AE41" t="s">
        <v>199</v>
      </c>
      <c r="AF41" t="b">
        <v>0</v>
      </c>
      <c r="AG41" t="s">
        <v>55</v>
      </c>
      <c r="AI41" t="s">
        <v>68</v>
      </c>
      <c r="AJ41" t="s">
        <v>65</v>
      </c>
      <c r="AK41" s="5">
        <v>46176.638715277775</v>
      </c>
      <c r="AO41" t="b">
        <v>0</v>
      </c>
      <c r="AP41">
        <v>0</v>
      </c>
      <c r="AR41" t="b">
        <v>0</v>
      </c>
      <c r="AS41" t="b">
        <v>0</v>
      </c>
      <c r="AT41">
        <v>5289</v>
      </c>
      <c r="AU41" t="s">
        <v>51</v>
      </c>
    </row>
    <row r="42" spans="1:47" x14ac:dyDescent="0.25">
      <c r="A42" t="s">
        <v>47</v>
      </c>
      <c r="B42">
        <v>38.659999999999997</v>
      </c>
      <c r="C42" t="s">
        <v>48</v>
      </c>
      <c r="D42" t="s">
        <v>49</v>
      </c>
      <c r="E42" s="2">
        <v>46176</v>
      </c>
      <c r="F42" t="s">
        <v>170</v>
      </c>
      <c r="G42" t="s">
        <v>61</v>
      </c>
      <c r="H42" t="s">
        <v>329</v>
      </c>
      <c r="I42" t="s">
        <v>329</v>
      </c>
      <c r="J42" t="s">
        <v>189</v>
      </c>
      <c r="K42" t="s">
        <v>330</v>
      </c>
      <c r="L42" t="s">
        <v>331</v>
      </c>
      <c r="M42" t="s">
        <v>332</v>
      </c>
      <c r="N42" t="s">
        <v>66</v>
      </c>
      <c r="O42" t="b">
        <v>1</v>
      </c>
      <c r="P42" t="b">
        <v>1</v>
      </c>
      <c r="Q42" t="b">
        <v>1</v>
      </c>
      <c r="R42" t="b">
        <v>0</v>
      </c>
      <c r="S42" t="b">
        <v>0</v>
      </c>
      <c r="T42" t="s">
        <v>51</v>
      </c>
      <c r="U42">
        <v>83</v>
      </c>
      <c r="V42" t="s">
        <v>92</v>
      </c>
      <c r="W42" t="s">
        <v>171</v>
      </c>
      <c r="X42" s="4">
        <v>0</v>
      </c>
      <c r="Y42" t="s">
        <v>54</v>
      </c>
      <c r="Z42" t="s">
        <v>189</v>
      </c>
      <c r="AA42" t="s">
        <v>189</v>
      </c>
      <c r="AB42" t="s">
        <v>189</v>
      </c>
      <c r="AC42" t="s">
        <v>189</v>
      </c>
      <c r="AD42" t="s">
        <v>331</v>
      </c>
      <c r="AE42" t="s">
        <v>247</v>
      </c>
      <c r="AF42" t="b">
        <v>0</v>
      </c>
      <c r="AG42" t="s">
        <v>55</v>
      </c>
      <c r="AI42" t="s">
        <v>68</v>
      </c>
      <c r="AJ42" t="s">
        <v>65</v>
      </c>
      <c r="AK42" s="5">
        <v>46176.638495370367</v>
      </c>
      <c r="AO42" t="b">
        <v>0</v>
      </c>
      <c r="AP42">
        <v>0</v>
      </c>
      <c r="AR42" t="b">
        <v>0</v>
      </c>
      <c r="AS42" t="b">
        <v>0</v>
      </c>
      <c r="AT42">
        <v>5455</v>
      </c>
      <c r="AU42" t="s">
        <v>51</v>
      </c>
    </row>
    <row r="43" spans="1:47" x14ac:dyDescent="0.25">
      <c r="A43" t="s">
        <v>47</v>
      </c>
      <c r="B43">
        <v>38.661999999999999</v>
      </c>
      <c r="C43" t="s">
        <v>48</v>
      </c>
      <c r="D43" t="s">
        <v>49</v>
      </c>
      <c r="E43" s="2">
        <v>46268</v>
      </c>
      <c r="F43" t="s">
        <v>80</v>
      </c>
      <c r="G43" t="s">
        <v>76</v>
      </c>
      <c r="H43" t="s">
        <v>333</v>
      </c>
      <c r="I43" t="s">
        <v>333</v>
      </c>
      <c r="J43" t="s">
        <v>189</v>
      </c>
      <c r="K43" t="s">
        <v>334</v>
      </c>
      <c r="L43" t="s">
        <v>335</v>
      </c>
      <c r="M43" t="s">
        <v>336</v>
      </c>
      <c r="N43" t="s">
        <v>70</v>
      </c>
      <c r="O43" t="b">
        <v>1</v>
      </c>
      <c r="P43" t="b">
        <v>1</v>
      </c>
      <c r="Q43" t="b">
        <v>1</v>
      </c>
      <c r="R43" t="b">
        <v>0</v>
      </c>
      <c r="S43" t="b">
        <v>0</v>
      </c>
      <c r="T43" t="s">
        <v>51</v>
      </c>
      <c r="U43">
        <v>9</v>
      </c>
      <c r="V43" t="s">
        <v>63</v>
      </c>
      <c r="W43" t="s">
        <v>81</v>
      </c>
      <c r="X43" s="4">
        <v>0</v>
      </c>
      <c r="Z43" t="s">
        <v>335</v>
      </c>
      <c r="AA43" t="s">
        <v>189</v>
      </c>
      <c r="AB43" t="s">
        <v>189</v>
      </c>
      <c r="AC43" t="s">
        <v>189</v>
      </c>
      <c r="AD43" t="s">
        <v>189</v>
      </c>
      <c r="AE43" t="s">
        <v>203</v>
      </c>
      <c r="AF43" t="b">
        <v>0</v>
      </c>
      <c r="AG43" t="s">
        <v>55</v>
      </c>
      <c r="AH43" t="s">
        <v>82</v>
      </c>
      <c r="AI43" t="s">
        <v>163</v>
      </c>
      <c r="AJ43" t="s">
        <v>75</v>
      </c>
      <c r="AK43" s="5">
        <v>46268.697835648149</v>
      </c>
      <c r="AO43" t="b">
        <v>0</v>
      </c>
      <c r="AP43">
        <v>0</v>
      </c>
      <c r="AR43" t="b">
        <v>0</v>
      </c>
      <c r="AS43" t="b">
        <v>0</v>
      </c>
      <c r="AT43">
        <v>161</v>
      </c>
      <c r="AU43" t="s">
        <v>51</v>
      </c>
    </row>
    <row r="44" spans="1:47" x14ac:dyDescent="0.25">
      <c r="A44" t="s">
        <v>47</v>
      </c>
      <c r="B44">
        <v>38.662999999999997</v>
      </c>
      <c r="C44" t="s">
        <v>48</v>
      </c>
      <c r="D44" t="s">
        <v>49</v>
      </c>
      <c r="E44" s="2">
        <v>46268</v>
      </c>
      <c r="F44" t="s">
        <v>85</v>
      </c>
      <c r="G44" t="s">
        <v>86</v>
      </c>
      <c r="H44" t="s">
        <v>337</v>
      </c>
      <c r="I44" t="s">
        <v>337</v>
      </c>
      <c r="J44" t="s">
        <v>189</v>
      </c>
      <c r="K44" t="s">
        <v>337</v>
      </c>
      <c r="L44" t="s">
        <v>338</v>
      </c>
      <c r="M44" t="s">
        <v>339</v>
      </c>
      <c r="N44" t="s">
        <v>50</v>
      </c>
      <c r="O44" t="b">
        <v>1</v>
      </c>
      <c r="P44" t="b">
        <v>1</v>
      </c>
      <c r="Q44" t="b">
        <v>1</v>
      </c>
      <c r="R44" t="b">
        <v>0</v>
      </c>
      <c r="S44" t="b">
        <v>0</v>
      </c>
      <c r="T44" t="s">
        <v>51</v>
      </c>
      <c r="U44">
        <v>126</v>
      </c>
      <c r="V44" t="s">
        <v>52</v>
      </c>
      <c r="W44">
        <v>0</v>
      </c>
      <c r="X44" s="4">
        <v>0</v>
      </c>
      <c r="Y44" t="s">
        <v>54</v>
      </c>
      <c r="Z44" t="s">
        <v>340</v>
      </c>
      <c r="AA44" t="s">
        <v>189</v>
      </c>
      <c r="AB44" t="s">
        <v>341</v>
      </c>
      <c r="AC44" t="s">
        <v>189</v>
      </c>
      <c r="AD44" t="s">
        <v>189</v>
      </c>
      <c r="AE44" t="s">
        <v>342</v>
      </c>
      <c r="AF44" t="b">
        <v>0</v>
      </c>
      <c r="AG44" t="s">
        <v>55</v>
      </c>
      <c r="AH44" t="s">
        <v>88</v>
      </c>
      <c r="AI44" t="s">
        <v>163</v>
      </c>
      <c r="AJ44" t="s">
        <v>75</v>
      </c>
      <c r="AK44" s="5">
        <v>46268.699467592596</v>
      </c>
      <c r="AO44" t="b">
        <v>0</v>
      </c>
      <c r="AP44">
        <v>0</v>
      </c>
      <c r="AR44" t="b">
        <v>0</v>
      </c>
      <c r="AS44" t="b">
        <v>0</v>
      </c>
      <c r="AT44">
        <v>4089</v>
      </c>
      <c r="AU44" t="s">
        <v>51</v>
      </c>
    </row>
    <row r="45" spans="1:47" x14ac:dyDescent="0.25">
      <c r="A45" t="s">
        <v>47</v>
      </c>
      <c r="B45">
        <v>38.665999999999997</v>
      </c>
      <c r="C45" t="s">
        <v>48</v>
      </c>
      <c r="D45" t="s">
        <v>49</v>
      </c>
      <c r="E45" s="2">
        <v>46298</v>
      </c>
      <c r="F45" t="s">
        <v>123</v>
      </c>
      <c r="G45" t="s">
        <v>124</v>
      </c>
      <c r="H45" t="s">
        <v>343</v>
      </c>
      <c r="I45" t="s">
        <v>343</v>
      </c>
      <c r="J45" t="s">
        <v>189</v>
      </c>
      <c r="K45" t="s">
        <v>344</v>
      </c>
      <c r="L45" t="s">
        <v>345</v>
      </c>
      <c r="M45" t="s">
        <v>346</v>
      </c>
      <c r="N45" t="s">
        <v>125</v>
      </c>
      <c r="O45" t="b">
        <v>1</v>
      </c>
      <c r="P45" t="b">
        <v>1</v>
      </c>
      <c r="Q45" t="b">
        <v>1</v>
      </c>
      <c r="R45" t="b">
        <v>0</v>
      </c>
      <c r="S45" t="b">
        <v>0</v>
      </c>
      <c r="T45" t="s">
        <v>51</v>
      </c>
      <c r="U45">
        <v>43</v>
      </c>
      <c r="W45" t="s">
        <v>64</v>
      </c>
      <c r="X45" s="4">
        <v>0</v>
      </c>
      <c r="Y45" t="s">
        <v>54</v>
      </c>
      <c r="Z45" t="s">
        <v>189</v>
      </c>
      <c r="AA45" t="s">
        <v>189</v>
      </c>
      <c r="AB45" t="s">
        <v>345</v>
      </c>
      <c r="AC45" t="s">
        <v>189</v>
      </c>
      <c r="AD45" t="s">
        <v>189</v>
      </c>
      <c r="AE45" t="s">
        <v>347</v>
      </c>
      <c r="AF45" t="b">
        <v>0</v>
      </c>
      <c r="AG45" t="s">
        <v>55</v>
      </c>
      <c r="AI45" t="s">
        <v>65</v>
      </c>
      <c r="AJ45" t="s">
        <v>65</v>
      </c>
      <c r="AK45" s="5">
        <v>46298.707175925927</v>
      </c>
      <c r="AO45" t="b">
        <v>0</v>
      </c>
      <c r="AP45">
        <v>0</v>
      </c>
      <c r="AR45" t="b">
        <v>0</v>
      </c>
      <c r="AS45" t="b">
        <v>0</v>
      </c>
      <c r="AT45">
        <v>4694</v>
      </c>
      <c r="AU45" t="s">
        <v>51</v>
      </c>
    </row>
    <row r="46" spans="1:47" x14ac:dyDescent="0.25">
      <c r="A46" t="s">
        <v>47</v>
      </c>
      <c r="B46">
        <v>38.667000000000002</v>
      </c>
      <c r="C46" t="s">
        <v>48</v>
      </c>
      <c r="D46" t="s">
        <v>49</v>
      </c>
      <c r="E46" s="2">
        <v>46298</v>
      </c>
      <c r="F46" t="s">
        <v>123</v>
      </c>
      <c r="G46" t="s">
        <v>124</v>
      </c>
      <c r="H46" t="s">
        <v>348</v>
      </c>
      <c r="I46" t="s">
        <v>348</v>
      </c>
      <c r="J46" t="s">
        <v>189</v>
      </c>
      <c r="K46" t="s">
        <v>349</v>
      </c>
      <c r="L46" t="s">
        <v>350</v>
      </c>
      <c r="M46" t="s">
        <v>351</v>
      </c>
      <c r="N46" t="s">
        <v>125</v>
      </c>
      <c r="O46" t="b">
        <v>1</v>
      </c>
      <c r="P46" t="b">
        <v>1</v>
      </c>
      <c r="Q46" t="b">
        <v>1</v>
      </c>
      <c r="R46" t="b">
        <v>0</v>
      </c>
      <c r="S46" t="b">
        <v>0</v>
      </c>
      <c r="T46" t="s">
        <v>51</v>
      </c>
      <c r="U46">
        <v>43</v>
      </c>
      <c r="W46" t="s">
        <v>64</v>
      </c>
      <c r="X46" s="4">
        <v>0</v>
      </c>
      <c r="Y46" t="s">
        <v>54</v>
      </c>
      <c r="Z46" t="s">
        <v>189</v>
      </c>
      <c r="AA46" t="s">
        <v>189</v>
      </c>
      <c r="AB46" t="s">
        <v>350</v>
      </c>
      <c r="AC46" t="s">
        <v>189</v>
      </c>
      <c r="AD46" t="s">
        <v>189</v>
      </c>
      <c r="AE46" t="s">
        <v>352</v>
      </c>
      <c r="AF46" t="b">
        <v>0</v>
      </c>
      <c r="AG46" t="s">
        <v>55</v>
      </c>
      <c r="AI46" t="s">
        <v>65</v>
      </c>
      <c r="AJ46" t="s">
        <v>65</v>
      </c>
      <c r="AK46" s="5">
        <v>46298.707870370374</v>
      </c>
      <c r="AO46" t="b">
        <v>0</v>
      </c>
      <c r="AP46">
        <v>0</v>
      </c>
      <c r="AR46" t="b">
        <v>0</v>
      </c>
      <c r="AS46" t="b">
        <v>0</v>
      </c>
      <c r="AT46">
        <v>4694</v>
      </c>
      <c r="AU46" t="s">
        <v>51</v>
      </c>
    </row>
    <row r="47" spans="1:47" x14ac:dyDescent="0.25">
      <c r="A47" t="s">
        <v>47</v>
      </c>
      <c r="B47">
        <v>38.667999999999999</v>
      </c>
      <c r="C47" t="s">
        <v>48</v>
      </c>
      <c r="D47" t="s">
        <v>49</v>
      </c>
      <c r="E47" s="2">
        <v>46298</v>
      </c>
      <c r="F47" t="s">
        <v>136</v>
      </c>
      <c r="G47" t="s">
        <v>137</v>
      </c>
      <c r="H47" t="s">
        <v>353</v>
      </c>
      <c r="I47" t="s">
        <v>353</v>
      </c>
      <c r="J47" t="s">
        <v>189</v>
      </c>
      <c r="K47" t="s">
        <v>353</v>
      </c>
      <c r="L47" t="s">
        <v>354</v>
      </c>
      <c r="M47" t="s">
        <v>355</v>
      </c>
      <c r="N47" t="s">
        <v>70</v>
      </c>
      <c r="O47" t="b">
        <v>1</v>
      </c>
      <c r="P47" t="b">
        <v>1</v>
      </c>
      <c r="Q47" t="b">
        <v>1</v>
      </c>
      <c r="R47" t="b">
        <v>0</v>
      </c>
      <c r="S47" t="b">
        <v>0</v>
      </c>
      <c r="T47" t="s">
        <v>51</v>
      </c>
      <c r="U47">
        <v>9</v>
      </c>
      <c r="W47" t="s">
        <v>179</v>
      </c>
      <c r="X47" s="4">
        <v>0</v>
      </c>
      <c r="Y47" t="s">
        <v>57</v>
      </c>
    </row>
    <row r="48" spans="1:47" x14ac:dyDescent="0.25">
      <c r="A48" t="s">
        <v>58</v>
      </c>
      <c r="B48" t="s">
        <v>189</v>
      </c>
      <c r="C48" t="s">
        <v>189</v>
      </c>
      <c r="D48" t="s">
        <v>354</v>
      </c>
      <c r="E48" t="s">
        <v>189</v>
      </c>
      <c r="F48" t="s">
        <v>189</v>
      </c>
      <c r="G48" t="s">
        <v>321</v>
      </c>
      <c r="H48" t="b">
        <v>0</v>
      </c>
      <c r="I48" t="s">
        <v>55</v>
      </c>
      <c r="J48" t="s">
        <v>107</v>
      </c>
      <c r="K48" t="s">
        <v>65</v>
      </c>
      <c r="L48" t="s">
        <v>65</v>
      </c>
      <c r="M48" s="5">
        <v>46298.722951388889</v>
      </c>
      <c r="Q48" t="b">
        <v>0</v>
      </c>
      <c r="R48">
        <v>0</v>
      </c>
      <c r="T48" t="b">
        <v>0</v>
      </c>
      <c r="U48" t="b">
        <v>0</v>
      </c>
      <c r="V48">
        <v>3124</v>
      </c>
      <c r="W48" t="s">
        <v>51</v>
      </c>
    </row>
    <row r="49" spans="1:47" x14ac:dyDescent="0.25">
      <c r="A49" t="s">
        <v>78</v>
      </c>
      <c r="B49">
        <v>38.668999999999997</v>
      </c>
      <c r="C49" t="s">
        <v>48</v>
      </c>
      <c r="D49" t="s">
        <v>49</v>
      </c>
      <c r="E49" s="2">
        <v>46329</v>
      </c>
      <c r="F49" t="s">
        <v>110</v>
      </c>
      <c r="G49" t="s">
        <v>59</v>
      </c>
      <c r="H49" t="s">
        <v>356</v>
      </c>
      <c r="I49" t="s">
        <v>356</v>
      </c>
      <c r="J49" t="s">
        <v>189</v>
      </c>
      <c r="K49" t="s">
        <v>356</v>
      </c>
      <c r="L49" t="s">
        <v>357</v>
      </c>
      <c r="M49" t="s">
        <v>358</v>
      </c>
      <c r="N49" t="s">
        <v>50</v>
      </c>
      <c r="O49" t="b">
        <v>1</v>
      </c>
      <c r="P49" t="b">
        <v>1</v>
      </c>
      <c r="Q49" t="b">
        <v>1</v>
      </c>
      <c r="R49" t="b">
        <v>0</v>
      </c>
      <c r="S49" t="b">
        <v>0</v>
      </c>
      <c r="T49" t="s">
        <v>51</v>
      </c>
      <c r="U49">
        <v>126</v>
      </c>
      <c r="V49" t="s">
        <v>52</v>
      </c>
      <c r="W49" t="s">
        <v>150</v>
      </c>
      <c r="X49" s="4">
        <v>0</v>
      </c>
      <c r="Y49" t="s">
        <v>54</v>
      </c>
      <c r="Z49" t="s">
        <v>357</v>
      </c>
      <c r="AA49" t="s">
        <v>189</v>
      </c>
      <c r="AB49" t="s">
        <v>189</v>
      </c>
      <c r="AC49" t="s">
        <v>189</v>
      </c>
      <c r="AD49" t="s">
        <v>189</v>
      </c>
      <c r="AE49" t="s">
        <v>199</v>
      </c>
      <c r="AF49" t="b">
        <v>0</v>
      </c>
      <c r="AG49" t="s">
        <v>55</v>
      </c>
      <c r="AH49" t="s">
        <v>104</v>
      </c>
      <c r="AI49" t="s">
        <v>56</v>
      </c>
      <c r="AJ49" t="s">
        <v>56</v>
      </c>
      <c r="AK49" s="5">
        <v>46329.418726851851</v>
      </c>
      <c r="AO49" t="b">
        <v>0</v>
      </c>
      <c r="AP49">
        <v>0</v>
      </c>
      <c r="AR49" t="b">
        <v>0</v>
      </c>
      <c r="AS49" t="b">
        <v>0</v>
      </c>
      <c r="AT49">
        <v>4759</v>
      </c>
      <c r="AU49" t="s">
        <v>51</v>
      </c>
    </row>
    <row r="50" spans="1:47" x14ac:dyDescent="0.25">
      <c r="A50" t="s">
        <v>78</v>
      </c>
      <c r="B50">
        <v>38.67</v>
      </c>
      <c r="C50" t="s">
        <v>48</v>
      </c>
      <c r="D50" t="s">
        <v>49</v>
      </c>
      <c r="E50" s="2">
        <v>46329</v>
      </c>
      <c r="F50" t="s">
        <v>134</v>
      </c>
      <c r="G50" t="s">
        <v>76</v>
      </c>
      <c r="H50" t="s">
        <v>359</v>
      </c>
      <c r="I50" t="s">
        <v>359</v>
      </c>
      <c r="J50" t="s">
        <v>189</v>
      </c>
      <c r="K50" t="s">
        <v>359</v>
      </c>
      <c r="L50" t="s">
        <v>360</v>
      </c>
      <c r="M50" t="s">
        <v>361</v>
      </c>
      <c r="N50" t="s">
        <v>83</v>
      </c>
      <c r="O50" t="b">
        <v>1</v>
      </c>
      <c r="P50" t="b">
        <v>1</v>
      </c>
      <c r="Q50" t="b">
        <v>1</v>
      </c>
      <c r="R50" t="b">
        <v>0</v>
      </c>
      <c r="S50" t="b">
        <v>0</v>
      </c>
      <c r="T50" t="s">
        <v>51</v>
      </c>
      <c r="U50">
        <v>145</v>
      </c>
      <c r="V50" t="s">
        <v>79</v>
      </c>
      <c r="W50" t="s">
        <v>135</v>
      </c>
      <c r="X50" s="4">
        <v>0</v>
      </c>
      <c r="Y50" t="s">
        <v>57</v>
      </c>
    </row>
    <row r="51" spans="1:47" x14ac:dyDescent="0.25">
      <c r="A51" t="s">
        <v>58</v>
      </c>
      <c r="B51" t="s">
        <v>189</v>
      </c>
      <c r="C51" t="s">
        <v>189</v>
      </c>
      <c r="D51" t="s">
        <v>360</v>
      </c>
      <c r="E51" t="s">
        <v>189</v>
      </c>
      <c r="F51" t="s">
        <v>189</v>
      </c>
      <c r="G51" t="s">
        <v>362</v>
      </c>
      <c r="H51" t="b">
        <v>0</v>
      </c>
      <c r="I51" t="s">
        <v>55</v>
      </c>
      <c r="J51" t="s">
        <v>107</v>
      </c>
      <c r="K51" t="s">
        <v>65</v>
      </c>
      <c r="L51" t="s">
        <v>65</v>
      </c>
      <c r="M51" s="5">
        <v>46329.491041666668</v>
      </c>
      <c r="Q51" t="b">
        <v>0</v>
      </c>
      <c r="R51">
        <v>0</v>
      </c>
      <c r="T51" t="b">
        <v>0</v>
      </c>
      <c r="U51" t="b">
        <v>0</v>
      </c>
      <c r="V51">
        <v>8632</v>
      </c>
      <c r="W51" t="s">
        <v>51</v>
      </c>
    </row>
    <row r="52" spans="1:47" x14ac:dyDescent="0.25">
      <c r="A52" t="s">
        <v>47</v>
      </c>
      <c r="B52">
        <v>38.670999999999999</v>
      </c>
      <c r="C52" t="s">
        <v>48</v>
      </c>
      <c r="D52" t="s">
        <v>49</v>
      </c>
      <c r="E52" s="2">
        <v>46329</v>
      </c>
      <c r="F52" t="s">
        <v>180</v>
      </c>
      <c r="G52" t="s">
        <v>59</v>
      </c>
      <c r="H52" t="s">
        <v>363</v>
      </c>
      <c r="I52" t="s">
        <v>363</v>
      </c>
      <c r="J52" t="s">
        <v>189</v>
      </c>
      <c r="K52" t="s">
        <v>364</v>
      </c>
      <c r="L52" t="s">
        <v>365</v>
      </c>
      <c r="M52" t="s">
        <v>366</v>
      </c>
      <c r="N52" t="s">
        <v>50</v>
      </c>
      <c r="O52" t="b">
        <v>1</v>
      </c>
      <c r="P52" t="b">
        <v>1</v>
      </c>
      <c r="Q52" t="b">
        <v>1</v>
      </c>
      <c r="R52" t="b">
        <v>0</v>
      </c>
      <c r="S52" t="b">
        <v>0</v>
      </c>
      <c r="T52" t="s">
        <v>51</v>
      </c>
      <c r="U52">
        <v>126</v>
      </c>
      <c r="W52" t="s">
        <v>98</v>
      </c>
      <c r="X52" s="4">
        <v>0</v>
      </c>
      <c r="Y52" t="s">
        <v>57</v>
      </c>
    </row>
    <row r="53" spans="1:47" x14ac:dyDescent="0.25">
      <c r="A53" t="s">
        <v>58</v>
      </c>
      <c r="B53" t="s">
        <v>365</v>
      </c>
      <c r="C53" t="s">
        <v>189</v>
      </c>
      <c r="D53" t="s">
        <v>189</v>
      </c>
      <c r="E53" t="s">
        <v>189</v>
      </c>
      <c r="F53" t="s">
        <v>189</v>
      </c>
      <c r="G53" t="s">
        <v>321</v>
      </c>
      <c r="H53" t="b">
        <v>0</v>
      </c>
      <c r="I53" t="s">
        <v>55</v>
      </c>
      <c r="K53" t="s">
        <v>56</v>
      </c>
      <c r="L53" t="s">
        <v>56</v>
      </c>
      <c r="M53" t="s">
        <v>367</v>
      </c>
      <c r="Q53" t="b">
        <v>0</v>
      </c>
      <c r="R53">
        <v>0</v>
      </c>
      <c r="T53" t="b">
        <v>0</v>
      </c>
      <c r="U53" t="b">
        <v>0</v>
      </c>
      <c r="V53">
        <v>8892</v>
      </c>
      <c r="W53" t="s">
        <v>51</v>
      </c>
    </row>
    <row r="54" spans="1:47" x14ac:dyDescent="0.25">
      <c r="A54" t="s">
        <v>47</v>
      </c>
      <c r="B54">
        <v>38.671999999999997</v>
      </c>
      <c r="C54" t="s">
        <v>48</v>
      </c>
      <c r="D54" t="s">
        <v>49</v>
      </c>
      <c r="E54" s="2">
        <v>46329</v>
      </c>
      <c r="F54" t="s">
        <v>180</v>
      </c>
      <c r="G54" t="s">
        <v>59</v>
      </c>
      <c r="H54" t="s">
        <v>368</v>
      </c>
      <c r="I54" t="s">
        <v>368</v>
      </c>
      <c r="J54" t="s">
        <v>189</v>
      </c>
      <c r="K54" t="s">
        <v>369</v>
      </c>
      <c r="L54" t="s">
        <v>370</v>
      </c>
      <c r="M54" t="s">
        <v>371</v>
      </c>
      <c r="N54" t="s">
        <v>50</v>
      </c>
      <c r="O54" t="b">
        <v>1</v>
      </c>
      <c r="P54" t="b">
        <v>1</v>
      </c>
      <c r="Q54" t="b">
        <v>1</v>
      </c>
      <c r="R54" t="b">
        <v>0</v>
      </c>
      <c r="S54" t="b">
        <v>0</v>
      </c>
      <c r="T54" t="s">
        <v>51</v>
      </c>
      <c r="U54">
        <v>126</v>
      </c>
      <c r="W54" t="s">
        <v>98</v>
      </c>
      <c r="X54" s="4">
        <v>0</v>
      </c>
      <c r="Y54" t="s">
        <v>57</v>
      </c>
    </row>
    <row r="55" spans="1:47" x14ac:dyDescent="0.25">
      <c r="A55" t="s">
        <v>58</v>
      </c>
      <c r="B55" t="s">
        <v>370</v>
      </c>
      <c r="C55" t="s">
        <v>189</v>
      </c>
      <c r="D55" t="s">
        <v>189</v>
      </c>
      <c r="E55" t="s">
        <v>189</v>
      </c>
      <c r="F55" t="s">
        <v>189</v>
      </c>
      <c r="G55" t="s">
        <v>372</v>
      </c>
      <c r="H55" t="b">
        <v>0</v>
      </c>
      <c r="I55" t="s">
        <v>55</v>
      </c>
      <c r="K55" t="s">
        <v>56</v>
      </c>
      <c r="L55" t="s">
        <v>56</v>
      </c>
      <c r="M55" t="s">
        <v>373</v>
      </c>
      <c r="Q55" t="b">
        <v>0</v>
      </c>
      <c r="R55">
        <v>0</v>
      </c>
      <c r="T55" t="b">
        <v>0</v>
      </c>
      <c r="U55" t="b">
        <v>0</v>
      </c>
      <c r="V55">
        <v>8892</v>
      </c>
      <c r="W55" t="s">
        <v>51</v>
      </c>
    </row>
    <row r="56" spans="1:47" x14ac:dyDescent="0.25">
      <c r="A56" t="s">
        <v>47</v>
      </c>
      <c r="B56">
        <v>38.673000000000002</v>
      </c>
      <c r="C56" t="s">
        <v>48</v>
      </c>
      <c r="D56" t="s">
        <v>49</v>
      </c>
      <c r="E56" s="2">
        <v>46329</v>
      </c>
      <c r="F56" t="s">
        <v>111</v>
      </c>
      <c r="G56" t="s">
        <v>91</v>
      </c>
      <c r="H56" t="s">
        <v>374</v>
      </c>
      <c r="I56" t="s">
        <v>374</v>
      </c>
      <c r="J56" t="s">
        <v>189</v>
      </c>
      <c r="K56" t="s">
        <v>375</v>
      </c>
      <c r="L56" t="s">
        <v>376</v>
      </c>
      <c r="M56" t="s">
        <v>377</v>
      </c>
      <c r="N56" t="s">
        <v>50</v>
      </c>
      <c r="O56" t="b">
        <v>1</v>
      </c>
      <c r="P56" t="b">
        <v>1</v>
      </c>
      <c r="Q56" t="b">
        <v>1</v>
      </c>
      <c r="R56" t="b">
        <v>0</v>
      </c>
      <c r="S56" t="b">
        <v>0</v>
      </c>
      <c r="T56" t="s">
        <v>51</v>
      </c>
      <c r="U56">
        <v>126</v>
      </c>
      <c r="V56" t="s">
        <v>52</v>
      </c>
      <c r="W56" t="s">
        <v>64</v>
      </c>
      <c r="X56" s="4">
        <v>0</v>
      </c>
      <c r="Y56" t="s">
        <v>54</v>
      </c>
      <c r="Z56" t="s">
        <v>189</v>
      </c>
      <c r="AA56" t="s">
        <v>189</v>
      </c>
      <c r="AB56" t="s">
        <v>189</v>
      </c>
      <c r="AC56" t="s">
        <v>189</v>
      </c>
      <c r="AD56" t="s">
        <v>376</v>
      </c>
      <c r="AE56" t="s">
        <v>378</v>
      </c>
      <c r="AF56" t="b">
        <v>0</v>
      </c>
      <c r="AG56" t="s">
        <v>55</v>
      </c>
      <c r="AH56" t="s">
        <v>112</v>
      </c>
      <c r="AI56" t="s">
        <v>56</v>
      </c>
      <c r="AJ56" t="s">
        <v>56</v>
      </c>
      <c r="AK56" s="5">
        <v>46329.554965277777</v>
      </c>
      <c r="AO56" t="b">
        <v>0</v>
      </c>
      <c r="AP56">
        <v>0</v>
      </c>
      <c r="AR56" t="b">
        <v>0</v>
      </c>
      <c r="AS56" t="b">
        <v>0</v>
      </c>
      <c r="AT56">
        <v>6910</v>
      </c>
      <c r="AU56" t="s">
        <v>51</v>
      </c>
    </row>
    <row r="57" spans="1:47" x14ac:dyDescent="0.25">
      <c r="A57" t="s">
        <v>47</v>
      </c>
      <c r="B57">
        <v>38.673999999999999</v>
      </c>
      <c r="C57" t="s">
        <v>48</v>
      </c>
      <c r="D57" t="s">
        <v>49</v>
      </c>
      <c r="E57" s="2">
        <v>46329</v>
      </c>
      <c r="F57" t="s">
        <v>181</v>
      </c>
      <c r="G57" t="s">
        <v>73</v>
      </c>
      <c r="H57" t="s">
        <v>379</v>
      </c>
      <c r="I57" t="s">
        <v>379</v>
      </c>
      <c r="J57" t="s">
        <v>189</v>
      </c>
      <c r="K57" t="s">
        <v>380</v>
      </c>
      <c r="L57" t="s">
        <v>381</v>
      </c>
      <c r="M57" t="s">
        <v>382</v>
      </c>
      <c r="N57" t="s">
        <v>50</v>
      </c>
      <c r="O57" t="b">
        <v>1</v>
      </c>
      <c r="P57" t="b">
        <v>1</v>
      </c>
      <c r="Q57" t="b">
        <v>1</v>
      </c>
      <c r="R57" t="b">
        <v>0</v>
      </c>
      <c r="S57" t="b">
        <v>0</v>
      </c>
      <c r="T57" t="s">
        <v>51</v>
      </c>
      <c r="U57">
        <v>126</v>
      </c>
      <c r="V57" t="s">
        <v>52</v>
      </c>
      <c r="W57" t="s">
        <v>77</v>
      </c>
      <c r="X57" s="4">
        <v>0</v>
      </c>
      <c r="Y57" t="s">
        <v>54</v>
      </c>
      <c r="Z57" t="s">
        <v>189</v>
      </c>
      <c r="AA57" t="s">
        <v>381</v>
      </c>
      <c r="AB57" t="s">
        <v>189</v>
      </c>
      <c r="AC57" t="s">
        <v>189</v>
      </c>
      <c r="AD57" t="s">
        <v>189</v>
      </c>
      <c r="AE57" t="s">
        <v>383</v>
      </c>
      <c r="AF57" t="b">
        <v>0</v>
      </c>
      <c r="AG57" t="s">
        <v>55</v>
      </c>
      <c r="AI57" t="s">
        <v>56</v>
      </c>
      <c r="AJ57" t="s">
        <v>56</v>
      </c>
      <c r="AK57" t="s">
        <v>384</v>
      </c>
      <c r="AO57" t="b">
        <v>0</v>
      </c>
      <c r="AP57">
        <v>0</v>
      </c>
      <c r="AR57" t="b">
        <v>0</v>
      </c>
      <c r="AS57" t="b">
        <v>0</v>
      </c>
      <c r="AT57">
        <v>6614</v>
      </c>
      <c r="AU57" t="s">
        <v>51</v>
      </c>
    </row>
    <row r="58" spans="1:47" x14ac:dyDescent="0.25">
      <c r="A58" t="s">
        <v>47</v>
      </c>
      <c r="B58">
        <v>38.677999999999997</v>
      </c>
      <c r="C58" t="s">
        <v>48</v>
      </c>
      <c r="D58" t="s">
        <v>49</v>
      </c>
      <c r="E58" s="2">
        <v>46329</v>
      </c>
      <c r="F58" t="s">
        <v>182</v>
      </c>
      <c r="G58" t="s">
        <v>127</v>
      </c>
      <c r="H58" t="s">
        <v>385</v>
      </c>
      <c r="I58" t="s">
        <v>385</v>
      </c>
      <c r="J58" t="s">
        <v>189</v>
      </c>
      <c r="K58" t="s">
        <v>386</v>
      </c>
      <c r="L58" t="s">
        <v>387</v>
      </c>
      <c r="M58" t="s">
        <v>388</v>
      </c>
      <c r="N58" t="s">
        <v>183</v>
      </c>
      <c r="O58" t="b">
        <v>1</v>
      </c>
      <c r="P58" t="b">
        <v>1</v>
      </c>
      <c r="Q58" t="b">
        <v>1</v>
      </c>
      <c r="R58" t="b">
        <v>0</v>
      </c>
      <c r="S58" t="b">
        <v>0</v>
      </c>
      <c r="T58" t="s">
        <v>51</v>
      </c>
      <c r="U58">
        <v>41</v>
      </c>
      <c r="V58" t="s">
        <v>75</v>
      </c>
      <c r="W58" t="s">
        <v>77</v>
      </c>
      <c r="X58" s="4">
        <v>0</v>
      </c>
      <c r="Y58" t="s">
        <v>57</v>
      </c>
    </row>
    <row r="59" spans="1:47" x14ac:dyDescent="0.25">
      <c r="A59" t="s">
        <v>58</v>
      </c>
      <c r="B59" t="s">
        <v>189</v>
      </c>
      <c r="C59" t="s">
        <v>189</v>
      </c>
      <c r="D59" t="s">
        <v>387</v>
      </c>
      <c r="E59" t="s">
        <v>189</v>
      </c>
      <c r="F59" t="s">
        <v>189</v>
      </c>
      <c r="G59" t="s">
        <v>389</v>
      </c>
      <c r="H59" t="b">
        <v>0</v>
      </c>
      <c r="I59" t="s">
        <v>55</v>
      </c>
      <c r="K59" t="s">
        <v>163</v>
      </c>
      <c r="L59" t="s">
        <v>75</v>
      </c>
      <c r="M59" s="5">
        <v>46329.608761574076</v>
      </c>
      <c r="Q59" t="b">
        <v>0</v>
      </c>
      <c r="R59">
        <v>0</v>
      </c>
      <c r="T59" t="b">
        <v>0</v>
      </c>
      <c r="U59" t="b">
        <v>0</v>
      </c>
      <c r="V59">
        <v>1274</v>
      </c>
      <c r="W59" t="s">
        <v>51</v>
      </c>
    </row>
    <row r="60" spans="1:47" x14ac:dyDescent="0.25">
      <c r="A60" t="s">
        <v>96</v>
      </c>
      <c r="B60">
        <v>38.68</v>
      </c>
      <c r="C60" t="s">
        <v>48</v>
      </c>
      <c r="D60" t="s">
        <v>49</v>
      </c>
      <c r="E60" s="2">
        <v>46329</v>
      </c>
      <c r="F60" t="s">
        <v>184</v>
      </c>
      <c r="G60" t="s">
        <v>185</v>
      </c>
      <c r="H60" t="s">
        <v>390</v>
      </c>
      <c r="I60" t="s">
        <v>390</v>
      </c>
      <c r="J60" t="s">
        <v>189</v>
      </c>
      <c r="K60" t="s">
        <v>390</v>
      </c>
      <c r="L60" t="s">
        <v>391</v>
      </c>
      <c r="M60" t="s">
        <v>392</v>
      </c>
      <c r="N60" t="s">
        <v>186</v>
      </c>
      <c r="O60" t="b">
        <v>1</v>
      </c>
      <c r="P60" t="b">
        <v>1</v>
      </c>
      <c r="Q60" t="b">
        <v>1</v>
      </c>
      <c r="R60" t="b">
        <v>0</v>
      </c>
      <c r="S60" t="b">
        <v>0</v>
      </c>
      <c r="T60" t="s">
        <v>51</v>
      </c>
      <c r="U60">
        <v>164</v>
      </c>
      <c r="V60" t="s">
        <v>75</v>
      </c>
      <c r="W60" t="s">
        <v>89</v>
      </c>
      <c r="X60" s="4">
        <v>0</v>
      </c>
      <c r="Z60" t="s">
        <v>391</v>
      </c>
      <c r="AA60" t="s">
        <v>189</v>
      </c>
      <c r="AB60" t="s">
        <v>189</v>
      </c>
      <c r="AC60" t="s">
        <v>189</v>
      </c>
      <c r="AD60" t="s">
        <v>189</v>
      </c>
      <c r="AE60" t="s">
        <v>393</v>
      </c>
      <c r="AF60" t="b">
        <v>0</v>
      </c>
      <c r="AG60" t="s">
        <v>55</v>
      </c>
      <c r="AI60" t="s">
        <v>75</v>
      </c>
      <c r="AJ60" t="s">
        <v>75</v>
      </c>
      <c r="AK60" t="s">
        <v>394</v>
      </c>
      <c r="AO60" t="b">
        <v>0</v>
      </c>
      <c r="AP60">
        <v>0</v>
      </c>
      <c r="AR60" t="b">
        <v>0</v>
      </c>
      <c r="AS60" t="b">
        <v>0</v>
      </c>
      <c r="AT60">
        <v>8890</v>
      </c>
      <c r="AU60" t="s">
        <v>51</v>
      </c>
    </row>
    <row r="61" spans="1:47" x14ac:dyDescent="0.25">
      <c r="A61" t="s">
        <v>47</v>
      </c>
      <c r="B61">
        <v>38.680999999999997</v>
      </c>
      <c r="C61" t="s">
        <v>48</v>
      </c>
      <c r="D61" t="s">
        <v>49</v>
      </c>
      <c r="E61" s="2">
        <v>46329</v>
      </c>
      <c r="F61" t="s">
        <v>102</v>
      </c>
      <c r="G61" t="s">
        <v>59</v>
      </c>
      <c r="H61" t="s">
        <v>395</v>
      </c>
      <c r="I61" t="s">
        <v>395</v>
      </c>
      <c r="J61" t="s">
        <v>189</v>
      </c>
      <c r="K61" t="s">
        <v>396</v>
      </c>
      <c r="L61" t="s">
        <v>397</v>
      </c>
      <c r="M61" t="s">
        <v>398</v>
      </c>
      <c r="N61" t="s">
        <v>70</v>
      </c>
      <c r="O61" t="b">
        <v>1</v>
      </c>
      <c r="P61" t="b">
        <v>1</v>
      </c>
      <c r="Q61" t="b">
        <v>1</v>
      </c>
      <c r="R61" t="b">
        <v>0</v>
      </c>
      <c r="S61" t="b">
        <v>0</v>
      </c>
      <c r="T61" t="s">
        <v>51</v>
      </c>
      <c r="U61">
        <v>9</v>
      </c>
      <c r="V61" t="s">
        <v>63</v>
      </c>
      <c r="W61" t="s">
        <v>53</v>
      </c>
      <c r="X61" s="4">
        <v>0</v>
      </c>
      <c r="Y61" t="s">
        <v>54</v>
      </c>
      <c r="Z61" t="s">
        <v>189</v>
      </c>
      <c r="AA61" t="s">
        <v>189</v>
      </c>
      <c r="AB61" t="s">
        <v>397</v>
      </c>
      <c r="AC61" t="s">
        <v>189</v>
      </c>
      <c r="AD61" t="s">
        <v>189</v>
      </c>
      <c r="AE61" t="s">
        <v>233</v>
      </c>
      <c r="AF61" t="b">
        <v>0</v>
      </c>
      <c r="AG61" t="s">
        <v>55</v>
      </c>
      <c r="AI61" t="s">
        <v>65</v>
      </c>
      <c r="AJ61" t="s">
        <v>65</v>
      </c>
      <c r="AK61" s="5">
        <v>46329.723981481482</v>
      </c>
      <c r="AO61" t="b">
        <v>0</v>
      </c>
      <c r="AP61">
        <v>0</v>
      </c>
      <c r="AR61" t="b">
        <v>0</v>
      </c>
      <c r="AS61" t="b">
        <v>0</v>
      </c>
      <c r="AT61">
        <v>1009</v>
      </c>
      <c r="AU61" t="s">
        <v>51</v>
      </c>
    </row>
    <row r="62" spans="1:47" x14ac:dyDescent="0.25">
      <c r="A62" t="s">
        <v>78</v>
      </c>
      <c r="B62">
        <v>38.682000000000002</v>
      </c>
      <c r="C62" t="s">
        <v>48</v>
      </c>
      <c r="D62" t="s">
        <v>49</v>
      </c>
      <c r="E62" s="2">
        <v>46329</v>
      </c>
      <c r="F62" t="s">
        <v>155</v>
      </c>
      <c r="G62" t="s">
        <v>127</v>
      </c>
      <c r="H62" t="s">
        <v>399</v>
      </c>
      <c r="I62" t="s">
        <v>399</v>
      </c>
      <c r="J62" t="s">
        <v>189</v>
      </c>
      <c r="K62" t="s">
        <v>399</v>
      </c>
      <c r="L62" t="s">
        <v>400</v>
      </c>
      <c r="M62" t="s">
        <v>401</v>
      </c>
      <c r="N62" t="s">
        <v>83</v>
      </c>
      <c r="O62" t="b">
        <v>1</v>
      </c>
      <c r="P62" t="b">
        <v>1</v>
      </c>
      <c r="Q62" t="b">
        <v>1</v>
      </c>
      <c r="R62" t="b">
        <v>0</v>
      </c>
      <c r="S62" t="b">
        <v>0</v>
      </c>
      <c r="T62" t="s">
        <v>51</v>
      </c>
      <c r="U62">
        <v>145</v>
      </c>
      <c r="V62" t="s">
        <v>100</v>
      </c>
      <c r="W62" t="s">
        <v>103</v>
      </c>
      <c r="X62" s="4">
        <v>0</v>
      </c>
      <c r="Y62" t="s">
        <v>57</v>
      </c>
    </row>
    <row r="63" spans="1:47" x14ac:dyDescent="0.25">
      <c r="A63" t="s">
        <v>58</v>
      </c>
      <c r="B63" t="s">
        <v>400</v>
      </c>
      <c r="C63" t="s">
        <v>189</v>
      </c>
      <c r="D63" t="s">
        <v>189</v>
      </c>
      <c r="E63" t="s">
        <v>189</v>
      </c>
      <c r="F63" t="s">
        <v>189</v>
      </c>
      <c r="G63" t="s">
        <v>247</v>
      </c>
      <c r="H63" t="b">
        <v>0</v>
      </c>
      <c r="I63" t="s">
        <v>55</v>
      </c>
      <c r="K63" t="s">
        <v>65</v>
      </c>
      <c r="L63" t="s">
        <v>65</v>
      </c>
      <c r="M63" s="5">
        <v>46329.727453703701</v>
      </c>
      <c r="Q63" t="b">
        <v>0</v>
      </c>
      <c r="R63">
        <v>0</v>
      </c>
      <c r="T63" t="b">
        <v>0</v>
      </c>
      <c r="U63" t="b">
        <v>0</v>
      </c>
      <c r="V63">
        <v>7610</v>
      </c>
      <c r="W63" t="s">
        <v>51</v>
      </c>
    </row>
    <row r="64" spans="1:47" x14ac:dyDescent="0.25">
      <c r="A64" t="s">
        <v>78</v>
      </c>
      <c r="B64">
        <v>38.683</v>
      </c>
      <c r="C64" t="s">
        <v>48</v>
      </c>
      <c r="D64" t="s">
        <v>49</v>
      </c>
      <c r="E64" s="2">
        <v>46359</v>
      </c>
      <c r="F64" t="s">
        <v>105</v>
      </c>
      <c r="G64" t="s">
        <v>61</v>
      </c>
      <c r="H64" t="s">
        <v>402</v>
      </c>
      <c r="I64" t="s">
        <v>402</v>
      </c>
      <c r="J64" t="s">
        <v>189</v>
      </c>
      <c r="K64" t="s">
        <v>402</v>
      </c>
      <c r="L64" t="s">
        <v>403</v>
      </c>
      <c r="M64" t="s">
        <v>404</v>
      </c>
      <c r="N64" t="s">
        <v>50</v>
      </c>
      <c r="O64" t="b">
        <v>1</v>
      </c>
      <c r="P64" t="b">
        <v>1</v>
      </c>
      <c r="Q64" t="b">
        <v>1</v>
      </c>
      <c r="R64" t="b">
        <v>0</v>
      </c>
      <c r="S64" t="b">
        <v>0</v>
      </c>
      <c r="T64" t="s">
        <v>51</v>
      </c>
      <c r="U64">
        <v>126</v>
      </c>
      <c r="V64" t="s">
        <v>52</v>
      </c>
      <c r="W64" t="s">
        <v>103</v>
      </c>
      <c r="X64" s="4">
        <v>0</v>
      </c>
      <c r="Y64" t="s">
        <v>54</v>
      </c>
      <c r="Z64" t="s">
        <v>189</v>
      </c>
      <c r="AA64" t="s">
        <v>189</v>
      </c>
      <c r="AB64" t="s">
        <v>403</v>
      </c>
      <c r="AC64" t="s">
        <v>189</v>
      </c>
      <c r="AD64" t="s">
        <v>189</v>
      </c>
      <c r="AE64" t="s">
        <v>328</v>
      </c>
      <c r="AF64" t="b">
        <v>0</v>
      </c>
      <c r="AG64" t="s">
        <v>55</v>
      </c>
      <c r="AI64" t="s">
        <v>56</v>
      </c>
      <c r="AJ64" t="s">
        <v>56</v>
      </c>
      <c r="AK64" s="5">
        <v>46359.520370370374</v>
      </c>
      <c r="AO64" t="b">
        <v>0</v>
      </c>
      <c r="AP64">
        <v>0</v>
      </c>
      <c r="AR64" t="b">
        <v>0</v>
      </c>
      <c r="AS64" t="b">
        <v>0</v>
      </c>
      <c r="AT64">
        <v>322</v>
      </c>
      <c r="AU64" t="s">
        <v>51</v>
      </c>
    </row>
    <row r="65" spans="1:47" x14ac:dyDescent="0.25">
      <c r="A65" t="s">
        <v>96</v>
      </c>
      <c r="B65">
        <v>38.683999999999997</v>
      </c>
      <c r="C65" t="s">
        <v>48</v>
      </c>
      <c r="D65" t="s">
        <v>49</v>
      </c>
      <c r="E65" s="2">
        <v>46359</v>
      </c>
      <c r="F65" t="s">
        <v>121</v>
      </c>
      <c r="G65" t="s">
        <v>122</v>
      </c>
      <c r="H65" t="s">
        <v>405</v>
      </c>
      <c r="I65" t="s">
        <v>405</v>
      </c>
      <c r="J65" t="s">
        <v>189</v>
      </c>
      <c r="K65" t="s">
        <v>405</v>
      </c>
      <c r="L65" t="s">
        <v>406</v>
      </c>
      <c r="M65" t="s">
        <v>407</v>
      </c>
      <c r="N65" t="s">
        <v>66</v>
      </c>
      <c r="O65" t="b">
        <v>1</v>
      </c>
      <c r="P65" t="b">
        <v>1</v>
      </c>
      <c r="Q65" t="b">
        <v>1</v>
      </c>
      <c r="R65" t="b">
        <v>0</v>
      </c>
      <c r="S65" t="b">
        <v>0</v>
      </c>
      <c r="T65" t="s">
        <v>51</v>
      </c>
      <c r="U65">
        <v>83</v>
      </c>
      <c r="W65" t="s">
        <v>87</v>
      </c>
      <c r="X65" s="4">
        <v>0</v>
      </c>
      <c r="Y65" t="s">
        <v>57</v>
      </c>
    </row>
    <row r="66" spans="1:47" x14ac:dyDescent="0.25">
      <c r="A66" t="s">
        <v>58</v>
      </c>
      <c r="B66" t="s">
        <v>406</v>
      </c>
      <c r="C66" t="s">
        <v>189</v>
      </c>
      <c r="D66" t="s">
        <v>189</v>
      </c>
      <c r="E66" t="s">
        <v>189</v>
      </c>
      <c r="F66" t="s">
        <v>189</v>
      </c>
      <c r="G66" t="s">
        <v>408</v>
      </c>
      <c r="H66" t="b">
        <v>0</v>
      </c>
      <c r="I66" t="s">
        <v>55</v>
      </c>
      <c r="K66" t="s">
        <v>68</v>
      </c>
      <c r="L66" t="s">
        <v>65</v>
      </c>
      <c r="M66" s="5">
        <v>46359.722025462965</v>
      </c>
      <c r="Q66" t="b">
        <v>0</v>
      </c>
      <c r="R66">
        <v>0</v>
      </c>
      <c r="T66" t="b">
        <v>0</v>
      </c>
      <c r="U66" t="b">
        <v>0</v>
      </c>
      <c r="V66">
        <v>4212</v>
      </c>
      <c r="W66" t="s">
        <v>51</v>
      </c>
    </row>
    <row r="67" spans="1:47" x14ac:dyDescent="0.25">
      <c r="A67" t="s">
        <v>47</v>
      </c>
      <c r="B67">
        <v>38.685000000000002</v>
      </c>
      <c r="C67" t="s">
        <v>48</v>
      </c>
      <c r="D67" t="s">
        <v>49</v>
      </c>
      <c r="E67" s="2">
        <v>46359</v>
      </c>
      <c r="F67" t="s">
        <v>90</v>
      </c>
      <c r="G67" t="s">
        <v>91</v>
      </c>
      <c r="H67" t="s">
        <v>409</v>
      </c>
      <c r="I67" t="s">
        <v>409</v>
      </c>
      <c r="J67" t="s">
        <v>189</v>
      </c>
      <c r="K67" t="s">
        <v>410</v>
      </c>
      <c r="L67" t="s">
        <v>411</v>
      </c>
      <c r="M67" t="s">
        <v>412</v>
      </c>
      <c r="N67" t="s">
        <v>66</v>
      </c>
      <c r="O67" t="b">
        <v>1</v>
      </c>
      <c r="P67" t="b">
        <v>1</v>
      </c>
      <c r="Q67" t="b">
        <v>1</v>
      </c>
      <c r="R67" t="b">
        <v>0</v>
      </c>
      <c r="S67" t="b">
        <v>0</v>
      </c>
      <c r="T67" t="s">
        <v>51</v>
      </c>
      <c r="U67">
        <v>83</v>
      </c>
      <c r="W67" t="s">
        <v>71</v>
      </c>
      <c r="X67" s="4">
        <v>0</v>
      </c>
      <c r="Y67" t="s">
        <v>54</v>
      </c>
      <c r="Z67" t="s">
        <v>189</v>
      </c>
      <c r="AA67" t="s">
        <v>189</v>
      </c>
      <c r="AB67" t="s">
        <v>411</v>
      </c>
      <c r="AC67" t="s">
        <v>189</v>
      </c>
      <c r="AD67" t="s">
        <v>189</v>
      </c>
      <c r="AE67" t="s">
        <v>413</v>
      </c>
      <c r="AF67" t="b">
        <v>0</v>
      </c>
      <c r="AG67" t="s">
        <v>55</v>
      </c>
      <c r="AI67" t="s">
        <v>68</v>
      </c>
      <c r="AJ67" t="s">
        <v>65</v>
      </c>
      <c r="AK67" s="5">
        <v>46359.721643518518</v>
      </c>
      <c r="AO67" t="b">
        <v>0</v>
      </c>
      <c r="AP67">
        <v>0</v>
      </c>
      <c r="AR67" t="b">
        <v>0</v>
      </c>
      <c r="AS67" t="b">
        <v>0</v>
      </c>
      <c r="AT67">
        <v>4900</v>
      </c>
      <c r="AU67" t="s">
        <v>51</v>
      </c>
    </row>
    <row r="68" spans="1:47" x14ac:dyDescent="0.25">
      <c r="A68" t="s">
        <v>47</v>
      </c>
      <c r="B68">
        <v>38.686</v>
      </c>
      <c r="C68" t="s">
        <v>48</v>
      </c>
      <c r="D68" t="s">
        <v>49</v>
      </c>
      <c r="E68" s="2">
        <v>46359</v>
      </c>
      <c r="F68" t="s">
        <v>90</v>
      </c>
      <c r="G68" t="s">
        <v>91</v>
      </c>
      <c r="H68" t="s">
        <v>409</v>
      </c>
      <c r="I68" t="s">
        <v>409</v>
      </c>
      <c r="J68" t="s">
        <v>189</v>
      </c>
      <c r="K68" t="s">
        <v>410</v>
      </c>
      <c r="L68" t="s">
        <v>411</v>
      </c>
      <c r="M68" t="s">
        <v>412</v>
      </c>
      <c r="N68" t="s">
        <v>66</v>
      </c>
      <c r="O68" t="b">
        <v>1</v>
      </c>
      <c r="P68" t="b">
        <v>1</v>
      </c>
      <c r="Q68" t="b">
        <v>1</v>
      </c>
      <c r="R68" t="b">
        <v>0</v>
      </c>
      <c r="S68" t="b">
        <v>0</v>
      </c>
      <c r="T68" t="s">
        <v>51</v>
      </c>
      <c r="U68">
        <v>83</v>
      </c>
      <c r="W68" t="s">
        <v>71</v>
      </c>
      <c r="X68" s="4">
        <v>0</v>
      </c>
      <c r="Y68" t="s">
        <v>54</v>
      </c>
      <c r="Z68" t="s">
        <v>189</v>
      </c>
      <c r="AA68" t="s">
        <v>189</v>
      </c>
      <c r="AB68" t="s">
        <v>411</v>
      </c>
      <c r="AC68" t="s">
        <v>189</v>
      </c>
      <c r="AD68" t="s">
        <v>189</v>
      </c>
      <c r="AE68" t="s">
        <v>413</v>
      </c>
      <c r="AF68" t="b">
        <v>0</v>
      </c>
      <c r="AG68" t="s">
        <v>55</v>
      </c>
      <c r="AI68" t="s">
        <v>68</v>
      </c>
      <c r="AJ68" t="s">
        <v>65</v>
      </c>
      <c r="AK68" s="5">
        <v>46359.721805555557</v>
      </c>
      <c r="AO68" t="b">
        <v>0</v>
      </c>
      <c r="AP68">
        <v>0</v>
      </c>
      <c r="AR68" t="b">
        <v>0</v>
      </c>
      <c r="AS68" t="b">
        <v>0</v>
      </c>
      <c r="AT68">
        <v>4900</v>
      </c>
      <c r="AU68" t="s">
        <v>51</v>
      </c>
    </row>
    <row r="69" spans="1:47" x14ac:dyDescent="0.25">
      <c r="A69" t="s">
        <v>47</v>
      </c>
      <c r="B69">
        <v>38.686999999999998</v>
      </c>
      <c r="C69" t="s">
        <v>48</v>
      </c>
      <c r="D69" t="s">
        <v>49</v>
      </c>
      <c r="E69" s="2">
        <v>46359</v>
      </c>
      <c r="F69" t="s">
        <v>141</v>
      </c>
      <c r="G69" t="s">
        <v>73</v>
      </c>
      <c r="H69" t="s">
        <v>414</v>
      </c>
      <c r="I69" t="s">
        <v>414</v>
      </c>
      <c r="J69" t="s">
        <v>189</v>
      </c>
      <c r="K69" t="s">
        <v>415</v>
      </c>
      <c r="L69" t="s">
        <v>416</v>
      </c>
      <c r="M69" t="s">
        <v>417</v>
      </c>
      <c r="N69" t="s">
        <v>50</v>
      </c>
      <c r="O69" t="b">
        <v>1</v>
      </c>
      <c r="P69" t="b">
        <v>1</v>
      </c>
      <c r="Q69" t="b">
        <v>1</v>
      </c>
      <c r="R69" t="b">
        <v>0</v>
      </c>
      <c r="S69" t="b">
        <v>0</v>
      </c>
      <c r="T69" t="s">
        <v>51</v>
      </c>
      <c r="U69">
        <v>126</v>
      </c>
      <c r="V69" t="s">
        <v>52</v>
      </c>
      <c r="W69" t="s">
        <v>77</v>
      </c>
      <c r="X69" s="4">
        <v>0</v>
      </c>
      <c r="Y69" t="s">
        <v>54</v>
      </c>
      <c r="Z69" t="s">
        <v>189</v>
      </c>
      <c r="AA69" t="s">
        <v>189</v>
      </c>
      <c r="AB69" t="s">
        <v>416</v>
      </c>
      <c r="AC69" t="s">
        <v>189</v>
      </c>
      <c r="AD69" t="s">
        <v>189</v>
      </c>
      <c r="AE69" t="s">
        <v>247</v>
      </c>
      <c r="AF69" t="b">
        <v>0</v>
      </c>
      <c r="AG69" t="s">
        <v>55</v>
      </c>
      <c r="AI69" t="s">
        <v>75</v>
      </c>
      <c r="AJ69" t="s">
        <v>75</v>
      </c>
      <c r="AK69" s="5">
        <v>46359.718842592592</v>
      </c>
      <c r="AO69" t="b">
        <v>0</v>
      </c>
      <c r="AP69">
        <v>0</v>
      </c>
      <c r="AR69" t="b">
        <v>0</v>
      </c>
      <c r="AS69" t="b">
        <v>0</v>
      </c>
      <c r="AT69">
        <v>7224</v>
      </c>
      <c r="AU69" t="s">
        <v>51</v>
      </c>
    </row>
    <row r="70" spans="1:47" x14ac:dyDescent="0.25">
      <c r="A70" t="s">
        <v>78</v>
      </c>
      <c r="B70">
        <v>38.688000000000002</v>
      </c>
      <c r="C70" t="s">
        <v>48</v>
      </c>
      <c r="D70" t="s">
        <v>49</v>
      </c>
      <c r="E70" t="s">
        <v>418</v>
      </c>
      <c r="F70" t="s">
        <v>161</v>
      </c>
      <c r="G70" t="s">
        <v>73</v>
      </c>
      <c r="H70" t="s">
        <v>419</v>
      </c>
      <c r="I70" t="s">
        <v>419</v>
      </c>
      <c r="J70" t="s">
        <v>189</v>
      </c>
      <c r="K70" t="s">
        <v>419</v>
      </c>
      <c r="L70" t="s">
        <v>420</v>
      </c>
      <c r="M70" t="s">
        <v>421</v>
      </c>
      <c r="N70" t="s">
        <v>50</v>
      </c>
      <c r="O70" t="b">
        <v>1</v>
      </c>
      <c r="P70" t="b">
        <v>1</v>
      </c>
      <c r="Q70" t="b">
        <v>1</v>
      </c>
      <c r="R70" t="b">
        <v>0</v>
      </c>
      <c r="S70" t="b">
        <v>0</v>
      </c>
      <c r="T70" t="s">
        <v>51</v>
      </c>
      <c r="U70">
        <v>126</v>
      </c>
      <c r="V70" t="s">
        <v>52</v>
      </c>
      <c r="W70" t="s">
        <v>162</v>
      </c>
      <c r="X70" s="4">
        <v>0</v>
      </c>
      <c r="Y70" t="s">
        <v>54</v>
      </c>
      <c r="Z70" t="s">
        <v>189</v>
      </c>
      <c r="AA70" t="s">
        <v>189</v>
      </c>
      <c r="AB70" t="s">
        <v>420</v>
      </c>
      <c r="AC70" t="s">
        <v>189</v>
      </c>
      <c r="AD70" t="s">
        <v>189</v>
      </c>
      <c r="AE70" t="s">
        <v>328</v>
      </c>
      <c r="AF70" t="b">
        <v>0</v>
      </c>
      <c r="AG70" t="s">
        <v>55</v>
      </c>
      <c r="AH70" t="s">
        <v>101</v>
      </c>
      <c r="AI70" t="s">
        <v>56</v>
      </c>
      <c r="AJ70" t="s">
        <v>56</v>
      </c>
      <c r="AK70" t="s">
        <v>422</v>
      </c>
      <c r="AO70" t="b">
        <v>0</v>
      </c>
      <c r="AP70">
        <v>0</v>
      </c>
      <c r="AR70" t="b">
        <v>0</v>
      </c>
      <c r="AS70" t="b">
        <v>0</v>
      </c>
      <c r="AT70">
        <v>5603</v>
      </c>
      <c r="AU70" t="s">
        <v>51</v>
      </c>
    </row>
    <row r="71" spans="1:47" x14ac:dyDescent="0.25">
      <c r="A71" t="s">
        <v>69</v>
      </c>
      <c r="B71">
        <v>38.69</v>
      </c>
      <c r="C71" t="s">
        <v>48</v>
      </c>
      <c r="D71" t="s">
        <v>49</v>
      </c>
      <c r="E71" t="s">
        <v>423</v>
      </c>
      <c r="F71" t="s">
        <v>139</v>
      </c>
      <c r="G71" t="s">
        <v>72</v>
      </c>
      <c r="H71" t="s">
        <v>424</v>
      </c>
      <c r="I71" t="s">
        <v>424</v>
      </c>
      <c r="J71" t="s">
        <v>189</v>
      </c>
      <c r="K71" t="s">
        <v>424</v>
      </c>
      <c r="L71" t="s">
        <v>425</v>
      </c>
      <c r="M71" t="s">
        <v>426</v>
      </c>
      <c r="N71" t="s">
        <v>66</v>
      </c>
      <c r="O71" t="b">
        <v>1</v>
      </c>
      <c r="P71" t="b">
        <v>1</v>
      </c>
      <c r="Q71" t="b">
        <v>1</v>
      </c>
      <c r="R71" t="b">
        <v>0</v>
      </c>
      <c r="S71" t="b">
        <v>0</v>
      </c>
      <c r="T71" t="s">
        <v>51</v>
      </c>
      <c r="U71">
        <v>83</v>
      </c>
      <c r="V71" t="s">
        <v>52</v>
      </c>
      <c r="W71">
        <v>0</v>
      </c>
      <c r="X71" s="4">
        <v>0</v>
      </c>
      <c r="Y71" t="s">
        <v>54</v>
      </c>
      <c r="Z71" t="s">
        <v>189</v>
      </c>
      <c r="AA71" t="s">
        <v>189</v>
      </c>
      <c r="AB71" t="s">
        <v>425</v>
      </c>
      <c r="AC71" t="s">
        <v>189</v>
      </c>
      <c r="AD71" t="s">
        <v>189</v>
      </c>
      <c r="AE71" t="s">
        <v>228</v>
      </c>
      <c r="AF71" t="b">
        <v>0</v>
      </c>
      <c r="AG71" t="s">
        <v>55</v>
      </c>
      <c r="AI71" t="s">
        <v>68</v>
      </c>
      <c r="AJ71" t="s">
        <v>65</v>
      </c>
      <c r="AK71" t="s">
        <v>427</v>
      </c>
      <c r="AO71" t="b">
        <v>0</v>
      </c>
      <c r="AP71">
        <v>0</v>
      </c>
      <c r="AR71" t="b">
        <v>0</v>
      </c>
      <c r="AS71" t="b">
        <v>0</v>
      </c>
      <c r="AT71">
        <v>5289</v>
      </c>
      <c r="AU71" t="s">
        <v>51</v>
      </c>
    </row>
    <row r="72" spans="1:47" x14ac:dyDescent="0.25">
      <c r="A72" t="s">
        <v>69</v>
      </c>
      <c r="B72">
        <v>38.691000000000003</v>
      </c>
      <c r="C72" t="s">
        <v>48</v>
      </c>
      <c r="D72" t="s">
        <v>49</v>
      </c>
      <c r="E72" t="s">
        <v>423</v>
      </c>
      <c r="F72" t="s">
        <v>139</v>
      </c>
      <c r="G72" t="s">
        <v>72</v>
      </c>
      <c r="H72" t="s">
        <v>424</v>
      </c>
      <c r="I72" t="s">
        <v>424</v>
      </c>
      <c r="J72" t="s">
        <v>189</v>
      </c>
      <c r="K72" t="s">
        <v>424</v>
      </c>
      <c r="L72" t="s">
        <v>425</v>
      </c>
      <c r="M72" t="s">
        <v>426</v>
      </c>
      <c r="N72" t="s">
        <v>66</v>
      </c>
      <c r="O72" t="b">
        <v>1</v>
      </c>
      <c r="P72" t="b">
        <v>1</v>
      </c>
      <c r="Q72" t="b">
        <v>1</v>
      </c>
      <c r="R72" t="b">
        <v>0</v>
      </c>
      <c r="S72" t="b">
        <v>0</v>
      </c>
      <c r="T72" t="s">
        <v>51</v>
      </c>
      <c r="U72">
        <v>83</v>
      </c>
      <c r="V72" t="s">
        <v>52</v>
      </c>
      <c r="W72">
        <v>0</v>
      </c>
      <c r="X72" s="4">
        <v>0</v>
      </c>
      <c r="Y72" t="s">
        <v>54</v>
      </c>
      <c r="Z72" t="s">
        <v>189</v>
      </c>
      <c r="AA72" t="s">
        <v>189</v>
      </c>
      <c r="AB72" t="s">
        <v>425</v>
      </c>
      <c r="AC72" t="s">
        <v>189</v>
      </c>
      <c r="AD72" t="s">
        <v>189</v>
      </c>
      <c r="AE72" t="s">
        <v>228</v>
      </c>
      <c r="AF72" t="b">
        <v>0</v>
      </c>
      <c r="AG72" t="s">
        <v>55</v>
      </c>
      <c r="AI72" t="s">
        <v>68</v>
      </c>
      <c r="AJ72" t="s">
        <v>65</v>
      </c>
      <c r="AK72" t="s">
        <v>428</v>
      </c>
      <c r="AO72" t="b">
        <v>0</v>
      </c>
      <c r="AP72">
        <v>0</v>
      </c>
      <c r="AR72" t="b">
        <v>0</v>
      </c>
      <c r="AS72" t="b">
        <v>0</v>
      </c>
      <c r="AT72">
        <v>5289</v>
      </c>
      <c r="AU72" t="s">
        <v>51</v>
      </c>
    </row>
    <row r="73" spans="1:47" x14ac:dyDescent="0.25">
      <c r="A73" t="s">
        <v>69</v>
      </c>
      <c r="B73">
        <v>38.692</v>
      </c>
      <c r="C73" t="s">
        <v>48</v>
      </c>
      <c r="D73" t="s">
        <v>49</v>
      </c>
      <c r="E73" t="s">
        <v>423</v>
      </c>
      <c r="F73" t="s">
        <v>139</v>
      </c>
      <c r="G73" t="s">
        <v>72</v>
      </c>
      <c r="H73" t="s">
        <v>429</v>
      </c>
      <c r="I73" t="s">
        <v>429</v>
      </c>
      <c r="J73" t="s">
        <v>189</v>
      </c>
      <c r="K73" t="s">
        <v>429</v>
      </c>
      <c r="L73" t="s">
        <v>430</v>
      </c>
      <c r="M73" t="s">
        <v>431</v>
      </c>
      <c r="N73" t="s">
        <v>66</v>
      </c>
      <c r="O73" t="b">
        <v>1</v>
      </c>
      <c r="P73" t="b">
        <v>1</v>
      </c>
      <c r="Q73" t="b">
        <v>1</v>
      </c>
      <c r="R73" t="b">
        <v>0</v>
      </c>
      <c r="S73" t="b">
        <v>0</v>
      </c>
      <c r="T73" t="s">
        <v>51</v>
      </c>
      <c r="U73">
        <v>83</v>
      </c>
      <c r="V73" t="s">
        <v>52</v>
      </c>
      <c r="W73">
        <v>0</v>
      </c>
      <c r="X73" s="4">
        <v>0</v>
      </c>
      <c r="Y73" t="s">
        <v>54</v>
      </c>
      <c r="Z73" t="s">
        <v>430</v>
      </c>
      <c r="AA73" t="s">
        <v>189</v>
      </c>
      <c r="AB73" t="s">
        <v>189</v>
      </c>
      <c r="AC73" t="s">
        <v>189</v>
      </c>
      <c r="AD73" t="s">
        <v>189</v>
      </c>
      <c r="AE73" t="s">
        <v>199</v>
      </c>
      <c r="AF73" t="b">
        <v>0</v>
      </c>
      <c r="AG73" t="s">
        <v>55</v>
      </c>
      <c r="AI73" t="s">
        <v>68</v>
      </c>
      <c r="AJ73" t="s">
        <v>65</v>
      </c>
      <c r="AK73" t="s">
        <v>432</v>
      </c>
      <c r="AO73" t="b">
        <v>0</v>
      </c>
      <c r="AP73">
        <v>0</v>
      </c>
      <c r="AR73" t="b">
        <v>0</v>
      </c>
      <c r="AS73" t="b">
        <v>0</v>
      </c>
      <c r="AT73">
        <v>5289</v>
      </c>
      <c r="AU73" t="s">
        <v>51</v>
      </c>
    </row>
    <row r="74" spans="1:47" x14ac:dyDescent="0.25">
      <c r="A74" t="s">
        <v>78</v>
      </c>
      <c r="B74">
        <v>38.694000000000003</v>
      </c>
      <c r="C74" t="s">
        <v>48</v>
      </c>
      <c r="D74" t="s">
        <v>49</v>
      </c>
      <c r="E74" t="s">
        <v>423</v>
      </c>
      <c r="F74" t="s">
        <v>155</v>
      </c>
      <c r="G74" t="s">
        <v>127</v>
      </c>
      <c r="H74" t="s">
        <v>399</v>
      </c>
      <c r="I74" t="s">
        <v>399</v>
      </c>
      <c r="J74" t="s">
        <v>189</v>
      </c>
      <c r="K74" t="s">
        <v>399</v>
      </c>
      <c r="L74" t="s">
        <v>400</v>
      </c>
      <c r="M74" t="s">
        <v>401</v>
      </c>
      <c r="N74" t="s">
        <v>83</v>
      </c>
      <c r="O74" t="b">
        <v>1</v>
      </c>
      <c r="P74" t="b">
        <v>1</v>
      </c>
      <c r="Q74" t="b">
        <v>1</v>
      </c>
      <c r="R74" t="b">
        <v>0</v>
      </c>
      <c r="S74" t="b">
        <v>0</v>
      </c>
      <c r="T74" t="s">
        <v>51</v>
      </c>
      <c r="U74">
        <v>145</v>
      </c>
      <c r="V74" t="s">
        <v>100</v>
      </c>
      <c r="W74" t="s">
        <v>103</v>
      </c>
      <c r="X74" s="4">
        <v>0</v>
      </c>
      <c r="Y74" t="s">
        <v>57</v>
      </c>
    </row>
    <row r="75" spans="1:47" x14ac:dyDescent="0.25">
      <c r="A75" t="s">
        <v>58</v>
      </c>
      <c r="B75" t="s">
        <v>400</v>
      </c>
      <c r="C75" t="s">
        <v>189</v>
      </c>
      <c r="D75" t="s">
        <v>189</v>
      </c>
      <c r="E75" t="s">
        <v>189</v>
      </c>
      <c r="F75" t="s">
        <v>189</v>
      </c>
      <c r="G75" t="s">
        <v>247</v>
      </c>
      <c r="H75" t="b">
        <v>0</v>
      </c>
      <c r="I75" t="s">
        <v>55</v>
      </c>
      <c r="K75" t="s">
        <v>65</v>
      </c>
      <c r="L75" t="s">
        <v>65</v>
      </c>
      <c r="M75" t="s">
        <v>433</v>
      </c>
      <c r="Q75" t="b">
        <v>0</v>
      </c>
      <c r="R75">
        <v>0</v>
      </c>
      <c r="T75" t="b">
        <v>0</v>
      </c>
      <c r="U75" t="b">
        <v>0</v>
      </c>
      <c r="V75">
        <v>7610</v>
      </c>
      <c r="W75" t="s">
        <v>51</v>
      </c>
    </row>
    <row r="76" spans="1:47" x14ac:dyDescent="0.25">
      <c r="A76" t="s">
        <v>78</v>
      </c>
      <c r="B76">
        <v>38.695</v>
      </c>
      <c r="C76" t="s">
        <v>48</v>
      </c>
      <c r="D76" t="s">
        <v>49</v>
      </c>
      <c r="E76" t="s">
        <v>423</v>
      </c>
      <c r="F76" t="s">
        <v>113</v>
      </c>
      <c r="G76" t="s">
        <v>73</v>
      </c>
      <c r="H76" t="s">
        <v>434</v>
      </c>
      <c r="I76" t="s">
        <v>434</v>
      </c>
      <c r="J76" t="s">
        <v>189</v>
      </c>
      <c r="K76" t="s">
        <v>434</v>
      </c>
      <c r="L76" t="s">
        <v>435</v>
      </c>
      <c r="M76" t="s">
        <v>436</v>
      </c>
      <c r="N76" t="s">
        <v>50</v>
      </c>
      <c r="O76" t="b">
        <v>1</v>
      </c>
      <c r="P76" t="b">
        <v>1</v>
      </c>
      <c r="Q76" t="b">
        <v>1</v>
      </c>
      <c r="R76" t="b">
        <v>0</v>
      </c>
      <c r="S76" t="b">
        <v>0</v>
      </c>
      <c r="T76" t="s">
        <v>51</v>
      </c>
      <c r="U76">
        <v>126</v>
      </c>
      <c r="V76" t="s">
        <v>52</v>
      </c>
      <c r="W76" t="s">
        <v>74</v>
      </c>
      <c r="X76" s="4">
        <v>0</v>
      </c>
      <c r="Y76" t="s">
        <v>57</v>
      </c>
    </row>
    <row r="77" spans="1:47" x14ac:dyDescent="0.25">
      <c r="A77" t="s">
        <v>58</v>
      </c>
      <c r="B77" t="s">
        <v>189</v>
      </c>
      <c r="C77" t="s">
        <v>189</v>
      </c>
      <c r="D77" t="s">
        <v>189</v>
      </c>
      <c r="E77" t="s">
        <v>189</v>
      </c>
      <c r="F77" t="s">
        <v>435</v>
      </c>
      <c r="G77" t="s">
        <v>228</v>
      </c>
      <c r="H77" t="b">
        <v>0</v>
      </c>
      <c r="I77" t="s">
        <v>55</v>
      </c>
      <c r="K77" t="s">
        <v>56</v>
      </c>
      <c r="L77" t="s">
        <v>56</v>
      </c>
      <c r="M77" t="s">
        <v>437</v>
      </c>
      <c r="Q77" t="b">
        <v>0</v>
      </c>
      <c r="R77">
        <v>0</v>
      </c>
      <c r="T77" t="b">
        <v>0</v>
      </c>
      <c r="U77" t="b">
        <v>0</v>
      </c>
      <c r="V77">
        <v>8070</v>
      </c>
      <c r="W77" t="s">
        <v>51</v>
      </c>
    </row>
    <row r="78" spans="1:47" x14ac:dyDescent="0.25">
      <c r="A78" t="s">
        <v>78</v>
      </c>
      <c r="B78">
        <v>38.695999999999998</v>
      </c>
      <c r="C78" t="s">
        <v>48</v>
      </c>
      <c r="D78" t="s">
        <v>49</v>
      </c>
      <c r="E78" t="s">
        <v>423</v>
      </c>
      <c r="F78" t="s">
        <v>97</v>
      </c>
      <c r="G78" t="s">
        <v>76</v>
      </c>
      <c r="H78" t="s">
        <v>438</v>
      </c>
      <c r="I78" t="s">
        <v>438</v>
      </c>
      <c r="J78" t="s">
        <v>189</v>
      </c>
      <c r="K78" t="s">
        <v>438</v>
      </c>
      <c r="L78" t="s">
        <v>439</v>
      </c>
      <c r="M78" t="s">
        <v>440</v>
      </c>
      <c r="N78" t="s">
        <v>83</v>
      </c>
      <c r="O78" t="b">
        <v>1</v>
      </c>
      <c r="P78" t="b">
        <v>1</v>
      </c>
      <c r="Q78" t="b">
        <v>1</v>
      </c>
      <c r="R78" t="b">
        <v>0</v>
      </c>
      <c r="S78" t="b">
        <v>0</v>
      </c>
      <c r="T78" t="s">
        <v>51</v>
      </c>
      <c r="U78">
        <v>145</v>
      </c>
      <c r="W78" t="s">
        <v>98</v>
      </c>
      <c r="X78" s="4">
        <v>0</v>
      </c>
      <c r="Y78" t="s">
        <v>57</v>
      </c>
    </row>
    <row r="79" spans="1:47" x14ac:dyDescent="0.25">
      <c r="A79" t="s">
        <v>58</v>
      </c>
      <c r="B79" t="s">
        <v>439</v>
      </c>
      <c r="C79" t="s">
        <v>189</v>
      </c>
      <c r="D79" t="s">
        <v>189</v>
      </c>
      <c r="E79" t="s">
        <v>189</v>
      </c>
      <c r="F79" t="s">
        <v>189</v>
      </c>
      <c r="G79" t="s">
        <v>300</v>
      </c>
      <c r="H79" t="b">
        <v>0</v>
      </c>
      <c r="I79" t="s">
        <v>55</v>
      </c>
      <c r="J79" t="s">
        <v>99</v>
      </c>
      <c r="K79" t="s">
        <v>65</v>
      </c>
      <c r="L79" t="s">
        <v>65</v>
      </c>
      <c r="M79" t="s">
        <v>441</v>
      </c>
      <c r="Q79" t="b">
        <v>0</v>
      </c>
      <c r="R79">
        <v>0</v>
      </c>
      <c r="T79" t="b">
        <v>0</v>
      </c>
      <c r="U79" t="b">
        <v>0</v>
      </c>
      <c r="V79">
        <v>8241</v>
      </c>
      <c r="W79" t="s">
        <v>51</v>
      </c>
    </row>
    <row r="80" spans="1:47" x14ac:dyDescent="0.25">
      <c r="A80" t="s">
        <v>78</v>
      </c>
      <c r="B80">
        <v>38.697000000000003</v>
      </c>
      <c r="C80" t="s">
        <v>48</v>
      </c>
      <c r="D80" t="s">
        <v>49</v>
      </c>
      <c r="E80" t="s">
        <v>442</v>
      </c>
      <c r="F80" t="s">
        <v>164</v>
      </c>
      <c r="G80" t="s">
        <v>165</v>
      </c>
      <c r="H80" t="s">
        <v>443</v>
      </c>
      <c r="I80" t="s">
        <v>443</v>
      </c>
      <c r="J80" t="s">
        <v>189</v>
      </c>
      <c r="K80" t="s">
        <v>443</v>
      </c>
      <c r="L80" t="s">
        <v>444</v>
      </c>
      <c r="M80" t="s">
        <v>445</v>
      </c>
      <c r="N80" t="s">
        <v>50</v>
      </c>
      <c r="O80" t="b">
        <v>1</v>
      </c>
      <c r="P80" t="b">
        <v>1</v>
      </c>
      <c r="Q80" t="b">
        <v>1</v>
      </c>
      <c r="R80" t="b">
        <v>0</v>
      </c>
      <c r="S80" t="b">
        <v>0</v>
      </c>
      <c r="T80" t="s">
        <v>51</v>
      </c>
      <c r="U80">
        <v>126</v>
      </c>
      <c r="V80" t="s">
        <v>52</v>
      </c>
      <c r="W80" t="s">
        <v>166</v>
      </c>
      <c r="X80" s="4">
        <v>0</v>
      </c>
      <c r="Y80" t="s">
        <v>167</v>
      </c>
    </row>
    <row r="81" spans="1:47" x14ac:dyDescent="0.25">
      <c r="A81" t="s">
        <v>57</v>
      </c>
      <c r="M81"/>
    </row>
    <row r="82" spans="1:47" x14ac:dyDescent="0.25">
      <c r="A82" t="s">
        <v>58</v>
      </c>
      <c r="B82" t="s">
        <v>444</v>
      </c>
      <c r="C82" t="s">
        <v>189</v>
      </c>
      <c r="D82" t="s">
        <v>189</v>
      </c>
      <c r="E82" t="s">
        <v>189</v>
      </c>
      <c r="F82" t="s">
        <v>189</v>
      </c>
      <c r="G82" t="s">
        <v>300</v>
      </c>
      <c r="H82" t="b">
        <v>0</v>
      </c>
      <c r="I82" t="s">
        <v>55</v>
      </c>
      <c r="K82" t="s">
        <v>56</v>
      </c>
      <c r="L82" t="s">
        <v>56</v>
      </c>
      <c r="M82" t="s">
        <v>446</v>
      </c>
      <c r="Q82" t="b">
        <v>0</v>
      </c>
      <c r="R82">
        <v>0</v>
      </c>
      <c r="T82" t="b">
        <v>0</v>
      </c>
      <c r="U82" t="b">
        <v>0</v>
      </c>
      <c r="V82">
        <v>482</v>
      </c>
      <c r="W82" t="s">
        <v>51</v>
      </c>
    </row>
    <row r="83" spans="1:47" x14ac:dyDescent="0.25">
      <c r="A83" t="s">
        <v>47</v>
      </c>
      <c r="B83">
        <v>38.698</v>
      </c>
      <c r="C83" t="s">
        <v>48</v>
      </c>
      <c r="D83" t="s">
        <v>49</v>
      </c>
      <c r="E83" t="s">
        <v>442</v>
      </c>
      <c r="F83" t="s">
        <v>84</v>
      </c>
      <c r="G83" t="s">
        <v>61</v>
      </c>
      <c r="H83" t="s">
        <v>447</v>
      </c>
      <c r="I83" t="s">
        <v>447</v>
      </c>
      <c r="J83" t="s">
        <v>189</v>
      </c>
      <c r="K83" t="s">
        <v>448</v>
      </c>
      <c r="L83" t="s">
        <v>449</v>
      </c>
      <c r="M83" t="s">
        <v>450</v>
      </c>
      <c r="N83" t="s">
        <v>50</v>
      </c>
      <c r="O83" t="b">
        <v>1</v>
      </c>
      <c r="P83" t="b">
        <v>1</v>
      </c>
      <c r="Q83" t="b">
        <v>1</v>
      </c>
      <c r="R83" t="b">
        <v>0</v>
      </c>
      <c r="S83" t="b">
        <v>0</v>
      </c>
      <c r="T83" t="s">
        <v>51</v>
      </c>
      <c r="U83">
        <v>126</v>
      </c>
      <c r="V83" t="s">
        <v>52</v>
      </c>
      <c r="W83" t="s">
        <v>77</v>
      </c>
      <c r="X83" s="4">
        <v>0</v>
      </c>
      <c r="Y83" t="s">
        <v>54</v>
      </c>
      <c r="Z83" t="s">
        <v>449</v>
      </c>
      <c r="AA83" t="s">
        <v>189</v>
      </c>
      <c r="AB83" t="s">
        <v>189</v>
      </c>
      <c r="AC83" t="s">
        <v>189</v>
      </c>
      <c r="AD83" t="s">
        <v>189</v>
      </c>
      <c r="AE83" t="s">
        <v>240</v>
      </c>
      <c r="AF83" t="b">
        <v>0</v>
      </c>
      <c r="AG83" t="s">
        <v>55</v>
      </c>
      <c r="AI83" t="s">
        <v>56</v>
      </c>
      <c r="AJ83" t="s">
        <v>56</v>
      </c>
      <c r="AK83" t="s">
        <v>451</v>
      </c>
      <c r="AO83" t="b">
        <v>0</v>
      </c>
      <c r="AP83">
        <v>0</v>
      </c>
      <c r="AR83" t="b">
        <v>0</v>
      </c>
      <c r="AS83" t="b">
        <v>0</v>
      </c>
      <c r="AT83">
        <v>1877</v>
      </c>
      <c r="AU83" t="s">
        <v>51</v>
      </c>
    </row>
    <row r="84" spans="1:47" x14ac:dyDescent="0.25">
      <c r="A84" t="s">
        <v>78</v>
      </c>
      <c r="B84">
        <v>38.698999999999998</v>
      </c>
      <c r="C84" t="s">
        <v>48</v>
      </c>
      <c r="D84" t="s">
        <v>49</v>
      </c>
      <c r="E84" t="s">
        <v>442</v>
      </c>
      <c r="F84" t="s">
        <v>452</v>
      </c>
      <c r="G84" t="s">
        <v>61</v>
      </c>
      <c r="H84" t="s">
        <v>453</v>
      </c>
      <c r="I84" t="s">
        <v>453</v>
      </c>
      <c r="J84" t="s">
        <v>189</v>
      </c>
      <c r="K84" t="s">
        <v>453</v>
      </c>
      <c r="L84" t="s">
        <v>454</v>
      </c>
      <c r="M84" t="s">
        <v>455</v>
      </c>
      <c r="N84" t="s">
        <v>50</v>
      </c>
      <c r="O84" t="b">
        <v>1</v>
      </c>
      <c r="P84" t="b">
        <v>1</v>
      </c>
      <c r="Q84" t="b">
        <v>1</v>
      </c>
      <c r="R84" t="b">
        <v>0</v>
      </c>
      <c r="S84" t="b">
        <v>0</v>
      </c>
      <c r="T84" t="s">
        <v>51</v>
      </c>
      <c r="U84">
        <v>126</v>
      </c>
      <c r="V84" t="s">
        <v>52</v>
      </c>
      <c r="W84" t="s">
        <v>179</v>
      </c>
      <c r="X84" s="4">
        <v>0</v>
      </c>
      <c r="Y84" t="s">
        <v>57</v>
      </c>
    </row>
    <row r="85" spans="1:47" x14ac:dyDescent="0.25">
      <c r="A85" t="s">
        <v>58</v>
      </c>
      <c r="B85" t="s">
        <v>189</v>
      </c>
      <c r="C85" t="s">
        <v>189</v>
      </c>
      <c r="D85" t="s">
        <v>189</v>
      </c>
      <c r="E85" t="s">
        <v>189</v>
      </c>
      <c r="F85" t="s">
        <v>454</v>
      </c>
      <c r="G85" t="s">
        <v>456</v>
      </c>
      <c r="H85" t="b">
        <v>0</v>
      </c>
      <c r="I85" t="s">
        <v>55</v>
      </c>
      <c r="J85" t="s">
        <v>107</v>
      </c>
      <c r="K85" t="s">
        <v>56</v>
      </c>
      <c r="L85" t="s">
        <v>65</v>
      </c>
      <c r="M85" t="s">
        <v>457</v>
      </c>
      <c r="Q85" t="b">
        <v>0</v>
      </c>
      <c r="R85">
        <v>0</v>
      </c>
      <c r="T85" t="b">
        <v>0</v>
      </c>
      <c r="U85" t="b">
        <v>0</v>
      </c>
      <c r="V85">
        <v>8456</v>
      </c>
      <c r="W85" t="s">
        <v>51</v>
      </c>
    </row>
    <row r="86" spans="1:47" x14ac:dyDescent="0.25">
      <c r="A86" t="s">
        <v>47</v>
      </c>
      <c r="B86">
        <v>38.700000000000003</v>
      </c>
      <c r="C86" t="s">
        <v>48</v>
      </c>
      <c r="D86" t="s">
        <v>49</v>
      </c>
      <c r="E86" t="s">
        <v>442</v>
      </c>
      <c r="F86" t="s">
        <v>187</v>
      </c>
      <c r="G86" t="s">
        <v>73</v>
      </c>
      <c r="H86" t="s">
        <v>458</v>
      </c>
      <c r="I86" t="s">
        <v>458</v>
      </c>
      <c r="J86" t="s">
        <v>189</v>
      </c>
      <c r="K86" t="s">
        <v>459</v>
      </c>
      <c r="L86" t="s">
        <v>460</v>
      </c>
      <c r="M86" t="s">
        <v>461</v>
      </c>
      <c r="N86" t="s">
        <v>50</v>
      </c>
      <c r="O86" t="b">
        <v>1</v>
      </c>
      <c r="P86" t="b">
        <v>1</v>
      </c>
      <c r="Q86" t="b">
        <v>1</v>
      </c>
      <c r="R86" t="b">
        <v>0</v>
      </c>
      <c r="S86" t="b">
        <v>0</v>
      </c>
      <c r="T86" t="s">
        <v>51</v>
      </c>
      <c r="U86">
        <v>126</v>
      </c>
      <c r="V86" t="s">
        <v>52</v>
      </c>
      <c r="W86" t="s">
        <v>77</v>
      </c>
      <c r="X86" s="4">
        <v>0</v>
      </c>
      <c r="Y86" t="s">
        <v>57</v>
      </c>
    </row>
    <row r="87" spans="1:47" x14ac:dyDescent="0.25">
      <c r="A87" t="s">
        <v>58</v>
      </c>
      <c r="B87" t="s">
        <v>189</v>
      </c>
      <c r="C87" t="s">
        <v>189</v>
      </c>
      <c r="D87" t="s">
        <v>460</v>
      </c>
      <c r="E87" t="s">
        <v>189</v>
      </c>
      <c r="F87" t="s">
        <v>189</v>
      </c>
      <c r="G87" t="s">
        <v>194</v>
      </c>
      <c r="H87" t="b">
        <v>0</v>
      </c>
      <c r="I87" t="s">
        <v>55</v>
      </c>
      <c r="J87" t="s">
        <v>101</v>
      </c>
      <c r="K87" t="s">
        <v>56</v>
      </c>
      <c r="L87" t="s">
        <v>56</v>
      </c>
      <c r="M87" t="s">
        <v>462</v>
      </c>
      <c r="Q87" t="b">
        <v>0</v>
      </c>
      <c r="R87">
        <v>0</v>
      </c>
      <c r="T87" t="b">
        <v>0</v>
      </c>
      <c r="U87" t="b">
        <v>0</v>
      </c>
      <c r="V87">
        <v>8478</v>
      </c>
      <c r="W87" t="s">
        <v>51</v>
      </c>
    </row>
    <row r="88" spans="1:47" x14ac:dyDescent="0.25">
      <c r="A88" t="s">
        <v>47</v>
      </c>
      <c r="B88">
        <v>38.701000000000001</v>
      </c>
      <c r="C88" t="s">
        <v>48</v>
      </c>
      <c r="D88" t="s">
        <v>49</v>
      </c>
      <c r="E88" t="s">
        <v>442</v>
      </c>
      <c r="F88" t="s">
        <v>187</v>
      </c>
      <c r="G88" t="s">
        <v>73</v>
      </c>
      <c r="H88" t="s">
        <v>458</v>
      </c>
      <c r="I88" t="s">
        <v>458</v>
      </c>
      <c r="J88" t="s">
        <v>189</v>
      </c>
      <c r="K88" t="s">
        <v>459</v>
      </c>
      <c r="L88" t="s">
        <v>460</v>
      </c>
      <c r="M88" t="s">
        <v>461</v>
      </c>
      <c r="N88" t="s">
        <v>50</v>
      </c>
      <c r="O88" t="b">
        <v>1</v>
      </c>
      <c r="P88" t="b">
        <v>1</v>
      </c>
      <c r="Q88" t="b">
        <v>1</v>
      </c>
      <c r="R88" t="b">
        <v>0</v>
      </c>
      <c r="S88" t="b">
        <v>0</v>
      </c>
      <c r="T88" t="s">
        <v>51</v>
      </c>
      <c r="U88">
        <v>126</v>
      </c>
      <c r="V88" t="s">
        <v>52</v>
      </c>
      <c r="W88" t="s">
        <v>77</v>
      </c>
      <c r="X88" s="4">
        <v>0</v>
      </c>
      <c r="Y88" t="s">
        <v>57</v>
      </c>
    </row>
    <row r="89" spans="1:47" x14ac:dyDescent="0.25">
      <c r="A89" t="s">
        <v>58</v>
      </c>
      <c r="B89" t="s">
        <v>189</v>
      </c>
      <c r="C89" t="s">
        <v>189</v>
      </c>
      <c r="D89" t="s">
        <v>460</v>
      </c>
      <c r="E89" t="s">
        <v>189</v>
      </c>
      <c r="F89" t="s">
        <v>189</v>
      </c>
      <c r="G89" t="s">
        <v>194</v>
      </c>
      <c r="H89" t="b">
        <v>0</v>
      </c>
      <c r="I89" t="s">
        <v>55</v>
      </c>
      <c r="J89" t="s">
        <v>101</v>
      </c>
      <c r="K89" t="s">
        <v>56</v>
      </c>
      <c r="L89" t="s">
        <v>56</v>
      </c>
      <c r="M89" t="s">
        <v>463</v>
      </c>
      <c r="Q89" t="b">
        <v>0</v>
      </c>
      <c r="R89">
        <v>0</v>
      </c>
      <c r="T89" t="b">
        <v>0</v>
      </c>
      <c r="U89" t="b">
        <v>0</v>
      </c>
      <c r="V89">
        <v>8478</v>
      </c>
      <c r="W89" t="s">
        <v>51</v>
      </c>
    </row>
    <row r="90" spans="1:47" x14ac:dyDescent="0.25">
      <c r="A90" t="s">
        <v>47</v>
      </c>
      <c r="B90">
        <v>38.701999999999998</v>
      </c>
      <c r="C90" t="s">
        <v>48</v>
      </c>
      <c r="D90" t="s">
        <v>49</v>
      </c>
      <c r="E90" t="s">
        <v>442</v>
      </c>
      <c r="F90" t="s">
        <v>168</v>
      </c>
      <c r="G90" t="s">
        <v>76</v>
      </c>
      <c r="H90" t="s">
        <v>464</v>
      </c>
      <c r="I90" t="s">
        <v>464</v>
      </c>
      <c r="J90" t="s">
        <v>189</v>
      </c>
      <c r="K90" t="s">
        <v>464</v>
      </c>
      <c r="L90" t="s">
        <v>465</v>
      </c>
      <c r="M90" t="s">
        <v>466</v>
      </c>
      <c r="N90" t="s">
        <v>70</v>
      </c>
      <c r="O90" t="b">
        <v>1</v>
      </c>
      <c r="P90" t="b">
        <v>1</v>
      </c>
      <c r="Q90" t="b">
        <v>1</v>
      </c>
      <c r="R90" t="b">
        <v>0</v>
      </c>
      <c r="S90" t="b">
        <v>0</v>
      </c>
      <c r="T90" t="s">
        <v>51</v>
      </c>
      <c r="U90">
        <v>9</v>
      </c>
      <c r="V90" t="s">
        <v>120</v>
      </c>
      <c r="W90" t="s">
        <v>77</v>
      </c>
      <c r="X90" s="4">
        <v>0</v>
      </c>
      <c r="Y90" t="s">
        <v>57</v>
      </c>
    </row>
    <row r="91" spans="1:47" x14ac:dyDescent="0.25">
      <c r="A91" t="s">
        <v>58</v>
      </c>
      <c r="B91" t="s">
        <v>189</v>
      </c>
      <c r="C91" t="s">
        <v>189</v>
      </c>
      <c r="D91" t="s">
        <v>465</v>
      </c>
      <c r="E91" t="s">
        <v>189</v>
      </c>
      <c r="F91" t="s">
        <v>189</v>
      </c>
      <c r="G91" t="s">
        <v>300</v>
      </c>
      <c r="H91" t="b">
        <v>0</v>
      </c>
      <c r="I91" t="s">
        <v>55</v>
      </c>
      <c r="K91" t="s">
        <v>65</v>
      </c>
      <c r="L91" t="s">
        <v>65</v>
      </c>
      <c r="M91" t="s">
        <v>467</v>
      </c>
      <c r="Q91" t="b">
        <v>0</v>
      </c>
      <c r="R91">
        <v>0</v>
      </c>
      <c r="T91" t="b">
        <v>0</v>
      </c>
      <c r="U91" t="b">
        <v>0</v>
      </c>
      <c r="V91">
        <v>8871</v>
      </c>
      <c r="W91" t="s">
        <v>51</v>
      </c>
    </row>
    <row r="92" spans="1:47" x14ac:dyDescent="0.25">
      <c r="A92" t="s">
        <v>96</v>
      </c>
      <c r="B92">
        <v>38.703000000000003</v>
      </c>
      <c r="C92" t="s">
        <v>48</v>
      </c>
      <c r="D92" t="s">
        <v>49</v>
      </c>
      <c r="E92" t="s">
        <v>442</v>
      </c>
      <c r="F92" t="s">
        <v>468</v>
      </c>
      <c r="G92" t="s">
        <v>469</v>
      </c>
      <c r="H92" t="s">
        <v>470</v>
      </c>
      <c r="I92" t="s">
        <v>470</v>
      </c>
      <c r="J92" t="s">
        <v>189</v>
      </c>
      <c r="K92" t="s">
        <v>470</v>
      </c>
      <c r="L92" t="s">
        <v>471</v>
      </c>
      <c r="M92" t="s">
        <v>472</v>
      </c>
      <c r="N92" t="s">
        <v>186</v>
      </c>
      <c r="O92" t="b">
        <v>1</v>
      </c>
      <c r="P92" t="b">
        <v>1</v>
      </c>
      <c r="Q92" t="b">
        <v>1</v>
      </c>
      <c r="R92" t="b">
        <v>0</v>
      </c>
      <c r="S92" t="b">
        <v>0</v>
      </c>
      <c r="T92" t="s">
        <v>51</v>
      </c>
      <c r="U92">
        <v>164</v>
      </c>
      <c r="W92" t="s">
        <v>64</v>
      </c>
      <c r="X92" s="4">
        <v>0</v>
      </c>
      <c r="Y92" t="s">
        <v>57</v>
      </c>
    </row>
    <row r="93" spans="1:47" x14ac:dyDescent="0.25">
      <c r="A93" t="s">
        <v>58</v>
      </c>
      <c r="B93" t="s">
        <v>471</v>
      </c>
      <c r="C93" t="s">
        <v>189</v>
      </c>
      <c r="D93" t="s">
        <v>189</v>
      </c>
      <c r="E93" t="s">
        <v>189</v>
      </c>
      <c r="F93" t="s">
        <v>189</v>
      </c>
      <c r="G93" t="s">
        <v>408</v>
      </c>
      <c r="H93" t="b">
        <v>0</v>
      </c>
      <c r="I93" t="s">
        <v>55</v>
      </c>
      <c r="K93" t="s">
        <v>75</v>
      </c>
      <c r="L93" t="s">
        <v>75</v>
      </c>
      <c r="M93" t="s">
        <v>473</v>
      </c>
      <c r="Q93" t="b">
        <v>0</v>
      </c>
      <c r="R93">
        <v>0</v>
      </c>
      <c r="T93" t="b">
        <v>0</v>
      </c>
      <c r="U93" t="b">
        <v>0</v>
      </c>
      <c r="V93">
        <v>8903</v>
      </c>
      <c r="W93" t="s">
        <v>51</v>
      </c>
    </row>
    <row r="94" spans="1:47" x14ac:dyDescent="0.25">
      <c r="A94" t="s">
        <v>96</v>
      </c>
      <c r="B94">
        <v>38.704999999999998</v>
      </c>
      <c r="C94" t="s">
        <v>48</v>
      </c>
      <c r="D94" t="s">
        <v>49</v>
      </c>
      <c r="E94" t="s">
        <v>442</v>
      </c>
      <c r="F94" t="s">
        <v>474</v>
      </c>
      <c r="G94" t="s">
        <v>469</v>
      </c>
      <c r="H94" t="s">
        <v>475</v>
      </c>
      <c r="I94" t="s">
        <v>475</v>
      </c>
      <c r="J94" t="s">
        <v>189</v>
      </c>
      <c r="K94" t="s">
        <v>475</v>
      </c>
      <c r="L94" t="s">
        <v>476</v>
      </c>
      <c r="M94" t="s">
        <v>477</v>
      </c>
      <c r="N94" t="s">
        <v>186</v>
      </c>
      <c r="O94" t="b">
        <v>1</v>
      </c>
      <c r="P94" t="b">
        <v>1</v>
      </c>
      <c r="Q94" t="b">
        <v>1</v>
      </c>
      <c r="R94" t="b">
        <v>0</v>
      </c>
      <c r="S94" t="b">
        <v>0</v>
      </c>
      <c r="T94" t="s">
        <v>51</v>
      </c>
      <c r="U94">
        <v>164</v>
      </c>
      <c r="W94" t="s">
        <v>64</v>
      </c>
      <c r="X94" s="4">
        <v>0</v>
      </c>
      <c r="Y94" t="s">
        <v>57</v>
      </c>
    </row>
    <row r="95" spans="1:47" x14ac:dyDescent="0.25">
      <c r="A95" t="s">
        <v>58</v>
      </c>
      <c r="B95" t="s">
        <v>476</v>
      </c>
      <c r="C95" t="s">
        <v>189</v>
      </c>
      <c r="D95" t="s">
        <v>189</v>
      </c>
      <c r="E95" t="s">
        <v>189</v>
      </c>
      <c r="F95" t="s">
        <v>189</v>
      </c>
      <c r="G95" t="s">
        <v>478</v>
      </c>
      <c r="H95" t="b">
        <v>0</v>
      </c>
      <c r="I95" t="s">
        <v>55</v>
      </c>
      <c r="K95" t="s">
        <v>75</v>
      </c>
      <c r="L95" t="s">
        <v>75</v>
      </c>
      <c r="M95" t="s">
        <v>479</v>
      </c>
      <c r="Q95" t="b">
        <v>0</v>
      </c>
      <c r="R95">
        <v>0</v>
      </c>
      <c r="T95" t="b">
        <v>0</v>
      </c>
      <c r="U95" t="b">
        <v>0</v>
      </c>
      <c r="V95">
        <v>8904</v>
      </c>
      <c r="W95" t="s">
        <v>51</v>
      </c>
    </row>
    <row r="96" spans="1:47" x14ac:dyDescent="0.25">
      <c r="A96" t="s">
        <v>47</v>
      </c>
      <c r="B96">
        <v>38.707000000000001</v>
      </c>
      <c r="C96" t="s">
        <v>48</v>
      </c>
      <c r="D96" t="s">
        <v>49</v>
      </c>
      <c r="E96" t="s">
        <v>480</v>
      </c>
      <c r="F96" t="s">
        <v>144</v>
      </c>
      <c r="G96" t="s">
        <v>73</v>
      </c>
      <c r="H96" t="s">
        <v>481</v>
      </c>
      <c r="I96" t="s">
        <v>481</v>
      </c>
      <c r="J96" t="s">
        <v>189</v>
      </c>
      <c r="K96" t="s">
        <v>482</v>
      </c>
      <c r="L96" t="s">
        <v>483</v>
      </c>
      <c r="M96" t="s">
        <v>484</v>
      </c>
      <c r="N96" t="s">
        <v>83</v>
      </c>
      <c r="O96" t="b">
        <v>1</v>
      </c>
      <c r="P96" t="b">
        <v>1</v>
      </c>
      <c r="Q96" t="b">
        <v>1</v>
      </c>
      <c r="R96" t="b">
        <v>0</v>
      </c>
      <c r="S96" t="b">
        <v>0</v>
      </c>
      <c r="T96" t="s">
        <v>51</v>
      </c>
      <c r="U96">
        <v>145</v>
      </c>
      <c r="V96" t="s">
        <v>100</v>
      </c>
      <c r="W96" t="s">
        <v>71</v>
      </c>
      <c r="X96" s="4">
        <v>0</v>
      </c>
      <c r="Y96" t="s">
        <v>57</v>
      </c>
    </row>
    <row r="97" spans="1:47" x14ac:dyDescent="0.25">
      <c r="A97" t="s">
        <v>58</v>
      </c>
      <c r="B97" t="s">
        <v>483</v>
      </c>
      <c r="C97" t="s">
        <v>189</v>
      </c>
      <c r="D97" t="s">
        <v>189</v>
      </c>
      <c r="E97" t="s">
        <v>189</v>
      </c>
      <c r="F97" t="s">
        <v>189</v>
      </c>
      <c r="G97" t="s">
        <v>199</v>
      </c>
      <c r="H97" t="b">
        <v>0</v>
      </c>
      <c r="I97" t="s">
        <v>55</v>
      </c>
      <c r="J97" t="s">
        <v>101</v>
      </c>
      <c r="K97" t="s">
        <v>65</v>
      </c>
      <c r="L97" t="s">
        <v>65</v>
      </c>
      <c r="M97" t="s">
        <v>485</v>
      </c>
      <c r="Q97" t="b">
        <v>0</v>
      </c>
      <c r="R97">
        <v>0</v>
      </c>
      <c r="T97" t="b">
        <v>0</v>
      </c>
      <c r="U97" t="b">
        <v>0</v>
      </c>
      <c r="V97">
        <v>7814</v>
      </c>
      <c r="W97" t="s">
        <v>51</v>
      </c>
    </row>
    <row r="98" spans="1:47" x14ac:dyDescent="0.25">
      <c r="A98" t="s">
        <v>47</v>
      </c>
      <c r="B98">
        <v>38.707999999999998</v>
      </c>
      <c r="C98" t="s">
        <v>48</v>
      </c>
      <c r="D98" t="s">
        <v>49</v>
      </c>
      <c r="E98" t="s">
        <v>480</v>
      </c>
      <c r="F98" t="s">
        <v>144</v>
      </c>
      <c r="G98" t="s">
        <v>73</v>
      </c>
      <c r="H98" t="s">
        <v>481</v>
      </c>
      <c r="I98" t="s">
        <v>481</v>
      </c>
      <c r="J98" t="s">
        <v>189</v>
      </c>
      <c r="K98" t="s">
        <v>482</v>
      </c>
      <c r="L98" t="s">
        <v>483</v>
      </c>
      <c r="M98" t="s">
        <v>484</v>
      </c>
      <c r="N98" t="s">
        <v>83</v>
      </c>
      <c r="O98" t="b">
        <v>1</v>
      </c>
      <c r="P98" t="b">
        <v>1</v>
      </c>
      <c r="Q98" t="b">
        <v>1</v>
      </c>
      <c r="R98" t="b">
        <v>0</v>
      </c>
      <c r="S98" t="b">
        <v>0</v>
      </c>
      <c r="T98" t="s">
        <v>51</v>
      </c>
      <c r="U98">
        <v>145</v>
      </c>
      <c r="V98" t="s">
        <v>100</v>
      </c>
      <c r="W98" t="s">
        <v>71</v>
      </c>
      <c r="X98" s="4">
        <v>0</v>
      </c>
      <c r="Y98" t="s">
        <v>57</v>
      </c>
    </row>
    <row r="99" spans="1:47" x14ac:dyDescent="0.25">
      <c r="A99" t="s">
        <v>58</v>
      </c>
      <c r="B99" t="s">
        <v>483</v>
      </c>
      <c r="C99" t="s">
        <v>189</v>
      </c>
      <c r="D99" t="s">
        <v>189</v>
      </c>
      <c r="E99" t="s">
        <v>189</v>
      </c>
      <c r="F99" t="s">
        <v>189</v>
      </c>
      <c r="G99" t="s">
        <v>199</v>
      </c>
      <c r="H99" t="b">
        <v>0</v>
      </c>
      <c r="I99" t="s">
        <v>55</v>
      </c>
      <c r="J99" t="s">
        <v>101</v>
      </c>
      <c r="K99" t="s">
        <v>65</v>
      </c>
      <c r="L99" t="s">
        <v>65</v>
      </c>
      <c r="M99" t="s">
        <v>486</v>
      </c>
      <c r="Q99" t="b">
        <v>0</v>
      </c>
      <c r="R99">
        <v>0</v>
      </c>
      <c r="T99" t="b">
        <v>0</v>
      </c>
      <c r="U99" t="b">
        <v>0</v>
      </c>
      <c r="V99">
        <v>7814</v>
      </c>
      <c r="W99" t="s">
        <v>51</v>
      </c>
    </row>
    <row r="100" spans="1:47" x14ac:dyDescent="0.25">
      <c r="A100" t="s">
        <v>47</v>
      </c>
      <c r="B100">
        <v>38.709000000000003</v>
      </c>
      <c r="C100" t="s">
        <v>48</v>
      </c>
      <c r="D100" t="s">
        <v>49</v>
      </c>
      <c r="E100" t="s">
        <v>480</v>
      </c>
      <c r="F100" t="s">
        <v>144</v>
      </c>
      <c r="G100" t="s">
        <v>73</v>
      </c>
      <c r="H100" t="s">
        <v>481</v>
      </c>
      <c r="I100" t="s">
        <v>481</v>
      </c>
      <c r="J100" t="s">
        <v>189</v>
      </c>
      <c r="K100" t="s">
        <v>482</v>
      </c>
      <c r="L100" t="s">
        <v>483</v>
      </c>
      <c r="M100" t="s">
        <v>484</v>
      </c>
      <c r="N100" t="s">
        <v>83</v>
      </c>
      <c r="O100" t="b">
        <v>1</v>
      </c>
      <c r="P100" t="b">
        <v>1</v>
      </c>
      <c r="Q100" t="b">
        <v>1</v>
      </c>
      <c r="R100" t="b">
        <v>0</v>
      </c>
      <c r="S100" t="b">
        <v>0</v>
      </c>
      <c r="T100" t="s">
        <v>51</v>
      </c>
      <c r="U100">
        <v>145</v>
      </c>
      <c r="V100" t="s">
        <v>100</v>
      </c>
      <c r="W100" t="s">
        <v>71</v>
      </c>
      <c r="X100" s="4">
        <v>0</v>
      </c>
      <c r="Y100" t="s">
        <v>57</v>
      </c>
    </row>
    <row r="101" spans="1:47" x14ac:dyDescent="0.25">
      <c r="A101" t="s">
        <v>58</v>
      </c>
      <c r="B101" t="s">
        <v>483</v>
      </c>
      <c r="C101" t="s">
        <v>189</v>
      </c>
      <c r="D101" t="s">
        <v>189</v>
      </c>
      <c r="E101" t="s">
        <v>189</v>
      </c>
      <c r="F101" t="s">
        <v>189</v>
      </c>
      <c r="G101" t="s">
        <v>199</v>
      </c>
      <c r="H101" t="b">
        <v>0</v>
      </c>
      <c r="I101" t="s">
        <v>55</v>
      </c>
      <c r="J101" t="s">
        <v>101</v>
      </c>
      <c r="K101" t="s">
        <v>65</v>
      </c>
      <c r="L101" t="s">
        <v>65</v>
      </c>
      <c r="M101" t="s">
        <v>487</v>
      </c>
      <c r="Q101" t="b">
        <v>0</v>
      </c>
      <c r="R101">
        <v>0</v>
      </c>
      <c r="T101" t="b">
        <v>0</v>
      </c>
      <c r="U101" t="b">
        <v>0</v>
      </c>
      <c r="V101">
        <v>7814</v>
      </c>
      <c r="W101" t="s">
        <v>51</v>
      </c>
    </row>
    <row r="102" spans="1:47" x14ac:dyDescent="0.25">
      <c r="A102" t="s">
        <v>78</v>
      </c>
      <c r="B102">
        <v>38.71</v>
      </c>
      <c r="C102" t="s">
        <v>48</v>
      </c>
      <c r="D102" t="s">
        <v>49</v>
      </c>
      <c r="E102" t="s">
        <v>488</v>
      </c>
      <c r="F102" t="s">
        <v>145</v>
      </c>
      <c r="G102" t="s">
        <v>146</v>
      </c>
      <c r="H102" t="s">
        <v>489</v>
      </c>
      <c r="I102" t="s">
        <v>489</v>
      </c>
      <c r="J102" t="s">
        <v>189</v>
      </c>
      <c r="K102" t="s">
        <v>489</v>
      </c>
      <c r="L102" t="s">
        <v>490</v>
      </c>
      <c r="M102" t="s">
        <v>491</v>
      </c>
      <c r="N102" t="s">
        <v>83</v>
      </c>
      <c r="O102" t="b">
        <v>1</v>
      </c>
      <c r="P102" t="b">
        <v>1</v>
      </c>
      <c r="Q102" t="b">
        <v>1</v>
      </c>
      <c r="R102" t="b">
        <v>0</v>
      </c>
      <c r="S102" t="b">
        <v>0</v>
      </c>
      <c r="T102" t="s">
        <v>51</v>
      </c>
      <c r="U102">
        <v>145</v>
      </c>
      <c r="V102" t="s">
        <v>100</v>
      </c>
      <c r="W102" t="s">
        <v>95</v>
      </c>
      <c r="X102" s="4">
        <v>0</v>
      </c>
      <c r="Y102" t="s">
        <v>54</v>
      </c>
      <c r="Z102" t="s">
        <v>490</v>
      </c>
      <c r="AA102" t="s">
        <v>189</v>
      </c>
      <c r="AB102" t="s">
        <v>189</v>
      </c>
      <c r="AC102" t="s">
        <v>189</v>
      </c>
      <c r="AD102" t="s">
        <v>189</v>
      </c>
      <c r="AE102" t="s">
        <v>492</v>
      </c>
      <c r="AF102" t="b">
        <v>0</v>
      </c>
      <c r="AG102" t="s">
        <v>55</v>
      </c>
      <c r="AH102" t="s">
        <v>169</v>
      </c>
      <c r="AI102" t="s">
        <v>65</v>
      </c>
      <c r="AJ102" t="s">
        <v>65</v>
      </c>
      <c r="AK102" t="s">
        <v>493</v>
      </c>
      <c r="AO102" t="b">
        <v>0</v>
      </c>
      <c r="AP102">
        <v>0</v>
      </c>
      <c r="AR102" t="b">
        <v>0</v>
      </c>
      <c r="AS102" t="b">
        <v>0</v>
      </c>
      <c r="AT102">
        <v>8561</v>
      </c>
      <c r="AU102" t="s">
        <v>51</v>
      </c>
    </row>
    <row r="103" spans="1:47" x14ac:dyDescent="0.25">
      <c r="A103" t="s">
        <v>47</v>
      </c>
      <c r="B103">
        <v>38.710999999999999</v>
      </c>
      <c r="C103" t="s">
        <v>48</v>
      </c>
      <c r="D103" t="s">
        <v>49</v>
      </c>
      <c r="E103" t="s">
        <v>488</v>
      </c>
      <c r="F103" t="s">
        <v>494</v>
      </c>
      <c r="G103" t="s">
        <v>61</v>
      </c>
      <c r="H103" t="s">
        <v>495</v>
      </c>
      <c r="I103" t="s">
        <v>495</v>
      </c>
      <c r="J103" t="s">
        <v>189</v>
      </c>
      <c r="K103" t="s">
        <v>496</v>
      </c>
      <c r="L103" t="s">
        <v>497</v>
      </c>
      <c r="M103" t="s">
        <v>498</v>
      </c>
      <c r="N103" t="s">
        <v>66</v>
      </c>
      <c r="O103" t="b">
        <v>1</v>
      </c>
      <c r="P103" t="b">
        <v>1</v>
      </c>
      <c r="Q103" t="b">
        <v>1</v>
      </c>
      <c r="R103" t="b">
        <v>0</v>
      </c>
      <c r="S103" t="b">
        <v>0</v>
      </c>
      <c r="T103" t="s">
        <v>51</v>
      </c>
      <c r="U103">
        <v>83</v>
      </c>
      <c r="W103" t="s">
        <v>103</v>
      </c>
      <c r="X103" s="4">
        <v>0</v>
      </c>
      <c r="Y103" t="s">
        <v>57</v>
      </c>
    </row>
    <row r="104" spans="1:47" x14ac:dyDescent="0.25">
      <c r="A104" t="s">
        <v>58</v>
      </c>
      <c r="B104" t="s">
        <v>189</v>
      </c>
      <c r="C104" t="s">
        <v>189</v>
      </c>
      <c r="D104" t="s">
        <v>497</v>
      </c>
      <c r="E104" t="s">
        <v>189</v>
      </c>
      <c r="F104" t="s">
        <v>189</v>
      </c>
      <c r="G104" t="s">
        <v>499</v>
      </c>
      <c r="H104" t="b">
        <v>0</v>
      </c>
      <c r="I104" t="s">
        <v>55</v>
      </c>
      <c r="K104" t="s">
        <v>68</v>
      </c>
      <c r="L104" t="s">
        <v>65</v>
      </c>
      <c r="M104" t="s">
        <v>500</v>
      </c>
      <c r="Q104" t="b">
        <v>0</v>
      </c>
      <c r="R104">
        <v>0</v>
      </c>
      <c r="T104" t="b">
        <v>0</v>
      </c>
      <c r="U104" t="b">
        <v>0</v>
      </c>
      <c r="V104">
        <v>8535</v>
      </c>
      <c r="W104" t="s">
        <v>51</v>
      </c>
    </row>
    <row r="105" spans="1:47" x14ac:dyDescent="0.25">
      <c r="A105" t="s">
        <v>96</v>
      </c>
      <c r="B105">
        <v>38.712000000000003</v>
      </c>
      <c r="C105" t="s">
        <v>48</v>
      </c>
      <c r="D105" t="s">
        <v>49</v>
      </c>
      <c r="E105" t="s">
        <v>488</v>
      </c>
      <c r="F105" t="s">
        <v>121</v>
      </c>
      <c r="G105" t="s">
        <v>122</v>
      </c>
      <c r="H105" t="s">
        <v>405</v>
      </c>
      <c r="I105" t="s">
        <v>405</v>
      </c>
      <c r="J105" t="s">
        <v>189</v>
      </c>
      <c r="K105" t="s">
        <v>405</v>
      </c>
      <c r="L105" t="s">
        <v>406</v>
      </c>
      <c r="M105" t="s">
        <v>407</v>
      </c>
      <c r="N105" t="s">
        <v>66</v>
      </c>
      <c r="O105" t="b">
        <v>1</v>
      </c>
      <c r="P105" t="b">
        <v>1</v>
      </c>
      <c r="Q105" t="b">
        <v>1</v>
      </c>
      <c r="R105" t="b">
        <v>0</v>
      </c>
      <c r="S105" t="b">
        <v>0</v>
      </c>
      <c r="T105" t="s">
        <v>51</v>
      </c>
      <c r="U105">
        <v>83</v>
      </c>
      <c r="W105" t="s">
        <v>87</v>
      </c>
      <c r="X105" s="4">
        <v>0</v>
      </c>
      <c r="Y105" t="s">
        <v>57</v>
      </c>
    </row>
    <row r="106" spans="1:47" x14ac:dyDescent="0.25">
      <c r="A106" t="s">
        <v>58</v>
      </c>
      <c r="B106" t="s">
        <v>406</v>
      </c>
      <c r="C106" t="s">
        <v>189</v>
      </c>
      <c r="D106" t="s">
        <v>189</v>
      </c>
      <c r="E106" t="s">
        <v>189</v>
      </c>
      <c r="F106" t="s">
        <v>189</v>
      </c>
      <c r="G106" t="s">
        <v>408</v>
      </c>
      <c r="H106" t="b">
        <v>0</v>
      </c>
      <c r="I106" t="s">
        <v>55</v>
      </c>
      <c r="K106" t="s">
        <v>68</v>
      </c>
      <c r="L106" t="s">
        <v>65</v>
      </c>
      <c r="M106" t="s">
        <v>501</v>
      </c>
      <c r="Q106" t="b">
        <v>0</v>
      </c>
      <c r="R106">
        <v>0</v>
      </c>
      <c r="T106" t="b">
        <v>0</v>
      </c>
      <c r="U106" t="b">
        <v>0</v>
      </c>
      <c r="V106">
        <v>4212</v>
      </c>
      <c r="W106" t="s">
        <v>51</v>
      </c>
    </row>
    <row r="107" spans="1:47" x14ac:dyDescent="0.25">
      <c r="A107" t="s">
        <v>69</v>
      </c>
      <c r="B107">
        <v>38.713999999999999</v>
      </c>
      <c r="C107" t="s">
        <v>48</v>
      </c>
      <c r="D107" t="s">
        <v>49</v>
      </c>
      <c r="E107" t="s">
        <v>502</v>
      </c>
      <c r="F107" t="s">
        <v>131</v>
      </c>
      <c r="G107" t="s">
        <v>76</v>
      </c>
      <c r="H107" t="s">
        <v>503</v>
      </c>
      <c r="I107" t="s">
        <v>503</v>
      </c>
      <c r="J107" t="s">
        <v>189</v>
      </c>
      <c r="K107" t="s">
        <v>503</v>
      </c>
      <c r="L107" t="s">
        <v>504</v>
      </c>
      <c r="M107" t="s">
        <v>505</v>
      </c>
      <c r="N107" t="s">
        <v>83</v>
      </c>
      <c r="O107" t="b">
        <v>0</v>
      </c>
      <c r="P107" t="b">
        <v>1</v>
      </c>
      <c r="Q107" t="b">
        <v>1</v>
      </c>
      <c r="R107" t="b">
        <v>0</v>
      </c>
      <c r="S107" t="b">
        <v>0</v>
      </c>
      <c r="T107" t="s">
        <v>51</v>
      </c>
      <c r="U107">
        <v>145</v>
      </c>
      <c r="V107" t="s">
        <v>79</v>
      </c>
      <c r="W107" t="s">
        <v>132</v>
      </c>
      <c r="X107" s="4">
        <v>0</v>
      </c>
      <c r="Z107" t="s">
        <v>504</v>
      </c>
      <c r="AA107" t="s">
        <v>189</v>
      </c>
      <c r="AB107" t="s">
        <v>189</v>
      </c>
      <c r="AC107" t="s">
        <v>189</v>
      </c>
      <c r="AD107" t="s">
        <v>189</v>
      </c>
      <c r="AE107" t="s">
        <v>228</v>
      </c>
      <c r="AF107" t="b">
        <v>0</v>
      </c>
      <c r="AG107" t="s">
        <v>55</v>
      </c>
      <c r="AI107" t="s">
        <v>65</v>
      </c>
      <c r="AO107" t="b">
        <v>0</v>
      </c>
      <c r="AP107">
        <v>0</v>
      </c>
      <c r="AR107" t="b">
        <v>0</v>
      </c>
      <c r="AS107" t="b">
        <v>0</v>
      </c>
      <c r="AT107">
        <v>2778</v>
      </c>
      <c r="AU107" t="s">
        <v>51</v>
      </c>
    </row>
    <row r="108" spans="1:47" x14ac:dyDescent="0.25">
      <c r="A108" t="s">
        <v>47</v>
      </c>
      <c r="B108">
        <v>38.715000000000003</v>
      </c>
      <c r="C108" t="s">
        <v>48</v>
      </c>
      <c r="D108" t="s">
        <v>49</v>
      </c>
      <c r="E108" t="s">
        <v>502</v>
      </c>
      <c r="F108" t="s">
        <v>140</v>
      </c>
      <c r="G108" t="s">
        <v>73</v>
      </c>
      <c r="H108" t="s">
        <v>506</v>
      </c>
      <c r="I108" t="s">
        <v>506</v>
      </c>
      <c r="J108" t="s">
        <v>189</v>
      </c>
      <c r="K108" t="s">
        <v>507</v>
      </c>
      <c r="L108" t="s">
        <v>508</v>
      </c>
      <c r="M108" t="s">
        <v>509</v>
      </c>
      <c r="N108" t="s">
        <v>50</v>
      </c>
      <c r="O108" t="b">
        <v>1</v>
      </c>
      <c r="P108" t="b">
        <v>1</v>
      </c>
      <c r="Q108" t="b">
        <v>1</v>
      </c>
      <c r="R108" t="b">
        <v>0</v>
      </c>
      <c r="S108" t="b">
        <v>0</v>
      </c>
      <c r="T108" t="s">
        <v>51</v>
      </c>
      <c r="U108">
        <v>126</v>
      </c>
      <c r="V108" t="s">
        <v>52</v>
      </c>
      <c r="W108" t="s">
        <v>95</v>
      </c>
      <c r="X108" s="4">
        <v>0</v>
      </c>
      <c r="Y108" t="s">
        <v>54</v>
      </c>
      <c r="Z108" t="s">
        <v>189</v>
      </c>
      <c r="AA108" t="s">
        <v>189</v>
      </c>
      <c r="AB108" t="s">
        <v>189</v>
      </c>
      <c r="AC108" t="s">
        <v>189</v>
      </c>
      <c r="AD108" t="s">
        <v>508</v>
      </c>
      <c r="AE108" t="s">
        <v>199</v>
      </c>
      <c r="AF108" t="b">
        <v>0</v>
      </c>
      <c r="AG108" t="s">
        <v>55</v>
      </c>
      <c r="AI108" t="s">
        <v>56</v>
      </c>
      <c r="AJ108" t="s">
        <v>56</v>
      </c>
      <c r="AK108" t="s">
        <v>510</v>
      </c>
      <c r="AO108" t="b">
        <v>0</v>
      </c>
      <c r="AP108">
        <v>0</v>
      </c>
      <c r="AR108" t="b">
        <v>0</v>
      </c>
      <c r="AS108" t="b">
        <v>0</v>
      </c>
      <c r="AT108">
        <v>6130</v>
      </c>
      <c r="AU108" t="s">
        <v>51</v>
      </c>
    </row>
    <row r="109" spans="1:47" x14ac:dyDescent="0.25">
      <c r="A109" t="s">
        <v>78</v>
      </c>
      <c r="B109">
        <v>38.716000000000001</v>
      </c>
      <c r="C109" t="s">
        <v>48</v>
      </c>
      <c r="D109" t="s">
        <v>49</v>
      </c>
      <c r="E109" t="s">
        <v>502</v>
      </c>
      <c r="F109" t="s">
        <v>149</v>
      </c>
      <c r="G109" t="s">
        <v>59</v>
      </c>
      <c r="H109" t="s">
        <v>511</v>
      </c>
      <c r="I109" t="s">
        <v>511</v>
      </c>
      <c r="J109" t="s">
        <v>189</v>
      </c>
      <c r="K109" t="s">
        <v>511</v>
      </c>
      <c r="L109" t="s">
        <v>512</v>
      </c>
      <c r="M109" t="s">
        <v>513</v>
      </c>
      <c r="N109" t="s">
        <v>50</v>
      </c>
      <c r="O109" t="b">
        <v>1</v>
      </c>
      <c r="P109" t="b">
        <v>1</v>
      </c>
      <c r="Q109" t="b">
        <v>1</v>
      </c>
      <c r="R109" t="b">
        <v>0</v>
      </c>
      <c r="S109" t="b">
        <v>0</v>
      </c>
      <c r="T109" t="s">
        <v>51</v>
      </c>
      <c r="U109">
        <v>126</v>
      </c>
      <c r="V109" t="s">
        <v>52</v>
      </c>
      <c r="W109" t="s">
        <v>98</v>
      </c>
      <c r="X109" s="4">
        <v>0</v>
      </c>
      <c r="Y109" t="s">
        <v>54</v>
      </c>
      <c r="Z109" t="s">
        <v>512</v>
      </c>
      <c r="AA109" t="s">
        <v>189</v>
      </c>
      <c r="AB109" t="s">
        <v>189</v>
      </c>
      <c r="AC109" t="s">
        <v>189</v>
      </c>
      <c r="AD109" t="s">
        <v>189</v>
      </c>
      <c r="AE109" t="s">
        <v>478</v>
      </c>
      <c r="AF109" t="b">
        <v>0</v>
      </c>
      <c r="AG109" t="s">
        <v>55</v>
      </c>
      <c r="AH109" t="s">
        <v>104</v>
      </c>
      <c r="AI109" t="s">
        <v>56</v>
      </c>
      <c r="AJ109" t="s">
        <v>56</v>
      </c>
      <c r="AK109" t="s">
        <v>514</v>
      </c>
      <c r="AO109" t="b">
        <v>0</v>
      </c>
      <c r="AP109">
        <v>0</v>
      </c>
      <c r="AR109" t="b">
        <v>0</v>
      </c>
      <c r="AS109" t="b">
        <v>0</v>
      </c>
      <c r="AT109">
        <v>5486</v>
      </c>
      <c r="AU109" t="s">
        <v>51</v>
      </c>
    </row>
    <row r="110" spans="1:47" x14ac:dyDescent="0.25">
      <c r="A110" t="s">
        <v>47</v>
      </c>
      <c r="B110">
        <v>38.716999999999999</v>
      </c>
      <c r="C110" t="s">
        <v>48</v>
      </c>
      <c r="D110" t="s">
        <v>49</v>
      </c>
      <c r="E110" t="s">
        <v>515</v>
      </c>
      <c r="F110" t="s">
        <v>187</v>
      </c>
      <c r="G110" t="s">
        <v>73</v>
      </c>
      <c r="H110" t="s">
        <v>516</v>
      </c>
      <c r="I110" t="s">
        <v>516</v>
      </c>
      <c r="J110" t="s">
        <v>189</v>
      </c>
      <c r="K110" t="s">
        <v>517</v>
      </c>
      <c r="L110" t="s">
        <v>518</v>
      </c>
      <c r="M110" t="s">
        <v>519</v>
      </c>
      <c r="N110" t="s">
        <v>50</v>
      </c>
      <c r="O110" t="b">
        <v>1</v>
      </c>
      <c r="P110" t="b">
        <v>1</v>
      </c>
      <c r="Q110" t="b">
        <v>1</v>
      </c>
      <c r="R110" t="b">
        <v>0</v>
      </c>
      <c r="S110" t="b">
        <v>0</v>
      </c>
      <c r="T110" t="s">
        <v>51</v>
      </c>
      <c r="U110">
        <v>126</v>
      </c>
      <c r="V110" t="s">
        <v>52</v>
      </c>
      <c r="W110" t="s">
        <v>77</v>
      </c>
      <c r="X110" s="4">
        <v>0</v>
      </c>
      <c r="Y110" t="s">
        <v>57</v>
      </c>
    </row>
    <row r="111" spans="1:47" x14ac:dyDescent="0.25">
      <c r="A111" t="s">
        <v>58</v>
      </c>
      <c r="B111" t="s">
        <v>189</v>
      </c>
      <c r="C111" t="s">
        <v>189</v>
      </c>
      <c r="D111" t="s">
        <v>518</v>
      </c>
      <c r="E111" t="s">
        <v>189</v>
      </c>
      <c r="F111" t="s">
        <v>189</v>
      </c>
      <c r="G111" t="s">
        <v>478</v>
      </c>
      <c r="H111" t="b">
        <v>0</v>
      </c>
      <c r="I111" t="s">
        <v>55</v>
      </c>
      <c r="J111" t="s">
        <v>101</v>
      </c>
      <c r="K111" t="s">
        <v>75</v>
      </c>
      <c r="L111" t="s">
        <v>75</v>
      </c>
      <c r="M111" t="s">
        <v>520</v>
      </c>
      <c r="Q111" t="b">
        <v>0</v>
      </c>
      <c r="R111">
        <v>0</v>
      </c>
      <c r="T111" t="b">
        <v>0</v>
      </c>
      <c r="U111" t="b">
        <v>0</v>
      </c>
      <c r="V111">
        <v>8478</v>
      </c>
      <c r="W111" t="s">
        <v>51</v>
      </c>
    </row>
    <row r="112" spans="1:47" x14ac:dyDescent="0.25">
      <c r="A112" t="s">
        <v>78</v>
      </c>
      <c r="B112">
        <v>38.718000000000004</v>
      </c>
      <c r="C112" t="s">
        <v>48</v>
      </c>
      <c r="D112" t="s">
        <v>49</v>
      </c>
      <c r="E112" t="s">
        <v>515</v>
      </c>
      <c r="F112" t="s">
        <v>119</v>
      </c>
      <c r="G112" t="s">
        <v>108</v>
      </c>
      <c r="H112" t="s">
        <v>521</v>
      </c>
      <c r="I112" t="s">
        <v>521</v>
      </c>
      <c r="J112" t="s">
        <v>189</v>
      </c>
      <c r="K112" t="s">
        <v>521</v>
      </c>
      <c r="L112" t="s">
        <v>522</v>
      </c>
      <c r="M112" t="s">
        <v>523</v>
      </c>
      <c r="N112" t="s">
        <v>50</v>
      </c>
      <c r="O112" t="b">
        <v>1</v>
      </c>
      <c r="P112" t="b">
        <v>1</v>
      </c>
      <c r="Q112" t="b">
        <v>1</v>
      </c>
      <c r="R112" t="b">
        <v>0</v>
      </c>
      <c r="S112" t="b">
        <v>0</v>
      </c>
      <c r="T112" t="s">
        <v>51</v>
      </c>
      <c r="U112">
        <v>126</v>
      </c>
      <c r="W112" t="s">
        <v>77</v>
      </c>
      <c r="X112" s="4">
        <v>0</v>
      </c>
      <c r="Y112" t="s">
        <v>57</v>
      </c>
    </row>
    <row r="113" spans="1:47" x14ac:dyDescent="0.25">
      <c r="A113" t="s">
        <v>58</v>
      </c>
      <c r="B113" t="s">
        <v>522</v>
      </c>
      <c r="C113" t="s">
        <v>189</v>
      </c>
      <c r="D113" t="s">
        <v>189</v>
      </c>
      <c r="E113" t="s">
        <v>189</v>
      </c>
      <c r="F113" t="s">
        <v>189</v>
      </c>
      <c r="G113" t="s">
        <v>228</v>
      </c>
      <c r="H113" t="b">
        <v>0</v>
      </c>
      <c r="I113" t="s">
        <v>55</v>
      </c>
      <c r="K113" t="s">
        <v>65</v>
      </c>
      <c r="L113" t="s">
        <v>65</v>
      </c>
      <c r="M113" t="s">
        <v>524</v>
      </c>
      <c r="Q113" t="b">
        <v>0</v>
      </c>
      <c r="R113">
        <v>0</v>
      </c>
      <c r="T113" t="b">
        <v>0</v>
      </c>
      <c r="U113" t="b">
        <v>0</v>
      </c>
      <c r="V113">
        <v>8730</v>
      </c>
      <c r="W113" t="s">
        <v>51</v>
      </c>
    </row>
    <row r="114" spans="1:47" x14ac:dyDescent="0.25">
      <c r="A114" t="s">
        <v>78</v>
      </c>
      <c r="B114">
        <v>38.719000000000001</v>
      </c>
      <c r="C114" t="s">
        <v>48</v>
      </c>
      <c r="D114" t="s">
        <v>49</v>
      </c>
      <c r="E114" t="s">
        <v>515</v>
      </c>
      <c r="F114" t="s">
        <v>118</v>
      </c>
      <c r="G114" t="s">
        <v>76</v>
      </c>
      <c r="H114" t="s">
        <v>525</v>
      </c>
      <c r="I114" t="s">
        <v>525</v>
      </c>
      <c r="J114" t="s">
        <v>189</v>
      </c>
      <c r="K114" t="s">
        <v>525</v>
      </c>
      <c r="L114" t="s">
        <v>526</v>
      </c>
      <c r="M114" t="s">
        <v>527</v>
      </c>
      <c r="N114" t="s">
        <v>50</v>
      </c>
      <c r="O114" t="b">
        <v>1</v>
      </c>
      <c r="P114" t="b">
        <v>1</v>
      </c>
      <c r="Q114" t="b">
        <v>1</v>
      </c>
      <c r="R114" t="b">
        <v>0</v>
      </c>
      <c r="S114" t="b">
        <v>0</v>
      </c>
      <c r="T114" t="s">
        <v>51</v>
      </c>
      <c r="U114">
        <v>126</v>
      </c>
      <c r="V114" t="s">
        <v>52</v>
      </c>
      <c r="W114" t="s">
        <v>64</v>
      </c>
      <c r="X114" s="4">
        <v>0</v>
      </c>
      <c r="Y114" t="s">
        <v>54</v>
      </c>
      <c r="Z114" t="s">
        <v>526</v>
      </c>
      <c r="AA114" t="s">
        <v>189</v>
      </c>
      <c r="AB114" t="s">
        <v>189</v>
      </c>
      <c r="AC114" t="s">
        <v>189</v>
      </c>
      <c r="AD114" t="s">
        <v>189</v>
      </c>
      <c r="AE114" t="s">
        <v>300</v>
      </c>
      <c r="AF114" t="b">
        <v>0</v>
      </c>
      <c r="AG114" t="s">
        <v>55</v>
      </c>
      <c r="AI114" t="s">
        <v>65</v>
      </c>
      <c r="AJ114" t="s">
        <v>75</v>
      </c>
      <c r="AK114" t="s">
        <v>528</v>
      </c>
      <c r="AO114" t="b">
        <v>0</v>
      </c>
      <c r="AP114">
        <v>0</v>
      </c>
      <c r="AR114" t="b">
        <v>0</v>
      </c>
      <c r="AS114" t="b">
        <v>0</v>
      </c>
      <c r="AT114">
        <v>5117</v>
      </c>
      <c r="AU114" t="s">
        <v>51</v>
      </c>
    </row>
    <row r="115" spans="1:47" x14ac:dyDescent="0.25">
      <c r="A115" t="s">
        <v>47</v>
      </c>
      <c r="B115">
        <v>38.720999999999997</v>
      </c>
      <c r="C115" t="s">
        <v>48</v>
      </c>
      <c r="D115" t="s">
        <v>49</v>
      </c>
      <c r="E115" t="s">
        <v>529</v>
      </c>
      <c r="F115" t="s">
        <v>93</v>
      </c>
      <c r="G115" t="s">
        <v>94</v>
      </c>
      <c r="H115" t="s">
        <v>530</v>
      </c>
      <c r="I115" t="s">
        <v>530</v>
      </c>
      <c r="J115" t="s">
        <v>189</v>
      </c>
      <c r="K115" t="s">
        <v>531</v>
      </c>
      <c r="L115" t="s">
        <v>532</v>
      </c>
      <c r="M115" t="s">
        <v>533</v>
      </c>
      <c r="N115" t="s">
        <v>50</v>
      </c>
      <c r="O115" t="b">
        <v>1</v>
      </c>
      <c r="P115" t="b">
        <v>1</v>
      </c>
      <c r="Q115" t="b">
        <v>1</v>
      </c>
      <c r="R115" t="b">
        <v>0</v>
      </c>
      <c r="S115" t="b">
        <v>0</v>
      </c>
      <c r="T115" t="s">
        <v>51</v>
      </c>
      <c r="U115">
        <v>126</v>
      </c>
      <c r="V115" t="s">
        <v>52</v>
      </c>
      <c r="W115" t="s">
        <v>171</v>
      </c>
      <c r="X115" s="4">
        <v>0</v>
      </c>
      <c r="Y115" t="s">
        <v>57</v>
      </c>
    </row>
    <row r="116" spans="1:47" x14ac:dyDescent="0.25">
      <c r="A116" t="s">
        <v>58</v>
      </c>
      <c r="B116" t="s">
        <v>534</v>
      </c>
      <c r="C116" t="s">
        <v>189</v>
      </c>
      <c r="D116" t="s">
        <v>189</v>
      </c>
      <c r="E116" t="s">
        <v>189</v>
      </c>
      <c r="F116" t="s">
        <v>239</v>
      </c>
      <c r="G116" t="s">
        <v>342</v>
      </c>
      <c r="H116" t="b">
        <v>0</v>
      </c>
      <c r="I116" t="s">
        <v>55</v>
      </c>
      <c r="K116" t="s">
        <v>75</v>
      </c>
      <c r="L116" t="s">
        <v>75</v>
      </c>
      <c r="M116" t="s">
        <v>535</v>
      </c>
      <c r="Q116" t="b">
        <v>0</v>
      </c>
      <c r="R116">
        <v>0</v>
      </c>
      <c r="T116" t="b">
        <v>0</v>
      </c>
      <c r="U116" t="b">
        <v>0</v>
      </c>
      <c r="V116">
        <v>6379</v>
      </c>
      <c r="W116" t="s">
        <v>51</v>
      </c>
    </row>
    <row r="117" spans="1:47" x14ac:dyDescent="0.25">
      <c r="A117" t="s">
        <v>69</v>
      </c>
      <c r="B117">
        <v>38.722999999999999</v>
      </c>
      <c r="C117" t="s">
        <v>48</v>
      </c>
      <c r="D117" t="s">
        <v>49</v>
      </c>
      <c r="E117" t="s">
        <v>529</v>
      </c>
      <c r="F117" t="s">
        <v>147</v>
      </c>
      <c r="G117" t="s">
        <v>137</v>
      </c>
      <c r="H117" t="s">
        <v>536</v>
      </c>
      <c r="I117" t="s">
        <v>536</v>
      </c>
      <c r="J117" t="s">
        <v>189</v>
      </c>
      <c r="K117" t="s">
        <v>536</v>
      </c>
      <c r="L117" t="s">
        <v>537</v>
      </c>
      <c r="M117" t="s">
        <v>538</v>
      </c>
      <c r="N117" t="s">
        <v>66</v>
      </c>
      <c r="O117" t="b">
        <v>1</v>
      </c>
      <c r="P117" t="b">
        <v>1</v>
      </c>
      <c r="Q117" t="b">
        <v>1</v>
      </c>
      <c r="R117" t="b">
        <v>0</v>
      </c>
      <c r="S117" t="b">
        <v>0</v>
      </c>
      <c r="T117" t="s">
        <v>51</v>
      </c>
      <c r="U117">
        <v>83</v>
      </c>
      <c r="V117" t="s">
        <v>92</v>
      </c>
      <c r="W117" t="s">
        <v>148</v>
      </c>
      <c r="X117" s="4">
        <v>0</v>
      </c>
      <c r="Y117" t="s">
        <v>54</v>
      </c>
      <c r="Z117" t="s">
        <v>189</v>
      </c>
      <c r="AA117" t="s">
        <v>189</v>
      </c>
      <c r="AB117" t="s">
        <v>537</v>
      </c>
      <c r="AC117" t="s">
        <v>189</v>
      </c>
      <c r="AD117" t="s">
        <v>189</v>
      </c>
      <c r="AE117" t="s">
        <v>539</v>
      </c>
      <c r="AF117" t="b">
        <v>0</v>
      </c>
      <c r="AG117" t="s">
        <v>55</v>
      </c>
      <c r="AI117" t="s">
        <v>65</v>
      </c>
      <c r="AJ117" t="s">
        <v>75</v>
      </c>
      <c r="AK117" t="s">
        <v>540</v>
      </c>
      <c r="AO117" t="b">
        <v>0</v>
      </c>
      <c r="AP117">
        <v>0</v>
      </c>
      <c r="AR117" t="b">
        <v>0</v>
      </c>
      <c r="AS117" t="b">
        <v>0</v>
      </c>
      <c r="AT117">
        <v>4386</v>
      </c>
      <c r="AU117" t="s">
        <v>51</v>
      </c>
    </row>
    <row r="118" spans="1:47" x14ac:dyDescent="0.25">
      <c r="A118" t="s">
        <v>47</v>
      </c>
      <c r="B118">
        <v>38.723999999999997</v>
      </c>
      <c r="C118" t="s">
        <v>48</v>
      </c>
      <c r="D118" t="s">
        <v>49</v>
      </c>
      <c r="E118" t="s">
        <v>529</v>
      </c>
      <c r="F118" t="s">
        <v>80</v>
      </c>
      <c r="G118" t="s">
        <v>76</v>
      </c>
      <c r="H118" t="s">
        <v>541</v>
      </c>
      <c r="I118" t="s">
        <v>541</v>
      </c>
      <c r="J118" t="s">
        <v>189</v>
      </c>
      <c r="K118" t="s">
        <v>542</v>
      </c>
      <c r="L118" t="s">
        <v>543</v>
      </c>
      <c r="M118" t="s">
        <v>544</v>
      </c>
      <c r="N118" t="s">
        <v>70</v>
      </c>
      <c r="O118" t="b">
        <v>1</v>
      </c>
      <c r="P118" t="b">
        <v>1</v>
      </c>
      <c r="Q118" t="b">
        <v>1</v>
      </c>
      <c r="R118" t="b">
        <v>0</v>
      </c>
      <c r="S118" t="b">
        <v>0</v>
      </c>
      <c r="T118" t="s">
        <v>51</v>
      </c>
      <c r="U118">
        <v>9</v>
      </c>
      <c r="V118" t="s">
        <v>63</v>
      </c>
      <c r="W118" t="s">
        <v>81</v>
      </c>
      <c r="X118" s="4">
        <v>0</v>
      </c>
      <c r="Y118" t="s">
        <v>153</v>
      </c>
      <c r="Z118" t="s">
        <v>543</v>
      </c>
      <c r="AA118" t="s">
        <v>189</v>
      </c>
      <c r="AB118" t="s">
        <v>189</v>
      </c>
      <c r="AC118" t="s">
        <v>189</v>
      </c>
      <c r="AD118" t="s">
        <v>189</v>
      </c>
      <c r="AE118" t="s">
        <v>545</v>
      </c>
      <c r="AF118" t="b">
        <v>0</v>
      </c>
      <c r="AG118" t="s">
        <v>55</v>
      </c>
      <c r="AH118" t="s">
        <v>82</v>
      </c>
      <c r="AI118" t="s">
        <v>75</v>
      </c>
      <c r="AJ118" t="s">
        <v>75</v>
      </c>
      <c r="AK118" t="s">
        <v>546</v>
      </c>
      <c r="AO118" t="b">
        <v>0</v>
      </c>
      <c r="AP118">
        <v>0</v>
      </c>
      <c r="AR118" t="b">
        <v>0</v>
      </c>
      <c r="AS118" t="b">
        <v>0</v>
      </c>
      <c r="AT118">
        <v>161</v>
      </c>
      <c r="AU118" t="s">
        <v>51</v>
      </c>
    </row>
    <row r="119" spans="1:47" x14ac:dyDescent="0.25">
      <c r="M119"/>
    </row>
    <row r="120" spans="1:47" x14ac:dyDescent="0.25">
      <c r="M120"/>
    </row>
    <row r="121" spans="1:47" x14ac:dyDescent="0.25">
      <c r="M121"/>
    </row>
    <row r="122" spans="1:47" x14ac:dyDescent="0.25">
      <c r="M122"/>
    </row>
    <row r="123" spans="1:47" x14ac:dyDescent="0.25">
      <c r="M123"/>
    </row>
    <row r="124" spans="1:47" x14ac:dyDescent="0.25">
      <c r="M124"/>
    </row>
    <row r="125" spans="1:47" x14ac:dyDescent="0.25">
      <c r="M125"/>
    </row>
    <row r="126" spans="1:47" x14ac:dyDescent="0.25">
      <c r="M126"/>
    </row>
    <row r="127" spans="1:47" x14ac:dyDescent="0.25">
      <c r="M127"/>
    </row>
    <row r="128" spans="1:47" x14ac:dyDescent="0.25">
      <c r="M128"/>
    </row>
    <row r="129" spans="13:13" x14ac:dyDescent="0.25">
      <c r="M129"/>
    </row>
    <row r="130" spans="13:13" x14ac:dyDescent="0.25">
      <c r="M130"/>
    </row>
    <row r="131" spans="13:13" x14ac:dyDescent="0.25">
      <c r="M131"/>
    </row>
    <row r="132" spans="13:13" x14ac:dyDescent="0.25">
      <c r="M132"/>
    </row>
    <row r="133" spans="13:13" x14ac:dyDescent="0.25">
      <c r="M133"/>
    </row>
    <row r="134" spans="13:13" x14ac:dyDescent="0.25">
      <c r="M134"/>
    </row>
    <row r="135" spans="13:13" x14ac:dyDescent="0.25">
      <c r="M135"/>
    </row>
    <row r="136" spans="13:13" x14ac:dyDescent="0.25">
      <c r="M136"/>
    </row>
    <row r="137" spans="13:13" x14ac:dyDescent="0.25">
      <c r="M137"/>
    </row>
    <row r="138" spans="13:13" x14ac:dyDescent="0.25">
      <c r="M138"/>
    </row>
    <row r="139" spans="13:13" x14ac:dyDescent="0.25">
      <c r="M139"/>
    </row>
    <row r="140" spans="13:13" x14ac:dyDescent="0.25">
      <c r="M140"/>
    </row>
    <row r="141" spans="13:13" x14ac:dyDescent="0.25">
      <c r="M141"/>
    </row>
    <row r="142" spans="13:13" x14ac:dyDescent="0.25">
      <c r="M142"/>
    </row>
    <row r="143" spans="13:13" x14ac:dyDescent="0.25">
      <c r="M143"/>
    </row>
    <row r="144" spans="13:13" x14ac:dyDescent="0.25">
      <c r="M144"/>
    </row>
    <row r="145" spans="13:13" x14ac:dyDescent="0.25">
      <c r="M145"/>
    </row>
    <row r="146" spans="13:13" x14ac:dyDescent="0.25">
      <c r="M146"/>
    </row>
    <row r="147" spans="13:13" x14ac:dyDescent="0.25">
      <c r="M147"/>
    </row>
    <row r="148" spans="13:13" x14ac:dyDescent="0.25">
      <c r="M148"/>
    </row>
    <row r="149" spans="13:13" x14ac:dyDescent="0.25">
      <c r="M149"/>
    </row>
    <row r="150" spans="13:13" x14ac:dyDescent="0.25">
      <c r="M150"/>
    </row>
    <row r="151" spans="13:13" x14ac:dyDescent="0.25">
      <c r="M151"/>
    </row>
    <row r="152" spans="13:13" x14ac:dyDescent="0.25">
      <c r="M152"/>
    </row>
    <row r="153" spans="13:13" x14ac:dyDescent="0.25">
      <c r="M153"/>
    </row>
    <row r="154" spans="13:13" x14ac:dyDescent="0.25">
      <c r="M154"/>
    </row>
    <row r="155" spans="13:13" x14ac:dyDescent="0.25">
      <c r="M155"/>
    </row>
    <row r="156" spans="13:13" x14ac:dyDescent="0.25">
      <c r="M156"/>
    </row>
    <row r="157" spans="13:13" x14ac:dyDescent="0.25">
      <c r="M157"/>
    </row>
    <row r="158" spans="13:13" x14ac:dyDescent="0.25">
      <c r="M158"/>
    </row>
    <row r="159" spans="13:13" x14ac:dyDescent="0.25">
      <c r="M159"/>
    </row>
    <row r="160" spans="13:13" x14ac:dyDescent="0.25">
      <c r="M160"/>
    </row>
    <row r="161" spans="13:13" x14ac:dyDescent="0.25">
      <c r="M161"/>
    </row>
    <row r="162" spans="13:13" x14ac:dyDescent="0.25">
      <c r="M162"/>
    </row>
    <row r="163" spans="13:13" x14ac:dyDescent="0.25">
      <c r="M163"/>
    </row>
    <row r="164" spans="13:13" x14ac:dyDescent="0.25">
      <c r="M164"/>
    </row>
    <row r="165" spans="13:13" x14ac:dyDescent="0.25">
      <c r="M165"/>
    </row>
    <row r="166" spans="13:13" x14ac:dyDescent="0.25">
      <c r="M166"/>
    </row>
    <row r="167" spans="13:13" x14ac:dyDescent="0.25">
      <c r="M167"/>
    </row>
    <row r="168" spans="13:13" x14ac:dyDescent="0.25">
      <c r="M168"/>
    </row>
    <row r="169" spans="13:13" x14ac:dyDescent="0.25">
      <c r="M169"/>
    </row>
    <row r="170" spans="13:13" x14ac:dyDescent="0.25">
      <c r="M170"/>
    </row>
    <row r="171" spans="13:13" x14ac:dyDescent="0.25">
      <c r="M171"/>
    </row>
    <row r="172" spans="13:13" x14ac:dyDescent="0.25">
      <c r="M172"/>
    </row>
    <row r="173" spans="13:13" x14ac:dyDescent="0.25">
      <c r="M173"/>
    </row>
    <row r="174" spans="13:13" x14ac:dyDescent="0.25">
      <c r="M174"/>
    </row>
    <row r="175" spans="13:13" x14ac:dyDescent="0.25">
      <c r="M175"/>
    </row>
    <row r="176" spans="13:13" x14ac:dyDescent="0.25">
      <c r="M176"/>
    </row>
    <row r="177" spans="13:13" x14ac:dyDescent="0.25">
      <c r="M177"/>
    </row>
    <row r="178" spans="13:13" x14ac:dyDescent="0.25">
      <c r="M178"/>
    </row>
    <row r="179" spans="13:13" x14ac:dyDescent="0.25">
      <c r="M179"/>
    </row>
    <row r="180" spans="13:13" x14ac:dyDescent="0.25">
      <c r="M180"/>
    </row>
    <row r="181" spans="13:13" x14ac:dyDescent="0.25">
      <c r="M181"/>
    </row>
    <row r="182" spans="13:13" x14ac:dyDescent="0.25">
      <c r="M182"/>
    </row>
    <row r="183" spans="13:13" x14ac:dyDescent="0.25">
      <c r="M183"/>
    </row>
    <row r="184" spans="13:13" x14ac:dyDescent="0.25">
      <c r="M184"/>
    </row>
    <row r="185" spans="13:13" x14ac:dyDescent="0.25">
      <c r="M185"/>
    </row>
    <row r="186" spans="13:13" x14ac:dyDescent="0.25">
      <c r="M186"/>
    </row>
    <row r="187" spans="13:13" x14ac:dyDescent="0.25">
      <c r="M187"/>
    </row>
    <row r="188" spans="13:13" x14ac:dyDescent="0.25">
      <c r="M188"/>
    </row>
    <row r="189" spans="13:13" x14ac:dyDescent="0.25">
      <c r="M189"/>
    </row>
    <row r="190" spans="13:13" x14ac:dyDescent="0.25">
      <c r="M190"/>
    </row>
    <row r="191" spans="13:13" x14ac:dyDescent="0.25">
      <c r="M191"/>
    </row>
    <row r="192" spans="13:13" x14ac:dyDescent="0.25">
      <c r="M192"/>
    </row>
    <row r="193" spans="13:13" x14ac:dyDescent="0.25">
      <c r="M193"/>
    </row>
    <row r="194" spans="13:13" x14ac:dyDescent="0.25">
      <c r="M194"/>
    </row>
    <row r="195" spans="13:13" x14ac:dyDescent="0.25">
      <c r="M195"/>
    </row>
    <row r="196" spans="13:13" x14ac:dyDescent="0.25">
      <c r="M196"/>
    </row>
    <row r="197" spans="13:13" x14ac:dyDescent="0.25">
      <c r="M197"/>
    </row>
    <row r="198" spans="13:13" x14ac:dyDescent="0.25">
      <c r="M198"/>
    </row>
    <row r="199" spans="13:13" x14ac:dyDescent="0.25">
      <c r="M199"/>
    </row>
    <row r="200" spans="13:13" x14ac:dyDescent="0.25">
      <c r="M200"/>
    </row>
    <row r="201" spans="13:13" x14ac:dyDescent="0.25">
      <c r="M201"/>
    </row>
    <row r="202" spans="13:13" x14ac:dyDescent="0.25">
      <c r="M202"/>
    </row>
    <row r="203" spans="13:13" x14ac:dyDescent="0.25">
      <c r="M203"/>
    </row>
    <row r="204" spans="13:13" x14ac:dyDescent="0.25">
      <c r="M204"/>
    </row>
    <row r="205" spans="13:13" x14ac:dyDescent="0.25">
      <c r="M205"/>
    </row>
    <row r="206" spans="13:13" x14ac:dyDescent="0.25">
      <c r="M206"/>
    </row>
    <row r="207" spans="13:13" x14ac:dyDescent="0.25">
      <c r="M207"/>
    </row>
    <row r="208" spans="13:13" x14ac:dyDescent="0.25">
      <c r="M208"/>
    </row>
    <row r="209" spans="13:13" x14ac:dyDescent="0.25">
      <c r="M209"/>
    </row>
    <row r="210" spans="13:13" x14ac:dyDescent="0.25">
      <c r="M210"/>
    </row>
    <row r="211" spans="13:13" x14ac:dyDescent="0.25">
      <c r="M211"/>
    </row>
    <row r="212" spans="13:13" x14ac:dyDescent="0.25">
      <c r="M212"/>
    </row>
    <row r="213" spans="13:13" x14ac:dyDescent="0.25">
      <c r="M213"/>
    </row>
    <row r="214" spans="13:13" x14ac:dyDescent="0.25">
      <c r="M214"/>
    </row>
    <row r="215" spans="13:13" x14ac:dyDescent="0.25">
      <c r="M215"/>
    </row>
    <row r="216" spans="13:13" x14ac:dyDescent="0.25">
      <c r="M216"/>
    </row>
    <row r="217" spans="13:13" x14ac:dyDescent="0.25">
      <c r="M217"/>
    </row>
    <row r="218" spans="13:13" x14ac:dyDescent="0.25">
      <c r="M218"/>
    </row>
    <row r="219" spans="13:13" x14ac:dyDescent="0.25">
      <c r="M219"/>
    </row>
    <row r="220" spans="13:13" x14ac:dyDescent="0.25">
      <c r="M220"/>
    </row>
    <row r="221" spans="13:13" x14ac:dyDescent="0.25">
      <c r="M221"/>
    </row>
    <row r="222" spans="13:13" x14ac:dyDescent="0.25">
      <c r="M222"/>
    </row>
    <row r="223" spans="13:13" x14ac:dyDescent="0.25">
      <c r="M223"/>
    </row>
    <row r="224" spans="13:13" x14ac:dyDescent="0.25">
      <c r="M224"/>
    </row>
    <row r="225" spans="13:13" x14ac:dyDescent="0.25">
      <c r="M225"/>
    </row>
    <row r="226" spans="13:13" x14ac:dyDescent="0.25">
      <c r="M226"/>
    </row>
    <row r="227" spans="13:13" x14ac:dyDescent="0.25">
      <c r="M227"/>
    </row>
    <row r="228" spans="13:13" x14ac:dyDescent="0.25">
      <c r="M228"/>
    </row>
    <row r="229" spans="13:13" x14ac:dyDescent="0.25">
      <c r="M229"/>
    </row>
    <row r="230" spans="13:13" x14ac:dyDescent="0.25">
      <c r="M230"/>
    </row>
    <row r="231" spans="13:13" x14ac:dyDescent="0.25">
      <c r="M231"/>
    </row>
    <row r="232" spans="13:13" x14ac:dyDescent="0.25">
      <c r="M232"/>
    </row>
    <row r="233" spans="13:13" x14ac:dyDescent="0.25">
      <c r="M233"/>
    </row>
    <row r="234" spans="13:13" x14ac:dyDescent="0.25">
      <c r="M234"/>
    </row>
    <row r="235" spans="13:13" x14ac:dyDescent="0.25">
      <c r="M235"/>
    </row>
    <row r="236" spans="13:13" x14ac:dyDescent="0.25">
      <c r="M236"/>
    </row>
    <row r="237" spans="13:13" x14ac:dyDescent="0.25">
      <c r="M237"/>
    </row>
    <row r="238" spans="13:13" x14ac:dyDescent="0.25">
      <c r="M238"/>
    </row>
    <row r="239" spans="13:13" x14ac:dyDescent="0.25">
      <c r="M239"/>
    </row>
    <row r="240" spans="13:13" x14ac:dyDescent="0.25">
      <c r="M240"/>
    </row>
    <row r="241" spans="13:13" x14ac:dyDescent="0.25">
      <c r="M241"/>
    </row>
    <row r="242" spans="13:13" x14ac:dyDescent="0.25">
      <c r="M242"/>
    </row>
    <row r="243" spans="13:13" x14ac:dyDescent="0.25">
      <c r="M243"/>
    </row>
    <row r="244" spans="13:13" x14ac:dyDescent="0.25">
      <c r="M244"/>
    </row>
    <row r="245" spans="13:13" x14ac:dyDescent="0.25">
      <c r="M245"/>
    </row>
    <row r="246" spans="13:13" x14ac:dyDescent="0.25">
      <c r="M246"/>
    </row>
    <row r="247" spans="13:13" x14ac:dyDescent="0.25">
      <c r="M247"/>
    </row>
    <row r="248" spans="13:13" x14ac:dyDescent="0.25">
      <c r="M248"/>
    </row>
    <row r="249" spans="13:13" x14ac:dyDescent="0.25">
      <c r="M249"/>
    </row>
    <row r="250" spans="13:13" x14ac:dyDescent="0.25">
      <c r="M250"/>
    </row>
    <row r="251" spans="13:13" x14ac:dyDescent="0.25">
      <c r="M251"/>
    </row>
    <row r="252" spans="13:13" x14ac:dyDescent="0.25">
      <c r="M252"/>
    </row>
    <row r="253" spans="13:13" x14ac:dyDescent="0.25">
      <c r="M253"/>
    </row>
    <row r="254" spans="13:13" x14ac:dyDescent="0.25">
      <c r="M254"/>
    </row>
    <row r="255" spans="13:13" x14ac:dyDescent="0.25">
      <c r="M255"/>
    </row>
    <row r="256" spans="13:13" x14ac:dyDescent="0.25">
      <c r="M256"/>
    </row>
    <row r="257" spans="13:13" x14ac:dyDescent="0.25">
      <c r="M257"/>
    </row>
    <row r="258" spans="13:13" x14ac:dyDescent="0.25">
      <c r="M258"/>
    </row>
    <row r="259" spans="13:13" x14ac:dyDescent="0.25">
      <c r="M259"/>
    </row>
    <row r="260" spans="13:13" x14ac:dyDescent="0.25">
      <c r="M260"/>
    </row>
    <row r="261" spans="13:13" x14ac:dyDescent="0.25">
      <c r="M261"/>
    </row>
    <row r="262" spans="13:13" x14ac:dyDescent="0.25">
      <c r="M262"/>
    </row>
    <row r="263" spans="13:13" x14ac:dyDescent="0.25">
      <c r="M263"/>
    </row>
    <row r="264" spans="13:13" x14ac:dyDescent="0.25">
      <c r="M264"/>
    </row>
    <row r="265" spans="13:13" x14ac:dyDescent="0.25">
      <c r="M265"/>
    </row>
    <row r="266" spans="13:13" x14ac:dyDescent="0.25">
      <c r="M266"/>
    </row>
    <row r="267" spans="13:13" x14ac:dyDescent="0.25">
      <c r="M267"/>
    </row>
    <row r="268" spans="13:13" x14ac:dyDescent="0.25">
      <c r="M268"/>
    </row>
    <row r="269" spans="13:13" x14ac:dyDescent="0.25">
      <c r="M269"/>
    </row>
    <row r="270" spans="13:13" x14ac:dyDescent="0.25">
      <c r="M270"/>
    </row>
    <row r="271" spans="13:13" x14ac:dyDescent="0.25">
      <c r="M271"/>
    </row>
    <row r="272" spans="13:13" x14ac:dyDescent="0.25">
      <c r="M272"/>
    </row>
    <row r="273" spans="13:13" x14ac:dyDescent="0.25">
      <c r="M273"/>
    </row>
    <row r="274" spans="13:13" x14ac:dyDescent="0.25">
      <c r="M274"/>
    </row>
    <row r="275" spans="13:13" x14ac:dyDescent="0.25">
      <c r="M275"/>
    </row>
    <row r="276" spans="13:13" x14ac:dyDescent="0.25">
      <c r="M276"/>
    </row>
    <row r="277" spans="13:13" x14ac:dyDescent="0.25">
      <c r="M277"/>
    </row>
    <row r="278" spans="13:13" x14ac:dyDescent="0.25">
      <c r="M278"/>
    </row>
    <row r="279" spans="13:13" x14ac:dyDescent="0.25">
      <c r="M279"/>
    </row>
    <row r="280" spans="13:13" x14ac:dyDescent="0.25">
      <c r="M280"/>
    </row>
    <row r="281" spans="13:13" x14ac:dyDescent="0.25">
      <c r="M281"/>
    </row>
    <row r="282" spans="13:13" x14ac:dyDescent="0.25">
      <c r="M282"/>
    </row>
    <row r="283" spans="13:13" x14ac:dyDescent="0.25">
      <c r="M283"/>
    </row>
    <row r="284" spans="13:13" x14ac:dyDescent="0.25">
      <c r="M284"/>
    </row>
    <row r="285" spans="13:13" x14ac:dyDescent="0.25">
      <c r="M285"/>
    </row>
    <row r="286" spans="13:13" x14ac:dyDescent="0.25">
      <c r="M286"/>
    </row>
    <row r="287" spans="13:13" x14ac:dyDescent="0.25">
      <c r="M287"/>
    </row>
    <row r="288" spans="13:13" x14ac:dyDescent="0.25">
      <c r="M288"/>
    </row>
    <row r="289" spans="13:13" x14ac:dyDescent="0.25">
      <c r="M289"/>
    </row>
    <row r="290" spans="13:13" x14ac:dyDescent="0.25">
      <c r="M290"/>
    </row>
    <row r="291" spans="13:13" x14ac:dyDescent="0.25">
      <c r="M291"/>
    </row>
    <row r="292" spans="13:13" x14ac:dyDescent="0.25">
      <c r="M292"/>
    </row>
    <row r="293" spans="13:13" x14ac:dyDescent="0.25">
      <c r="M293"/>
    </row>
    <row r="294" spans="13:13" x14ac:dyDescent="0.25">
      <c r="M294"/>
    </row>
    <row r="295" spans="13:13" x14ac:dyDescent="0.25">
      <c r="M295"/>
    </row>
    <row r="296" spans="13:13" x14ac:dyDescent="0.25">
      <c r="M296"/>
    </row>
    <row r="297" spans="13:13" x14ac:dyDescent="0.25">
      <c r="M297"/>
    </row>
    <row r="298" spans="13:13" x14ac:dyDescent="0.25">
      <c r="M298"/>
    </row>
    <row r="299" spans="13:13" x14ac:dyDescent="0.25">
      <c r="M299"/>
    </row>
    <row r="300" spans="13:13" x14ac:dyDescent="0.25">
      <c r="M300"/>
    </row>
    <row r="301" spans="13:13" x14ac:dyDescent="0.25">
      <c r="M301"/>
    </row>
    <row r="302" spans="13:13" x14ac:dyDescent="0.25">
      <c r="M302"/>
    </row>
    <row r="303" spans="13:13" x14ac:dyDescent="0.25">
      <c r="M303"/>
    </row>
    <row r="304" spans="13:13" x14ac:dyDescent="0.25">
      <c r="M304"/>
    </row>
    <row r="305" spans="13:13" x14ac:dyDescent="0.25">
      <c r="M305"/>
    </row>
    <row r="306" spans="13:13" x14ac:dyDescent="0.25">
      <c r="M306"/>
    </row>
    <row r="307" spans="13:13" x14ac:dyDescent="0.25">
      <c r="M307"/>
    </row>
    <row r="308" spans="13:13" x14ac:dyDescent="0.25">
      <c r="M308"/>
    </row>
    <row r="309" spans="13:13" x14ac:dyDescent="0.25">
      <c r="M309"/>
    </row>
    <row r="310" spans="13:13" x14ac:dyDescent="0.25">
      <c r="M310"/>
    </row>
    <row r="311" spans="13:13" x14ac:dyDescent="0.25">
      <c r="M311"/>
    </row>
    <row r="312" spans="13:13" x14ac:dyDescent="0.25">
      <c r="M312"/>
    </row>
    <row r="313" spans="13:13" x14ac:dyDescent="0.25">
      <c r="M313"/>
    </row>
    <row r="314" spans="13:13" x14ac:dyDescent="0.25">
      <c r="M314"/>
    </row>
    <row r="315" spans="13:13" x14ac:dyDescent="0.25">
      <c r="M315"/>
    </row>
    <row r="316" spans="13:13" x14ac:dyDescent="0.25">
      <c r="M316"/>
    </row>
    <row r="317" spans="13:13" x14ac:dyDescent="0.25">
      <c r="M317"/>
    </row>
    <row r="318" spans="13:13" x14ac:dyDescent="0.25">
      <c r="M318"/>
    </row>
    <row r="319" spans="13:13" x14ac:dyDescent="0.25">
      <c r="M319"/>
    </row>
    <row r="320" spans="13:13" x14ac:dyDescent="0.25">
      <c r="M320"/>
    </row>
    <row r="321" spans="13:13" x14ac:dyDescent="0.25">
      <c r="M321"/>
    </row>
    <row r="322" spans="13:13" x14ac:dyDescent="0.25">
      <c r="M322"/>
    </row>
    <row r="323" spans="13:13" x14ac:dyDescent="0.25">
      <c r="M323"/>
    </row>
    <row r="324" spans="13:13" x14ac:dyDescent="0.25">
      <c r="M324"/>
    </row>
    <row r="325" spans="13:13" x14ac:dyDescent="0.25">
      <c r="M325"/>
    </row>
    <row r="326" spans="13:13" x14ac:dyDescent="0.25">
      <c r="M326"/>
    </row>
    <row r="327" spans="13:13" x14ac:dyDescent="0.25">
      <c r="M327"/>
    </row>
    <row r="328" spans="13:13" x14ac:dyDescent="0.25">
      <c r="M328"/>
    </row>
    <row r="329" spans="13:13" x14ac:dyDescent="0.25">
      <c r="M329"/>
    </row>
    <row r="330" spans="13:13" x14ac:dyDescent="0.25">
      <c r="M330"/>
    </row>
    <row r="331" spans="13:13" x14ac:dyDescent="0.25">
      <c r="M331"/>
    </row>
    <row r="332" spans="13:13" x14ac:dyDescent="0.25">
      <c r="M332"/>
    </row>
    <row r="333" spans="13:13" x14ac:dyDescent="0.25">
      <c r="M333"/>
    </row>
    <row r="334" spans="13:13" x14ac:dyDescent="0.25">
      <c r="M334"/>
    </row>
    <row r="335" spans="13:13" x14ac:dyDescent="0.25">
      <c r="M335"/>
    </row>
    <row r="336" spans="13:13" x14ac:dyDescent="0.25">
      <c r="M336"/>
    </row>
    <row r="337" spans="13:13" x14ac:dyDescent="0.25">
      <c r="M337"/>
    </row>
    <row r="338" spans="13:13" x14ac:dyDescent="0.25">
      <c r="M338"/>
    </row>
    <row r="339" spans="13:13" x14ac:dyDescent="0.25">
      <c r="M339"/>
    </row>
    <row r="340" spans="13:13" x14ac:dyDescent="0.25">
      <c r="M340"/>
    </row>
    <row r="341" spans="13:13" x14ac:dyDescent="0.25">
      <c r="M341"/>
    </row>
    <row r="342" spans="13:13" x14ac:dyDescent="0.25">
      <c r="M342"/>
    </row>
    <row r="343" spans="13:13" x14ac:dyDescent="0.25">
      <c r="M343"/>
    </row>
    <row r="344" spans="13:13" x14ac:dyDescent="0.25">
      <c r="M344"/>
    </row>
    <row r="345" spans="13:13" x14ac:dyDescent="0.25">
      <c r="M345"/>
    </row>
    <row r="346" spans="13:13" x14ac:dyDescent="0.25">
      <c r="M346"/>
    </row>
    <row r="347" spans="13:13" x14ac:dyDescent="0.25">
      <c r="M347"/>
    </row>
    <row r="348" spans="13:13" x14ac:dyDescent="0.25">
      <c r="M348"/>
    </row>
    <row r="349" spans="13:13" x14ac:dyDescent="0.25">
      <c r="M349"/>
    </row>
    <row r="350" spans="13:13" x14ac:dyDescent="0.25">
      <c r="M350"/>
    </row>
    <row r="351" spans="13:13" x14ac:dyDescent="0.25">
      <c r="M351"/>
    </row>
    <row r="352" spans="13:13" x14ac:dyDescent="0.25">
      <c r="M352"/>
    </row>
    <row r="353" spans="13:13" x14ac:dyDescent="0.25">
      <c r="M353"/>
    </row>
    <row r="354" spans="13:13" x14ac:dyDescent="0.25">
      <c r="M354"/>
    </row>
    <row r="355" spans="13:13" x14ac:dyDescent="0.25">
      <c r="M355"/>
    </row>
    <row r="356" spans="13:13" x14ac:dyDescent="0.25">
      <c r="M356"/>
    </row>
    <row r="357" spans="13:13" x14ac:dyDescent="0.25">
      <c r="M357"/>
    </row>
    <row r="358" spans="13:13" x14ac:dyDescent="0.25">
      <c r="M358"/>
    </row>
    <row r="359" spans="13:13" x14ac:dyDescent="0.25">
      <c r="M359"/>
    </row>
    <row r="360" spans="13:13" x14ac:dyDescent="0.25">
      <c r="M360"/>
    </row>
    <row r="361" spans="13:13" x14ac:dyDescent="0.25">
      <c r="M361"/>
    </row>
    <row r="362" spans="13:13" x14ac:dyDescent="0.25">
      <c r="M362"/>
    </row>
    <row r="363" spans="13:13" x14ac:dyDescent="0.25">
      <c r="M363"/>
    </row>
    <row r="364" spans="13:13" x14ac:dyDescent="0.25">
      <c r="M364"/>
    </row>
    <row r="365" spans="13:13" x14ac:dyDescent="0.25">
      <c r="M365"/>
    </row>
    <row r="366" spans="13:13" x14ac:dyDescent="0.25">
      <c r="M366"/>
    </row>
    <row r="367" spans="13:13" x14ac:dyDescent="0.25">
      <c r="M367"/>
    </row>
    <row r="368" spans="13:13" x14ac:dyDescent="0.25">
      <c r="M368"/>
    </row>
    <row r="369" spans="13:13" x14ac:dyDescent="0.25">
      <c r="M369"/>
    </row>
    <row r="370" spans="13:13" x14ac:dyDescent="0.25">
      <c r="M370"/>
    </row>
    <row r="371" spans="13:13" x14ac:dyDescent="0.25">
      <c r="M371"/>
    </row>
    <row r="372" spans="13:13" x14ac:dyDescent="0.25">
      <c r="M372"/>
    </row>
    <row r="373" spans="13:13" x14ac:dyDescent="0.25">
      <c r="M373"/>
    </row>
    <row r="374" spans="13:13" x14ac:dyDescent="0.25">
      <c r="M374"/>
    </row>
    <row r="375" spans="13:13" x14ac:dyDescent="0.25">
      <c r="M375"/>
    </row>
    <row r="376" spans="13:13" x14ac:dyDescent="0.25">
      <c r="M376"/>
    </row>
    <row r="377" spans="13:13" x14ac:dyDescent="0.25">
      <c r="M377"/>
    </row>
    <row r="378" spans="13:13" x14ac:dyDescent="0.25">
      <c r="M378"/>
    </row>
    <row r="379" spans="13:13" x14ac:dyDescent="0.25">
      <c r="M379"/>
    </row>
    <row r="380" spans="13:13" x14ac:dyDescent="0.25">
      <c r="M380"/>
    </row>
    <row r="381" spans="13:13" x14ac:dyDescent="0.25">
      <c r="M381"/>
    </row>
    <row r="382" spans="13:13" x14ac:dyDescent="0.25">
      <c r="M382"/>
    </row>
    <row r="383" spans="13:13" x14ac:dyDescent="0.25">
      <c r="M383"/>
    </row>
    <row r="384" spans="13:13" x14ac:dyDescent="0.25">
      <c r="M384"/>
    </row>
    <row r="385" spans="13:13" x14ac:dyDescent="0.25">
      <c r="M385"/>
    </row>
    <row r="386" spans="13:13" x14ac:dyDescent="0.25">
      <c r="M386"/>
    </row>
    <row r="387" spans="13:13" x14ac:dyDescent="0.25">
      <c r="M387"/>
    </row>
    <row r="388" spans="13:13" x14ac:dyDescent="0.25">
      <c r="M388"/>
    </row>
    <row r="389" spans="13:13" x14ac:dyDescent="0.25">
      <c r="M389"/>
    </row>
    <row r="390" spans="13:13" x14ac:dyDescent="0.25">
      <c r="M390"/>
    </row>
    <row r="391" spans="13:13" x14ac:dyDescent="0.25">
      <c r="M391"/>
    </row>
    <row r="392" spans="13:13" x14ac:dyDescent="0.25">
      <c r="M392"/>
    </row>
    <row r="393" spans="13:13" x14ac:dyDescent="0.25">
      <c r="M393"/>
    </row>
    <row r="394" spans="13:13" x14ac:dyDescent="0.25">
      <c r="M394"/>
    </row>
    <row r="395" spans="13:13" x14ac:dyDescent="0.25">
      <c r="M395"/>
    </row>
    <row r="396" spans="13:13" x14ac:dyDescent="0.25">
      <c r="M396"/>
    </row>
    <row r="397" spans="13:13" x14ac:dyDescent="0.25">
      <c r="M397"/>
    </row>
    <row r="398" spans="13:13" x14ac:dyDescent="0.25">
      <c r="M398"/>
    </row>
    <row r="399" spans="13:13" x14ac:dyDescent="0.25">
      <c r="M399"/>
    </row>
    <row r="400" spans="13:13" x14ac:dyDescent="0.25">
      <c r="M400"/>
    </row>
    <row r="401" spans="13:13" x14ac:dyDescent="0.25">
      <c r="M401"/>
    </row>
    <row r="402" spans="13:13" x14ac:dyDescent="0.25">
      <c r="M402"/>
    </row>
    <row r="403" spans="13:13" x14ac:dyDescent="0.25">
      <c r="M403"/>
    </row>
    <row r="404" spans="13:13" x14ac:dyDescent="0.25">
      <c r="M404"/>
    </row>
    <row r="405" spans="13:13" x14ac:dyDescent="0.25">
      <c r="M405"/>
    </row>
    <row r="406" spans="13:13" x14ac:dyDescent="0.25">
      <c r="M406"/>
    </row>
    <row r="407" spans="13:13" x14ac:dyDescent="0.25">
      <c r="M407"/>
    </row>
    <row r="408" spans="13:13" x14ac:dyDescent="0.25">
      <c r="M408"/>
    </row>
    <row r="409" spans="13:13" x14ac:dyDescent="0.25">
      <c r="M409"/>
    </row>
    <row r="410" spans="13:13" x14ac:dyDescent="0.25">
      <c r="M410"/>
    </row>
    <row r="411" spans="13:13" x14ac:dyDescent="0.25">
      <c r="M411"/>
    </row>
    <row r="412" spans="13:13" x14ac:dyDescent="0.25">
      <c r="M412"/>
    </row>
    <row r="413" spans="13:13" x14ac:dyDescent="0.25">
      <c r="M413"/>
    </row>
    <row r="414" spans="13:13" x14ac:dyDescent="0.25">
      <c r="M414"/>
    </row>
    <row r="415" spans="13:13" x14ac:dyDescent="0.25">
      <c r="M415"/>
    </row>
    <row r="416" spans="13:13" x14ac:dyDescent="0.25">
      <c r="M416"/>
    </row>
    <row r="417" spans="13:13" x14ac:dyDescent="0.25">
      <c r="M417"/>
    </row>
    <row r="418" spans="13:13" x14ac:dyDescent="0.25">
      <c r="M418"/>
    </row>
    <row r="419" spans="13:13" x14ac:dyDescent="0.25">
      <c r="M419"/>
    </row>
    <row r="420" spans="13:13" x14ac:dyDescent="0.25">
      <c r="M420"/>
    </row>
    <row r="421" spans="13:13" x14ac:dyDescent="0.25">
      <c r="M421"/>
    </row>
    <row r="422" spans="13:13" x14ac:dyDescent="0.25">
      <c r="M422"/>
    </row>
    <row r="423" spans="13:13" x14ac:dyDescent="0.25">
      <c r="M423"/>
    </row>
    <row r="424" spans="13:13" x14ac:dyDescent="0.25">
      <c r="M424"/>
    </row>
    <row r="425" spans="13:13" x14ac:dyDescent="0.25">
      <c r="M425"/>
    </row>
    <row r="426" spans="13:13" x14ac:dyDescent="0.25">
      <c r="M426"/>
    </row>
    <row r="427" spans="13:13" x14ac:dyDescent="0.25">
      <c r="M427"/>
    </row>
    <row r="428" spans="13:13" x14ac:dyDescent="0.25">
      <c r="M428"/>
    </row>
    <row r="429" spans="13:13" x14ac:dyDescent="0.25">
      <c r="M429"/>
    </row>
    <row r="430" spans="13:13" x14ac:dyDescent="0.25">
      <c r="M430"/>
    </row>
    <row r="431" spans="13:13" x14ac:dyDescent="0.25">
      <c r="M431"/>
    </row>
    <row r="432" spans="13:13" x14ac:dyDescent="0.25">
      <c r="M432"/>
    </row>
    <row r="433" spans="13:13" x14ac:dyDescent="0.25">
      <c r="M433"/>
    </row>
    <row r="434" spans="13:13" x14ac:dyDescent="0.25">
      <c r="M434"/>
    </row>
    <row r="435" spans="13:13" x14ac:dyDescent="0.25">
      <c r="M435"/>
    </row>
    <row r="436" spans="13:13" x14ac:dyDescent="0.25">
      <c r="M436"/>
    </row>
    <row r="437" spans="13:13" x14ac:dyDescent="0.25">
      <c r="M437"/>
    </row>
    <row r="438" spans="13:13" x14ac:dyDescent="0.25">
      <c r="M438"/>
    </row>
    <row r="439" spans="13:13" x14ac:dyDescent="0.25">
      <c r="M439"/>
    </row>
    <row r="440" spans="13:13" x14ac:dyDescent="0.25">
      <c r="M440"/>
    </row>
    <row r="441" spans="13:13" x14ac:dyDescent="0.25">
      <c r="M441"/>
    </row>
    <row r="442" spans="13:13" x14ac:dyDescent="0.25">
      <c r="M442"/>
    </row>
    <row r="443" spans="13:13" x14ac:dyDescent="0.25">
      <c r="M443"/>
    </row>
    <row r="444" spans="13:13" x14ac:dyDescent="0.25">
      <c r="M444"/>
    </row>
    <row r="445" spans="13:13" x14ac:dyDescent="0.25">
      <c r="M445"/>
    </row>
    <row r="446" spans="13:13" x14ac:dyDescent="0.25">
      <c r="M446"/>
    </row>
    <row r="447" spans="13:13" x14ac:dyDescent="0.25">
      <c r="M447"/>
    </row>
    <row r="448" spans="13:13" x14ac:dyDescent="0.25">
      <c r="M448"/>
    </row>
    <row r="449" spans="13:13" x14ac:dyDescent="0.25">
      <c r="M449"/>
    </row>
    <row r="450" spans="13:13" x14ac:dyDescent="0.25">
      <c r="M450"/>
    </row>
    <row r="451" spans="13:13" x14ac:dyDescent="0.25">
      <c r="M451"/>
    </row>
    <row r="452" spans="13:13" x14ac:dyDescent="0.25">
      <c r="M452"/>
    </row>
    <row r="453" spans="13:13" x14ac:dyDescent="0.25">
      <c r="M453"/>
    </row>
    <row r="454" spans="13:13" x14ac:dyDescent="0.25">
      <c r="M454"/>
    </row>
    <row r="455" spans="13:13" x14ac:dyDescent="0.25">
      <c r="M455"/>
    </row>
    <row r="456" spans="13:13" x14ac:dyDescent="0.25">
      <c r="M456"/>
    </row>
    <row r="457" spans="13:13" x14ac:dyDescent="0.25">
      <c r="M457"/>
    </row>
    <row r="458" spans="13:13" x14ac:dyDescent="0.25">
      <c r="M458"/>
    </row>
    <row r="459" spans="13:13" x14ac:dyDescent="0.25">
      <c r="M459"/>
    </row>
    <row r="460" spans="13:13" x14ac:dyDescent="0.25">
      <c r="M460"/>
    </row>
    <row r="461" spans="13:13" x14ac:dyDescent="0.25">
      <c r="M461"/>
    </row>
    <row r="462" spans="13:13" x14ac:dyDescent="0.25">
      <c r="M462"/>
    </row>
    <row r="463" spans="13:13" x14ac:dyDescent="0.25">
      <c r="M463"/>
    </row>
    <row r="464" spans="13:13" x14ac:dyDescent="0.25">
      <c r="M464"/>
    </row>
    <row r="465" spans="13:13" x14ac:dyDescent="0.25">
      <c r="M465"/>
    </row>
    <row r="466" spans="13:13" x14ac:dyDescent="0.25">
      <c r="M466"/>
    </row>
    <row r="467" spans="13:13" x14ac:dyDescent="0.25">
      <c r="M467"/>
    </row>
    <row r="468" spans="13:13" x14ac:dyDescent="0.25">
      <c r="M468"/>
    </row>
    <row r="469" spans="13:13" x14ac:dyDescent="0.25">
      <c r="M469"/>
    </row>
    <row r="470" spans="13:13" x14ac:dyDescent="0.25">
      <c r="M470"/>
    </row>
    <row r="471" spans="13:13" x14ac:dyDescent="0.25">
      <c r="M471"/>
    </row>
    <row r="472" spans="13:13" x14ac:dyDescent="0.25">
      <c r="M472"/>
    </row>
    <row r="473" spans="13:13" x14ac:dyDescent="0.25">
      <c r="M473"/>
    </row>
    <row r="474" spans="13:13" x14ac:dyDescent="0.25">
      <c r="M474"/>
    </row>
    <row r="475" spans="13:13" x14ac:dyDescent="0.25">
      <c r="M475"/>
    </row>
    <row r="476" spans="13:13" x14ac:dyDescent="0.25">
      <c r="M476"/>
    </row>
    <row r="477" spans="13:13" x14ac:dyDescent="0.25">
      <c r="M477"/>
    </row>
    <row r="478" spans="13:13" x14ac:dyDescent="0.25">
      <c r="M478"/>
    </row>
    <row r="479" spans="13:13" x14ac:dyDescent="0.25">
      <c r="M479"/>
    </row>
    <row r="480" spans="13:13" x14ac:dyDescent="0.25">
      <c r="M480"/>
    </row>
    <row r="481" spans="13:13" x14ac:dyDescent="0.25">
      <c r="M481"/>
    </row>
    <row r="482" spans="13:13" x14ac:dyDescent="0.25">
      <c r="M482"/>
    </row>
    <row r="483" spans="13:13" x14ac:dyDescent="0.25">
      <c r="M483"/>
    </row>
    <row r="484" spans="13:13" x14ac:dyDescent="0.25">
      <c r="M484"/>
    </row>
    <row r="485" spans="13:13" x14ac:dyDescent="0.25">
      <c r="M485"/>
    </row>
    <row r="486" spans="13:13" x14ac:dyDescent="0.25">
      <c r="M486"/>
    </row>
    <row r="487" spans="13:13" x14ac:dyDescent="0.25">
      <c r="M487"/>
    </row>
    <row r="488" spans="13:13" x14ac:dyDescent="0.25">
      <c r="M488"/>
    </row>
    <row r="489" spans="13:13" x14ac:dyDescent="0.25">
      <c r="M489"/>
    </row>
    <row r="490" spans="13:13" x14ac:dyDescent="0.25">
      <c r="M490"/>
    </row>
    <row r="491" spans="13:13" x14ac:dyDescent="0.25">
      <c r="M491"/>
    </row>
    <row r="492" spans="13:13" x14ac:dyDescent="0.25">
      <c r="M492"/>
    </row>
    <row r="493" spans="13:13" x14ac:dyDescent="0.25">
      <c r="M493"/>
    </row>
    <row r="494" spans="13:13" x14ac:dyDescent="0.25">
      <c r="M494"/>
    </row>
    <row r="495" spans="13:13" x14ac:dyDescent="0.25">
      <c r="M495"/>
    </row>
    <row r="496" spans="13:13" x14ac:dyDescent="0.25">
      <c r="M496"/>
    </row>
    <row r="497" spans="2:37" x14ac:dyDescent="0.25">
      <c r="M497"/>
    </row>
    <row r="498" spans="2:37" x14ac:dyDescent="0.25">
      <c r="M498"/>
    </row>
    <row r="499" spans="2:37" x14ac:dyDescent="0.25">
      <c r="M499"/>
    </row>
    <row r="500" spans="2:37" x14ac:dyDescent="0.25">
      <c r="M500"/>
    </row>
    <row r="501" spans="2:37" x14ac:dyDescent="0.25">
      <c r="B501" s="1"/>
      <c r="E501" s="2"/>
      <c r="H501" s="3"/>
      <c r="I501" s="3"/>
      <c r="K501" s="3"/>
      <c r="L501" s="3"/>
      <c r="X501" s="4"/>
      <c r="Z501" s="3"/>
      <c r="AD501" s="3"/>
      <c r="AE501" s="3"/>
      <c r="AK501" s="5"/>
    </row>
    <row r="502" spans="2:37" x14ac:dyDescent="0.25">
      <c r="B502" s="1"/>
      <c r="E502" s="2"/>
      <c r="H502" s="3"/>
      <c r="I502" s="3"/>
      <c r="K502" s="3"/>
      <c r="L502" s="3"/>
      <c r="X502" s="4"/>
      <c r="AA502" s="3"/>
      <c r="AD502" s="3"/>
      <c r="AE502" s="3"/>
      <c r="AK502" s="5"/>
    </row>
    <row r="503" spans="2:37" x14ac:dyDescent="0.25">
      <c r="B503" s="1"/>
      <c r="D503" s="3"/>
      <c r="E503" s="2"/>
      <c r="G503" s="3"/>
      <c r="H503" s="3"/>
      <c r="I503" s="3"/>
      <c r="K503" s="3"/>
      <c r="L503" s="3"/>
      <c r="X503" s="4"/>
    </row>
    <row r="504" spans="2:37" x14ac:dyDescent="0.25">
      <c r="B504" s="1"/>
      <c r="D504" s="3"/>
      <c r="E504" s="2"/>
      <c r="G504" s="3"/>
      <c r="H504" s="3"/>
      <c r="I504" s="3"/>
      <c r="K504" s="3"/>
      <c r="L504" s="3"/>
      <c r="X504" s="4"/>
      <c r="Z504" s="3"/>
      <c r="AB504" s="3"/>
      <c r="AE504" s="3"/>
      <c r="AK504" s="5"/>
    </row>
    <row r="505" spans="2:37" x14ac:dyDescent="0.25">
      <c r="B505" s="1"/>
      <c r="E505" s="2"/>
      <c r="H505" s="3"/>
      <c r="I505" s="3"/>
      <c r="K505" s="3"/>
      <c r="L505" s="3"/>
      <c r="X505" s="4"/>
      <c r="Z505" s="3"/>
      <c r="AE505" s="3"/>
      <c r="AK505" s="5"/>
    </row>
    <row r="506" spans="2:37" x14ac:dyDescent="0.25">
      <c r="B506" s="1"/>
      <c r="E506" s="2"/>
      <c r="H506" s="3"/>
      <c r="I506" s="3"/>
      <c r="K506" s="3"/>
      <c r="L506" s="3"/>
      <c r="X506" s="4"/>
      <c r="AK506" s="5"/>
    </row>
    <row r="507" spans="2:37" x14ac:dyDescent="0.25">
      <c r="B507" s="1"/>
      <c r="D507" s="3"/>
      <c r="E507" s="2"/>
      <c r="H507" s="3"/>
      <c r="I507" s="3"/>
      <c r="K507" s="3"/>
      <c r="X507" s="4"/>
    </row>
    <row r="508" spans="2:37" x14ac:dyDescent="0.25">
      <c r="B508" s="1"/>
      <c r="E508" s="2"/>
      <c r="G508" s="3"/>
      <c r="H508" s="3"/>
      <c r="I508" s="3"/>
      <c r="K508" s="3"/>
      <c r="L508" s="3"/>
      <c r="X508" s="4"/>
    </row>
    <row r="509" spans="2:37" x14ac:dyDescent="0.25">
      <c r="B509" s="1"/>
      <c r="E509" s="2"/>
      <c r="F509" s="3"/>
      <c r="G509" s="3"/>
      <c r="H509" s="3"/>
      <c r="I509" s="3"/>
      <c r="K509" s="3"/>
      <c r="L509" s="3"/>
      <c r="X509" s="4"/>
      <c r="AB509" s="3"/>
      <c r="AE509" s="3"/>
      <c r="AK509" s="5"/>
    </row>
    <row r="510" spans="2:37" x14ac:dyDescent="0.25">
      <c r="B510" s="3"/>
      <c r="E510" s="2"/>
      <c r="G510" s="3"/>
      <c r="H510" s="3"/>
      <c r="I510" s="3"/>
      <c r="K510" s="3"/>
      <c r="L510" s="3"/>
      <c r="X510" s="4"/>
      <c r="Z510" s="3"/>
      <c r="AE510" s="3"/>
      <c r="AK510" s="5"/>
    </row>
    <row r="511" spans="2:37" x14ac:dyDescent="0.25">
      <c r="B511" s="1"/>
      <c r="E511" s="2"/>
      <c r="G511" s="3"/>
      <c r="H511" s="3"/>
      <c r="I511" s="3"/>
      <c r="K511" s="3"/>
      <c r="L511" s="3"/>
      <c r="X511" s="4"/>
      <c r="AK511" s="5"/>
    </row>
    <row r="512" spans="2:37" x14ac:dyDescent="0.25">
      <c r="B512" s="3"/>
      <c r="E512" s="2"/>
      <c r="G512" s="3"/>
      <c r="H512" s="3"/>
      <c r="I512" s="3"/>
      <c r="K512" s="3"/>
      <c r="L512" s="3"/>
      <c r="X512" s="4"/>
      <c r="AK512" s="5"/>
    </row>
    <row r="513" spans="2:37" x14ac:dyDescent="0.25">
      <c r="B513" s="1"/>
      <c r="E513" s="2"/>
      <c r="G513" s="3"/>
      <c r="H513" s="3"/>
      <c r="I513" s="3"/>
      <c r="K513" s="3"/>
      <c r="L513" s="3"/>
      <c r="X513" s="4"/>
      <c r="AB513" s="3"/>
      <c r="AE513" s="3"/>
      <c r="AK513" s="5"/>
    </row>
    <row r="514" spans="2:37" x14ac:dyDescent="0.25">
      <c r="B514" s="1"/>
      <c r="E514" s="2"/>
      <c r="G514" s="3"/>
      <c r="H514" s="3"/>
      <c r="I514" s="3"/>
      <c r="K514" s="3"/>
      <c r="L514" s="3"/>
      <c r="X514" s="4"/>
      <c r="AK514" s="5"/>
    </row>
    <row r="515" spans="2:37" x14ac:dyDescent="0.25">
      <c r="B515" s="3"/>
      <c r="E515" s="2"/>
      <c r="G515" s="3"/>
      <c r="H515" s="3"/>
      <c r="I515" s="3"/>
      <c r="K515" s="3"/>
      <c r="L515" s="3"/>
      <c r="X515" s="4"/>
      <c r="AB515" s="3"/>
      <c r="AE515" s="3"/>
      <c r="AK515" s="5"/>
    </row>
    <row r="516" spans="2:37" x14ac:dyDescent="0.25">
      <c r="B516" s="1"/>
      <c r="E516" s="2"/>
      <c r="G516" s="3"/>
      <c r="H516" s="3"/>
      <c r="I516" s="3"/>
      <c r="K516" s="3"/>
      <c r="L516" s="3"/>
      <c r="X516" s="4"/>
      <c r="AB516" s="3"/>
      <c r="AE516" s="3"/>
      <c r="AK516" s="5"/>
    </row>
    <row r="517" spans="2:37" x14ac:dyDescent="0.25">
      <c r="B517" s="3"/>
      <c r="E517" s="2"/>
      <c r="G517" s="3"/>
      <c r="H517" s="3"/>
      <c r="I517" s="3"/>
      <c r="K517" s="3"/>
      <c r="L517" s="3"/>
      <c r="X517" s="4"/>
      <c r="AB517" s="3"/>
      <c r="AE517" s="3"/>
      <c r="AK517" s="5"/>
    </row>
    <row r="518" spans="2:37" x14ac:dyDescent="0.25">
      <c r="B518" s="1"/>
      <c r="D518" s="3"/>
      <c r="E518" s="2"/>
      <c r="G518" s="3"/>
      <c r="H518" s="3"/>
      <c r="I518" s="3"/>
      <c r="K518" s="3"/>
      <c r="L518" s="3"/>
      <c r="X518" s="4"/>
      <c r="Z518" s="3"/>
      <c r="AE518" s="3"/>
      <c r="AK518" s="5"/>
    </row>
    <row r="519" spans="2:37" x14ac:dyDescent="0.25">
      <c r="B519" s="1"/>
      <c r="D519" s="3"/>
      <c r="E519" s="2"/>
      <c r="G519" s="3"/>
      <c r="H519" s="3"/>
      <c r="I519" s="3"/>
      <c r="K519" s="3"/>
      <c r="L519" s="3"/>
      <c r="X519" s="4"/>
    </row>
    <row r="520" spans="2:37" x14ac:dyDescent="0.25">
      <c r="B520" s="3"/>
      <c r="E520" s="2"/>
      <c r="G520" s="3"/>
      <c r="X520" s="4"/>
    </row>
    <row r="521" spans="2:37" x14ac:dyDescent="0.25">
      <c r="B521" s="1"/>
      <c r="E521" s="2"/>
      <c r="G521" s="3"/>
      <c r="H521" s="3"/>
      <c r="I521" s="3"/>
      <c r="K521" s="3"/>
      <c r="L521" s="3"/>
      <c r="X521" s="4"/>
      <c r="AE521" s="3"/>
      <c r="AK521" s="5"/>
    </row>
    <row r="522" spans="2:37" x14ac:dyDescent="0.25">
      <c r="B522" s="1"/>
      <c r="E522" s="2"/>
      <c r="G522" s="3"/>
      <c r="H522" s="3"/>
      <c r="I522" s="3"/>
      <c r="K522" s="3"/>
      <c r="L522" s="3"/>
      <c r="X522" s="4"/>
      <c r="Z522" s="3"/>
      <c r="AD522" s="3"/>
      <c r="AE522" s="3"/>
      <c r="AK522" s="5"/>
    </row>
    <row r="523" spans="2:37" x14ac:dyDescent="0.25">
      <c r="B523" s="1"/>
      <c r="E523" s="2"/>
      <c r="H523" s="3"/>
      <c r="I523" s="3"/>
      <c r="K523" s="3"/>
      <c r="L523" s="3"/>
      <c r="X523" s="4"/>
      <c r="Z523" s="3"/>
      <c r="AE523" s="3"/>
      <c r="AK523" s="5"/>
    </row>
    <row r="524" spans="2:37" x14ac:dyDescent="0.25">
      <c r="B524" s="1"/>
      <c r="E524" s="2"/>
      <c r="H524" s="3"/>
      <c r="I524" s="3"/>
      <c r="K524" s="3"/>
      <c r="L524" s="3"/>
      <c r="X524" s="4"/>
      <c r="Z524" s="3"/>
      <c r="AE524" s="3"/>
      <c r="AK524" s="5"/>
    </row>
    <row r="525" spans="2:37" x14ac:dyDescent="0.25">
      <c r="B525" s="1"/>
      <c r="E525" s="2"/>
      <c r="H525" s="3"/>
      <c r="I525" s="3"/>
      <c r="K525" s="3"/>
      <c r="L525" s="3"/>
      <c r="X525" s="4"/>
    </row>
    <row r="526" spans="2:37" x14ac:dyDescent="0.25">
      <c r="B526" s="1"/>
      <c r="D526" s="3"/>
      <c r="E526" s="2"/>
      <c r="F526" s="3"/>
      <c r="G526" s="3"/>
      <c r="X526" s="4"/>
    </row>
    <row r="527" spans="2:37" x14ac:dyDescent="0.25">
      <c r="B527" s="1"/>
      <c r="E527" s="2"/>
      <c r="H527" s="3"/>
      <c r="I527" s="3"/>
      <c r="K527" s="3"/>
      <c r="L527" s="3"/>
      <c r="X527" s="4"/>
    </row>
    <row r="528" spans="2:37" x14ac:dyDescent="0.25">
      <c r="B528" s="1"/>
      <c r="D528" s="3"/>
      <c r="E528" s="2"/>
      <c r="F528" s="3"/>
      <c r="G528" s="3"/>
      <c r="H528" s="3"/>
      <c r="I528" s="3"/>
      <c r="K528" s="3"/>
      <c r="X528" s="4"/>
    </row>
    <row r="529" spans="2:37" x14ac:dyDescent="0.25">
      <c r="B529" s="1"/>
      <c r="E529" s="2"/>
      <c r="G529" s="3"/>
      <c r="H529" s="3"/>
      <c r="I529" s="3"/>
      <c r="K529" s="3"/>
      <c r="L529" s="3"/>
      <c r="X529" s="4"/>
    </row>
    <row r="530" spans="2:37" x14ac:dyDescent="0.25">
      <c r="B530" s="1"/>
      <c r="E530" s="2"/>
      <c r="G530" s="3"/>
      <c r="H530" s="3"/>
      <c r="I530" s="3"/>
      <c r="K530" s="3"/>
      <c r="X530" s="4"/>
    </row>
    <row r="531" spans="2:37" x14ac:dyDescent="0.25">
      <c r="B531" s="1"/>
      <c r="E531" s="2"/>
      <c r="G531" s="3"/>
      <c r="H531" s="3"/>
      <c r="I531" s="3"/>
      <c r="K531" s="3"/>
      <c r="L531" s="3"/>
      <c r="X531" s="4"/>
    </row>
    <row r="532" spans="2:37" x14ac:dyDescent="0.25">
      <c r="B532" s="1"/>
      <c r="E532" s="2"/>
      <c r="F532" s="3"/>
      <c r="G532" s="3"/>
      <c r="H532" s="3"/>
      <c r="I532" s="3"/>
      <c r="K532" s="3"/>
      <c r="L532" s="3"/>
      <c r="X532" s="4"/>
    </row>
    <row r="533" spans="2:37" x14ac:dyDescent="0.25">
      <c r="B533" s="1"/>
      <c r="E533" s="2"/>
      <c r="F533" s="3"/>
      <c r="G533" s="3"/>
      <c r="H533" s="3"/>
      <c r="I533" s="3"/>
      <c r="K533" s="3"/>
      <c r="L533" s="3"/>
      <c r="X533" s="4"/>
      <c r="AK533" s="5"/>
    </row>
    <row r="534" spans="2:37" x14ac:dyDescent="0.25">
      <c r="B534" s="1"/>
      <c r="E534" s="2"/>
      <c r="F534" s="3"/>
      <c r="H534" s="3"/>
      <c r="I534" s="3"/>
      <c r="K534" s="3"/>
      <c r="L534" s="3"/>
      <c r="X534" s="4"/>
      <c r="Z534" s="3"/>
      <c r="AE534" s="3"/>
      <c r="AK534" s="5"/>
    </row>
    <row r="535" spans="2:37" x14ac:dyDescent="0.25">
      <c r="B535" s="1"/>
      <c r="E535" s="2"/>
      <c r="G535" s="3"/>
      <c r="H535" s="3"/>
      <c r="I535" s="3"/>
      <c r="K535" s="3"/>
      <c r="L535" s="3"/>
      <c r="X535" s="4"/>
      <c r="AB535" s="3"/>
      <c r="AD535" s="3"/>
      <c r="AE535" s="3"/>
      <c r="AK535" s="5"/>
    </row>
    <row r="536" spans="2:37" x14ac:dyDescent="0.25">
      <c r="B536" s="1"/>
      <c r="E536" s="2"/>
      <c r="H536" s="3"/>
      <c r="I536" s="3"/>
      <c r="K536" s="3"/>
      <c r="L536" s="3"/>
      <c r="X536" s="4"/>
      <c r="AB536" s="3"/>
      <c r="AE536" s="3"/>
      <c r="AK536" s="5"/>
    </row>
    <row r="537" spans="2:37" x14ac:dyDescent="0.25">
      <c r="B537" s="1"/>
      <c r="E537" s="2"/>
      <c r="G537" s="3"/>
      <c r="H537" s="3"/>
      <c r="I537" s="3"/>
      <c r="K537" s="3"/>
      <c r="L537" s="3"/>
      <c r="X537" s="4"/>
      <c r="AK537" s="5"/>
    </row>
    <row r="538" spans="2:37" x14ac:dyDescent="0.25">
      <c r="B538" s="1"/>
      <c r="E538" s="2"/>
      <c r="G538" s="3"/>
      <c r="H538" s="3"/>
      <c r="I538" s="3"/>
      <c r="K538" s="3"/>
      <c r="L538" s="3"/>
      <c r="X538" s="4"/>
      <c r="AB538" s="3"/>
      <c r="AE538" s="3"/>
      <c r="AK538" s="5"/>
    </row>
    <row r="539" spans="2:37" x14ac:dyDescent="0.25">
      <c r="B539" s="1"/>
      <c r="E539" s="2"/>
      <c r="G539" s="3"/>
      <c r="H539" s="3"/>
      <c r="I539" s="3"/>
      <c r="K539" s="3"/>
      <c r="L539" s="3"/>
      <c r="X539" s="4"/>
      <c r="AB539" s="3"/>
      <c r="AE539" s="3"/>
      <c r="AK539" s="5"/>
    </row>
    <row r="540" spans="2:37" x14ac:dyDescent="0.25">
      <c r="B540" s="1"/>
      <c r="E540" s="2"/>
      <c r="G540" s="3"/>
      <c r="H540" s="3"/>
      <c r="I540" s="3"/>
      <c r="K540" s="3"/>
      <c r="L540" s="3"/>
      <c r="X540" s="4"/>
      <c r="Z540" s="3"/>
      <c r="AE540" s="3"/>
      <c r="AK540" s="5"/>
    </row>
    <row r="541" spans="2:37" x14ac:dyDescent="0.25">
      <c r="B541" s="1"/>
      <c r="E541" s="2"/>
      <c r="F541" s="3"/>
      <c r="G541" s="3"/>
      <c r="H541" s="3"/>
      <c r="I541" s="3"/>
      <c r="K541" s="3"/>
      <c r="L541" s="3"/>
      <c r="X541" s="4"/>
      <c r="Z541" s="3"/>
      <c r="AB541" s="3"/>
      <c r="AE541" s="3"/>
      <c r="AK541" s="5"/>
    </row>
    <row r="542" spans="2:37" x14ac:dyDescent="0.25">
      <c r="B542" s="1"/>
      <c r="E542" s="2"/>
      <c r="G542" s="3"/>
      <c r="H542" s="3"/>
      <c r="I542" s="3"/>
      <c r="K542" s="3"/>
      <c r="L542" s="3"/>
      <c r="X542" s="4"/>
      <c r="AK542" s="5"/>
    </row>
    <row r="543" spans="2:37" x14ac:dyDescent="0.25">
      <c r="B543" s="1"/>
      <c r="E543" s="2"/>
      <c r="F543" s="3"/>
      <c r="G543" s="3"/>
      <c r="H543" s="3"/>
      <c r="I543" s="3"/>
      <c r="K543" s="3"/>
      <c r="L543" s="3"/>
      <c r="X543" s="4"/>
      <c r="Z543" s="3"/>
      <c r="AE543" s="3"/>
      <c r="AK543" s="5"/>
    </row>
    <row r="544" spans="2:37" x14ac:dyDescent="0.25">
      <c r="B544" s="1"/>
      <c r="E544" s="2"/>
      <c r="H544" s="3"/>
      <c r="I544" s="3"/>
      <c r="K544" s="3"/>
      <c r="L544" s="3"/>
      <c r="X544" s="4"/>
      <c r="Z544" s="3"/>
      <c r="AB544" s="3"/>
      <c r="AE544" s="3"/>
      <c r="AK544" s="5"/>
    </row>
    <row r="545" spans="2:37" x14ac:dyDescent="0.25">
      <c r="B545" s="1"/>
      <c r="E545" s="2"/>
      <c r="F545" s="3"/>
      <c r="G545" s="3"/>
      <c r="H545" s="3"/>
      <c r="I545" s="3"/>
      <c r="K545" s="3"/>
      <c r="X545" s="4"/>
      <c r="AE545" s="3"/>
      <c r="AK545" s="5"/>
    </row>
    <row r="546" spans="2:37" x14ac:dyDescent="0.25">
      <c r="B546" s="1"/>
      <c r="E546" s="2"/>
      <c r="H546" s="3"/>
      <c r="I546" s="3"/>
      <c r="K546" s="3"/>
      <c r="L546" s="3"/>
      <c r="X546" s="4"/>
      <c r="AD546" s="3"/>
      <c r="AE546" s="3"/>
      <c r="AK546" s="5"/>
    </row>
    <row r="547" spans="2:37" x14ac:dyDescent="0.25">
      <c r="B547" s="1"/>
      <c r="E547" s="2"/>
      <c r="F547" s="3"/>
      <c r="G547" s="3"/>
      <c r="H547" s="3"/>
      <c r="I547" s="3"/>
      <c r="K547" s="3"/>
      <c r="L547" s="3"/>
      <c r="X547" s="4"/>
      <c r="AB547" s="3"/>
      <c r="AK547" s="5"/>
    </row>
    <row r="548" spans="2:37" x14ac:dyDescent="0.25">
      <c r="B548" s="1"/>
      <c r="E548" s="2"/>
      <c r="G548" s="3"/>
      <c r="H548" s="3"/>
      <c r="I548" s="3"/>
      <c r="K548" s="3"/>
      <c r="L548" s="3"/>
      <c r="X548" s="4"/>
      <c r="AD548" s="3"/>
      <c r="AE548" s="3"/>
      <c r="AK548" s="5"/>
    </row>
    <row r="549" spans="2:37" x14ac:dyDescent="0.25">
      <c r="B549" s="1"/>
      <c r="E549" s="2"/>
      <c r="F549" s="3"/>
      <c r="G549" s="3"/>
      <c r="H549" s="3"/>
      <c r="I549" s="3"/>
      <c r="K549" s="3"/>
      <c r="L549" s="3"/>
      <c r="X549" s="4"/>
      <c r="AE549" s="3"/>
      <c r="AK549" s="5"/>
    </row>
    <row r="550" spans="2:37" x14ac:dyDescent="0.25">
      <c r="B550" s="3"/>
      <c r="E550" s="2"/>
      <c r="G550" s="3"/>
      <c r="H550" s="3"/>
      <c r="I550" s="3"/>
      <c r="K550" s="3"/>
      <c r="L550" s="3"/>
      <c r="X550" s="4"/>
    </row>
    <row r="551" spans="2:37" x14ac:dyDescent="0.25">
      <c r="B551" s="1"/>
      <c r="E551" s="2"/>
      <c r="F551" s="3"/>
      <c r="G551" s="3"/>
      <c r="H551" s="3"/>
      <c r="I551" s="3"/>
      <c r="K551" s="3"/>
      <c r="L551" s="3"/>
      <c r="X551" s="4"/>
      <c r="AD551" s="3"/>
      <c r="AE551" s="3"/>
      <c r="AK551" s="5"/>
    </row>
    <row r="552" spans="2:37" x14ac:dyDescent="0.25">
      <c r="B552" s="1"/>
      <c r="E552" s="2"/>
      <c r="H552" s="3"/>
      <c r="I552" s="3"/>
      <c r="K552" s="3"/>
      <c r="L552" s="3"/>
      <c r="X552" s="4"/>
      <c r="AD552" s="3"/>
      <c r="AE552" s="3"/>
      <c r="AK552" s="5"/>
    </row>
    <row r="553" spans="2:37" x14ac:dyDescent="0.25">
      <c r="B553" s="1"/>
      <c r="E553" s="2"/>
      <c r="F553" s="3"/>
      <c r="G553" s="3"/>
      <c r="H553" s="3"/>
      <c r="I553" s="3"/>
      <c r="K553" s="3"/>
    </row>
    <row r="554" spans="2:37" x14ac:dyDescent="0.25">
      <c r="B554" s="1"/>
      <c r="E554" s="2"/>
      <c r="G554" s="3"/>
      <c r="H554" s="3"/>
      <c r="I554" s="3"/>
      <c r="K554" s="3"/>
      <c r="L554" s="3"/>
      <c r="X554" s="4"/>
    </row>
    <row r="555" spans="2:37" x14ac:dyDescent="0.25">
      <c r="B555" s="3"/>
      <c r="E555" s="2"/>
      <c r="F555" s="3"/>
      <c r="G555" s="3"/>
      <c r="H555" s="3"/>
      <c r="I555" s="3"/>
      <c r="K555" s="3"/>
      <c r="L555" s="3"/>
      <c r="X555" s="4"/>
      <c r="Z555" s="3"/>
      <c r="AE555" s="3"/>
      <c r="AK555" s="5"/>
    </row>
    <row r="556" spans="2:37" x14ac:dyDescent="0.25">
      <c r="B556" s="1"/>
      <c r="E556" s="2"/>
      <c r="H556" s="3"/>
      <c r="I556" s="3"/>
      <c r="K556" s="3"/>
      <c r="L556" s="3"/>
      <c r="X556" s="4"/>
      <c r="AB556" s="3"/>
      <c r="AK556" s="5"/>
    </row>
    <row r="557" spans="2:37" x14ac:dyDescent="0.25">
      <c r="B557" s="1"/>
      <c r="E557" s="2"/>
      <c r="F557" s="3"/>
      <c r="G557" s="3"/>
      <c r="H557" s="3"/>
      <c r="I557" s="3"/>
      <c r="K557" s="3"/>
      <c r="L557" s="3"/>
      <c r="X557" s="4"/>
      <c r="AB557" s="3"/>
      <c r="AK557" s="5"/>
    </row>
    <row r="558" spans="2:37" x14ac:dyDescent="0.25">
      <c r="B558" s="1"/>
      <c r="E558" s="2"/>
      <c r="H558" s="3"/>
      <c r="I558" s="3"/>
      <c r="K558" s="3"/>
      <c r="L558" s="3"/>
      <c r="X558" s="4"/>
      <c r="AB558" s="3"/>
      <c r="AK558" s="5"/>
    </row>
    <row r="559" spans="2:37" x14ac:dyDescent="0.25">
      <c r="B559" s="1"/>
      <c r="E559" s="2"/>
      <c r="G559" s="3"/>
      <c r="H559" s="3"/>
      <c r="I559" s="3"/>
      <c r="K559" s="3"/>
      <c r="L559" s="3"/>
      <c r="X559" s="4"/>
      <c r="AB559" s="3"/>
      <c r="AK559" s="5"/>
    </row>
    <row r="560" spans="2:37" x14ac:dyDescent="0.25">
      <c r="B560" s="1"/>
      <c r="E560" s="2"/>
      <c r="H560" s="3"/>
      <c r="I560" s="3"/>
      <c r="K560" s="3"/>
      <c r="L560" s="3"/>
      <c r="X560" s="4"/>
    </row>
    <row r="561" spans="2:37" x14ac:dyDescent="0.25">
      <c r="B561" s="3"/>
      <c r="G561" s="3"/>
    </row>
    <row r="562" spans="2:37" x14ac:dyDescent="0.25">
      <c r="B562" s="1"/>
      <c r="E562" s="2"/>
      <c r="H562" s="3"/>
      <c r="I562" s="3"/>
      <c r="K562" s="3"/>
      <c r="L562" s="3"/>
      <c r="X562" s="4"/>
      <c r="AB562" s="3"/>
      <c r="AE562" s="3"/>
      <c r="AK562" s="5"/>
    </row>
    <row r="563" spans="2:37" x14ac:dyDescent="0.25">
      <c r="B563" s="1"/>
      <c r="E563" s="2"/>
      <c r="H563" s="3"/>
      <c r="I563" s="3"/>
      <c r="K563" s="3"/>
      <c r="X563" s="4"/>
    </row>
    <row r="564" spans="2:37" x14ac:dyDescent="0.25">
      <c r="B564" s="1"/>
      <c r="E564" s="2"/>
      <c r="H564" s="3"/>
      <c r="I564" s="3"/>
      <c r="K564" s="3"/>
      <c r="X564" s="4"/>
    </row>
    <row r="565" spans="2:37" x14ac:dyDescent="0.25">
      <c r="B565" s="1"/>
      <c r="E565" s="2"/>
      <c r="H565" s="3"/>
      <c r="I565" s="3"/>
      <c r="K565" s="3"/>
      <c r="X565" s="4"/>
      <c r="AE565" s="3"/>
      <c r="AK565" s="5"/>
    </row>
    <row r="566" spans="2:37" x14ac:dyDescent="0.25">
      <c r="B566" s="1"/>
      <c r="E566" s="2"/>
      <c r="H566" s="3"/>
      <c r="I566" s="3"/>
      <c r="K566" s="3"/>
      <c r="L566" s="3"/>
      <c r="X566" s="4"/>
    </row>
    <row r="567" spans="2:37" x14ac:dyDescent="0.25">
      <c r="F567" s="3"/>
      <c r="G567" s="3"/>
    </row>
    <row r="568" spans="2:37" x14ac:dyDescent="0.25">
      <c r="B568" s="1"/>
      <c r="E568" s="2"/>
      <c r="H568" s="3"/>
      <c r="I568" s="3"/>
      <c r="K568" s="3"/>
      <c r="L568" s="3"/>
      <c r="X568" s="4"/>
    </row>
    <row r="569" spans="2:37" x14ac:dyDescent="0.25">
      <c r="B569" s="3"/>
      <c r="D569" s="3"/>
      <c r="F569" s="3"/>
      <c r="G569" s="3"/>
    </row>
    <row r="570" spans="2:37" x14ac:dyDescent="0.25">
      <c r="B570" s="1"/>
      <c r="E570" s="2"/>
      <c r="H570" s="3"/>
      <c r="I570" s="3"/>
      <c r="K570" s="3"/>
      <c r="L570" s="3"/>
      <c r="X570" s="4"/>
      <c r="AD570" s="3"/>
      <c r="AE570" s="3"/>
      <c r="AK570" s="5"/>
    </row>
    <row r="571" spans="2:37" x14ac:dyDescent="0.25">
      <c r="B571" s="3"/>
      <c r="E571" s="2"/>
      <c r="G571" s="3"/>
      <c r="X571" s="4"/>
    </row>
    <row r="572" spans="2:37" x14ac:dyDescent="0.25">
      <c r="B572" s="1"/>
      <c r="E572" s="2"/>
      <c r="H572" s="3"/>
      <c r="I572" s="3"/>
      <c r="K572" s="3"/>
      <c r="L572" s="3"/>
      <c r="X572" s="4"/>
      <c r="Z572" s="3"/>
      <c r="AB572" s="3"/>
      <c r="AE572" s="3"/>
      <c r="AK572" s="5"/>
    </row>
    <row r="573" spans="2:37" x14ac:dyDescent="0.25">
      <c r="B573" s="1"/>
      <c r="E573" s="2"/>
      <c r="H573" s="3"/>
      <c r="I573" s="3"/>
      <c r="K573" s="3"/>
      <c r="L573" s="3"/>
      <c r="X573" s="4"/>
      <c r="Z573" s="3"/>
      <c r="AE573" s="3"/>
      <c r="AK573" s="5"/>
    </row>
    <row r="574" spans="2:37" x14ac:dyDescent="0.25">
      <c r="B574" s="1"/>
      <c r="E574" s="2"/>
      <c r="G574" s="3"/>
      <c r="H574" s="3"/>
      <c r="I574" s="3"/>
      <c r="K574" s="3"/>
      <c r="X574" s="4"/>
      <c r="AK574" s="5"/>
    </row>
    <row r="575" spans="2:37" x14ac:dyDescent="0.25">
      <c r="B575" s="1"/>
      <c r="E575" s="2"/>
      <c r="H575" s="3"/>
      <c r="I575" s="3"/>
      <c r="K575" s="3"/>
      <c r="L575" s="3"/>
      <c r="X575" s="4"/>
      <c r="Z575" s="3"/>
      <c r="AE575" s="3"/>
      <c r="AK575" s="5"/>
    </row>
    <row r="576" spans="2:37" x14ac:dyDescent="0.25">
      <c r="B576" s="3"/>
      <c r="D576" s="3"/>
      <c r="E576" s="2"/>
      <c r="G576" s="3"/>
      <c r="H576" s="3"/>
      <c r="I576" s="3"/>
      <c r="K576" s="3"/>
      <c r="L576" s="3"/>
      <c r="X576" s="4"/>
    </row>
    <row r="577" spans="2:37" x14ac:dyDescent="0.25">
      <c r="B577" s="1"/>
      <c r="E577" s="2"/>
      <c r="G577" s="3"/>
      <c r="H577" s="3"/>
      <c r="I577" s="3"/>
      <c r="K577" s="3"/>
      <c r="L577" s="3"/>
      <c r="X577" s="4"/>
      <c r="Z577" s="3"/>
      <c r="AK577" s="5"/>
    </row>
    <row r="578" spans="2:37" x14ac:dyDescent="0.25">
      <c r="B578" s="1"/>
      <c r="E578" s="2"/>
      <c r="H578" s="3"/>
      <c r="I578" s="3"/>
      <c r="K578" s="3"/>
      <c r="L578" s="3"/>
      <c r="X578" s="4"/>
      <c r="AK578" s="5"/>
    </row>
    <row r="579" spans="2:37" x14ac:dyDescent="0.25">
      <c r="B579" s="1"/>
      <c r="E579" s="2"/>
      <c r="G579" s="3"/>
      <c r="H579" s="3"/>
      <c r="I579" s="3"/>
      <c r="K579" s="3"/>
      <c r="L579" s="3"/>
      <c r="X579" s="4"/>
    </row>
    <row r="580" spans="2:37" x14ac:dyDescent="0.25">
      <c r="B580" s="3"/>
      <c r="E580" s="2"/>
      <c r="G580" s="3"/>
      <c r="H580" s="3"/>
      <c r="I580" s="3"/>
      <c r="K580" s="3"/>
      <c r="L580" s="3"/>
      <c r="X580" s="4"/>
      <c r="AE580" s="3"/>
      <c r="AK580" s="5"/>
    </row>
    <row r="581" spans="2:37" x14ac:dyDescent="0.25">
      <c r="B581" s="1"/>
      <c r="E581" s="2"/>
      <c r="G581" s="3"/>
      <c r="H581" s="3"/>
      <c r="I581" s="3"/>
      <c r="K581" s="3"/>
      <c r="X581" s="4"/>
      <c r="AK581" s="5"/>
    </row>
    <row r="582" spans="2:37" x14ac:dyDescent="0.25">
      <c r="B582" s="1"/>
      <c r="E582" s="2"/>
      <c r="H582" s="3"/>
      <c r="I582" s="3"/>
      <c r="K582" s="3"/>
      <c r="L582" s="3"/>
      <c r="X582" s="4"/>
      <c r="AD582" s="3"/>
      <c r="AE582" s="3"/>
      <c r="AK582" s="5"/>
    </row>
    <row r="583" spans="2:37" x14ac:dyDescent="0.25">
      <c r="B583" s="1"/>
      <c r="E583" s="2"/>
      <c r="G583" s="3"/>
      <c r="H583" s="3"/>
      <c r="I583" s="3"/>
      <c r="K583" s="3"/>
      <c r="L583" s="3"/>
      <c r="X583" s="4"/>
      <c r="Z583" s="3"/>
      <c r="AE583" s="3"/>
      <c r="AK583" s="5"/>
    </row>
    <row r="584" spans="2:37" x14ac:dyDescent="0.25">
      <c r="B584" s="1"/>
      <c r="E584" s="2"/>
      <c r="G584" s="3"/>
      <c r="H584" s="3"/>
      <c r="I584" s="3"/>
      <c r="K584" s="3"/>
      <c r="L584" s="3"/>
      <c r="X584" s="4"/>
    </row>
    <row r="585" spans="2:37" x14ac:dyDescent="0.25">
      <c r="B585" s="1"/>
      <c r="E585" s="2"/>
      <c r="G585" s="3"/>
      <c r="H585" s="3"/>
      <c r="I585" s="3"/>
      <c r="K585" s="3"/>
      <c r="L585" s="3"/>
      <c r="X585" s="4"/>
      <c r="AB585" s="3"/>
      <c r="AK585" s="5"/>
    </row>
    <row r="586" spans="2:37" x14ac:dyDescent="0.25">
      <c r="B586" s="1"/>
      <c r="E586" s="2"/>
      <c r="H586" s="3"/>
      <c r="I586" s="3"/>
      <c r="K586" s="3"/>
      <c r="L586" s="3"/>
      <c r="X586" s="4"/>
    </row>
    <row r="587" spans="2:37" x14ac:dyDescent="0.25">
      <c r="B587" s="3"/>
      <c r="D587" s="3"/>
      <c r="G587" s="3"/>
    </row>
    <row r="588" spans="2:37" x14ac:dyDescent="0.25">
      <c r="B588" s="1"/>
      <c r="E588" s="2"/>
      <c r="H588" s="3"/>
      <c r="I588" s="3"/>
      <c r="K588" s="3"/>
      <c r="L588" s="3"/>
      <c r="X588" s="4"/>
      <c r="AE588" s="3"/>
      <c r="AK588" s="5"/>
    </row>
    <row r="589" spans="2:37" x14ac:dyDescent="0.25">
      <c r="B589" s="3"/>
      <c r="E589" s="2"/>
      <c r="G589" s="3"/>
      <c r="H589" s="3"/>
      <c r="I589" s="3"/>
      <c r="K589" s="3"/>
      <c r="L589" s="3"/>
      <c r="X589" s="4"/>
      <c r="Z589" s="3"/>
      <c r="AB589" s="3"/>
      <c r="AE589" s="3"/>
      <c r="AK589" s="5"/>
    </row>
    <row r="590" spans="2:37" x14ac:dyDescent="0.25">
      <c r="B590" s="1"/>
      <c r="E590" s="2"/>
      <c r="H590" s="3"/>
      <c r="I590" s="3"/>
      <c r="K590" s="3"/>
      <c r="L590" s="3"/>
      <c r="X590" s="4"/>
      <c r="AD590" s="3"/>
      <c r="AE590" s="3"/>
      <c r="AK590" s="5"/>
    </row>
    <row r="591" spans="2:37" x14ac:dyDescent="0.25">
      <c r="B591" s="1"/>
      <c r="E591" s="2"/>
      <c r="G591" s="3"/>
      <c r="H591" s="3"/>
      <c r="I591" s="3"/>
      <c r="K591" s="3"/>
      <c r="X591" s="4"/>
      <c r="AE591" s="3"/>
      <c r="AK591" s="5"/>
    </row>
    <row r="592" spans="2:37" x14ac:dyDescent="0.25">
      <c r="B592" s="1"/>
      <c r="E592" s="2"/>
      <c r="F592" s="3"/>
      <c r="G592" s="3"/>
      <c r="H592" s="3"/>
      <c r="I592" s="3"/>
      <c r="K592" s="3"/>
      <c r="L592" s="3"/>
      <c r="X592" s="4"/>
      <c r="AD592" s="3"/>
      <c r="AE592" s="3"/>
      <c r="AK592" s="5"/>
    </row>
    <row r="593" spans="2:37" x14ac:dyDescent="0.25">
      <c r="B593" s="1"/>
      <c r="E593" s="2"/>
      <c r="G593" s="3"/>
      <c r="H593" s="3"/>
      <c r="I593" s="3"/>
      <c r="K593" s="3"/>
      <c r="X593" s="4"/>
      <c r="AK593" s="5"/>
    </row>
    <row r="594" spans="2:37" x14ac:dyDescent="0.25">
      <c r="B594" s="1"/>
      <c r="E594" s="2"/>
      <c r="H594" s="3"/>
      <c r="I594" s="3"/>
      <c r="K594" s="3"/>
      <c r="L594" s="3"/>
      <c r="X594" s="4"/>
      <c r="AD594" s="3"/>
      <c r="AE594" s="3"/>
      <c r="AK594" s="5"/>
    </row>
    <row r="595" spans="2:37" x14ac:dyDescent="0.25">
      <c r="B595" s="1"/>
      <c r="E595" s="2"/>
      <c r="G595" s="3"/>
      <c r="H595" s="3"/>
      <c r="I595" s="3"/>
      <c r="K595" s="3"/>
      <c r="L595" s="3"/>
      <c r="X595" s="4"/>
      <c r="Z595" s="3"/>
      <c r="AE595" s="3"/>
      <c r="AK595" s="5"/>
    </row>
    <row r="596" spans="2:37" x14ac:dyDescent="0.25">
      <c r="B596" s="1"/>
      <c r="D596" s="3"/>
      <c r="E596" s="2"/>
      <c r="H596" s="3"/>
      <c r="I596" s="3"/>
      <c r="K596" s="3"/>
      <c r="X596" s="4"/>
    </row>
    <row r="597" spans="2:37" x14ac:dyDescent="0.25">
      <c r="B597" s="1"/>
      <c r="E597" s="2"/>
      <c r="G597" s="3"/>
      <c r="H597" s="3"/>
      <c r="I597" s="3"/>
      <c r="K597" s="3"/>
      <c r="X597" s="4"/>
    </row>
    <row r="598" spans="2:37" x14ac:dyDescent="0.25">
      <c r="B598" s="1"/>
      <c r="E598" s="2"/>
      <c r="H598" s="3"/>
      <c r="I598" s="3"/>
      <c r="K598" s="3"/>
      <c r="X598" s="4"/>
    </row>
    <row r="599" spans="2:37" x14ac:dyDescent="0.25">
      <c r="B599" s="1"/>
      <c r="E599" s="2"/>
      <c r="H599" s="3"/>
      <c r="I599" s="3"/>
      <c r="K599" s="3"/>
      <c r="X599" s="4"/>
    </row>
    <row r="600" spans="2:37" x14ac:dyDescent="0.25">
      <c r="B600" s="1"/>
      <c r="E600" s="2"/>
      <c r="G600" s="3"/>
      <c r="H600" s="3"/>
      <c r="I600" s="3"/>
      <c r="K600" s="3"/>
      <c r="L600" s="3"/>
      <c r="X600" s="4"/>
      <c r="AD600" s="3"/>
      <c r="AE600" s="3"/>
      <c r="AK600" s="5"/>
    </row>
    <row r="601" spans="2:37" x14ac:dyDescent="0.25">
      <c r="B601" s="1"/>
      <c r="E601" s="2"/>
      <c r="G601" s="3"/>
      <c r="H601" s="3"/>
      <c r="I601" s="3"/>
      <c r="K601" s="3"/>
      <c r="X601" s="4"/>
    </row>
    <row r="602" spans="2:37" x14ac:dyDescent="0.25">
      <c r="B602" s="1"/>
      <c r="E602" s="2"/>
      <c r="G602" s="3"/>
      <c r="H602" s="3"/>
      <c r="I602" s="3"/>
      <c r="K602" s="3"/>
      <c r="L602" s="3"/>
      <c r="X602" s="4"/>
    </row>
    <row r="603" spans="2:37" x14ac:dyDescent="0.25">
      <c r="B603" s="1"/>
      <c r="E603" s="2"/>
      <c r="G603" s="3"/>
      <c r="H603" s="3"/>
      <c r="I603" s="3"/>
      <c r="K603" s="3"/>
      <c r="L603" s="3"/>
      <c r="X603" s="4"/>
      <c r="AD603" s="3"/>
      <c r="AE603" s="3"/>
      <c r="AK603" s="5"/>
    </row>
    <row r="604" spans="2:37" x14ac:dyDescent="0.25">
      <c r="B604" s="1"/>
      <c r="E604" s="2"/>
      <c r="G604" s="3"/>
      <c r="H604" s="3"/>
      <c r="I604" s="3"/>
      <c r="K604" s="3"/>
      <c r="L604" s="3"/>
      <c r="X604" s="4"/>
    </row>
    <row r="605" spans="2:37" x14ac:dyDescent="0.25">
      <c r="B605" s="3"/>
      <c r="E605" s="2"/>
      <c r="G605" s="3"/>
      <c r="H605" s="3"/>
      <c r="I605" s="3"/>
      <c r="K605" s="3"/>
    </row>
    <row r="606" spans="2:37" x14ac:dyDescent="0.25">
      <c r="B606" s="1"/>
      <c r="E606" s="2"/>
      <c r="H606" s="3"/>
      <c r="I606" s="3"/>
      <c r="K606" s="3"/>
      <c r="L606" s="3"/>
      <c r="X606" s="4"/>
      <c r="Z606" s="3"/>
      <c r="AE606" s="3"/>
      <c r="AK606" s="5"/>
    </row>
    <row r="607" spans="2:37" x14ac:dyDescent="0.25">
      <c r="B607" s="1"/>
      <c r="E607" s="2"/>
      <c r="H607" s="3"/>
      <c r="I607" s="3"/>
      <c r="K607" s="3"/>
      <c r="L607" s="3"/>
      <c r="X607" s="4"/>
      <c r="Z607" s="3"/>
      <c r="AE607" s="3"/>
      <c r="AK607" s="5"/>
    </row>
    <row r="608" spans="2:37" x14ac:dyDescent="0.25">
      <c r="B608" s="1"/>
      <c r="E608" s="2"/>
      <c r="H608" s="3"/>
      <c r="I608" s="3"/>
      <c r="K608" s="3"/>
      <c r="L608" s="3"/>
      <c r="X608" s="4"/>
      <c r="Z608" s="3"/>
      <c r="AB608" s="3"/>
      <c r="AE608" s="3"/>
      <c r="AK608" s="5"/>
    </row>
    <row r="609" spans="2:37" x14ac:dyDescent="0.25">
      <c r="B609" s="1"/>
      <c r="E609" s="2"/>
      <c r="H609" s="3"/>
      <c r="I609" s="3"/>
      <c r="K609" s="3"/>
      <c r="L609" s="3"/>
      <c r="X609" s="4"/>
      <c r="Z609" s="3"/>
      <c r="AE609" s="3"/>
      <c r="AK609" s="5"/>
    </row>
    <row r="610" spans="2:37" x14ac:dyDescent="0.25">
      <c r="B610" s="1"/>
      <c r="E610" s="2"/>
      <c r="H610" s="3"/>
      <c r="I610" s="3"/>
      <c r="K610" s="3"/>
      <c r="L610" s="3"/>
      <c r="X610" s="4"/>
      <c r="Z610" s="3"/>
      <c r="AE610" s="3"/>
      <c r="AK610" s="5"/>
    </row>
    <row r="611" spans="2:37" x14ac:dyDescent="0.25">
      <c r="B611" s="1"/>
      <c r="E611" s="2"/>
      <c r="H611" s="3"/>
      <c r="I611" s="3"/>
      <c r="K611" s="3"/>
      <c r="X611" s="4"/>
      <c r="AE611" s="3"/>
      <c r="AK611" s="5"/>
    </row>
    <row r="612" spans="2:37" x14ac:dyDescent="0.25">
      <c r="B612" s="1"/>
      <c r="E612" s="2"/>
      <c r="H612" s="3"/>
      <c r="I612" s="3"/>
      <c r="K612" s="3"/>
      <c r="L612" s="3"/>
      <c r="X612" s="4"/>
      <c r="AB612" s="3"/>
      <c r="AD612" s="3"/>
      <c r="AE612" s="3"/>
      <c r="AK612" s="5"/>
    </row>
    <row r="613" spans="2:37" x14ac:dyDescent="0.25">
      <c r="B613" s="1"/>
      <c r="D613" s="3"/>
      <c r="E613" s="2"/>
      <c r="G613" s="3"/>
      <c r="H613" s="3"/>
      <c r="I613" s="3"/>
      <c r="K613" s="3"/>
      <c r="L613" s="3"/>
      <c r="X613" s="4"/>
      <c r="AD613" s="3"/>
      <c r="AE613" s="3"/>
      <c r="AK613" s="5"/>
    </row>
    <row r="614" spans="2:37" x14ac:dyDescent="0.25">
      <c r="B614" s="1"/>
      <c r="E614" s="2"/>
      <c r="H614" s="3"/>
      <c r="I614" s="3"/>
      <c r="K614" s="3"/>
      <c r="L614" s="3"/>
      <c r="X614" s="4"/>
      <c r="Z614" s="3"/>
      <c r="AE614" s="3"/>
      <c r="AK614" s="5"/>
    </row>
    <row r="615" spans="2:37" x14ac:dyDescent="0.25">
      <c r="B615" s="1"/>
      <c r="D615" s="3"/>
      <c r="E615" s="2"/>
      <c r="G615" s="3"/>
      <c r="H615" s="3"/>
      <c r="I615" s="3"/>
      <c r="K615" s="3"/>
      <c r="X615" s="4"/>
    </row>
    <row r="616" spans="2:37" x14ac:dyDescent="0.25">
      <c r="B616" s="1"/>
      <c r="E616" s="2"/>
      <c r="H616" s="3"/>
      <c r="I616" s="3"/>
      <c r="K616" s="3"/>
      <c r="X616" s="4"/>
    </row>
    <row r="617" spans="2:37" x14ac:dyDescent="0.25">
      <c r="B617" s="1"/>
      <c r="E617" s="2"/>
      <c r="H617" s="3"/>
      <c r="I617" s="3"/>
      <c r="K617" s="3"/>
      <c r="X617" s="4"/>
    </row>
    <row r="618" spans="2:37" x14ac:dyDescent="0.25">
      <c r="B618" s="1"/>
      <c r="E618" s="2"/>
      <c r="H618" s="3"/>
      <c r="I618" s="3"/>
      <c r="K618" s="3"/>
      <c r="L618" s="3"/>
      <c r="X618" s="4"/>
    </row>
    <row r="619" spans="2:37" x14ac:dyDescent="0.25">
      <c r="B619" s="1"/>
      <c r="E619" s="2"/>
      <c r="G619" s="3"/>
      <c r="H619" s="3"/>
      <c r="I619" s="3"/>
      <c r="K619" s="3"/>
      <c r="X619" s="4"/>
    </row>
    <row r="620" spans="2:37" x14ac:dyDescent="0.25">
      <c r="B620" s="1"/>
      <c r="E620" s="2"/>
      <c r="H620" s="3"/>
      <c r="I620" s="3"/>
      <c r="K620" s="3"/>
      <c r="L620" s="3"/>
      <c r="X620" s="4"/>
    </row>
    <row r="621" spans="2:37" x14ac:dyDescent="0.25">
      <c r="B621" s="1"/>
      <c r="D621" s="3"/>
      <c r="E621" s="2"/>
      <c r="G621" s="3"/>
      <c r="H621" s="3"/>
      <c r="I621" s="3"/>
      <c r="K621" s="3"/>
      <c r="X621" s="4"/>
    </row>
    <row r="622" spans="2:37" x14ac:dyDescent="0.25">
      <c r="B622" s="1"/>
      <c r="E622" s="2"/>
      <c r="H622" s="3"/>
      <c r="I622" s="3"/>
      <c r="K622" s="3"/>
      <c r="X622" s="4"/>
    </row>
    <row r="623" spans="2:37" x14ac:dyDescent="0.25">
      <c r="B623" s="1"/>
      <c r="E623" s="2"/>
      <c r="H623" s="3"/>
      <c r="I623" s="3"/>
      <c r="K623" s="3"/>
      <c r="L623" s="3"/>
      <c r="X623" s="4"/>
      <c r="AD623" s="3"/>
      <c r="AK623" s="5"/>
    </row>
    <row r="624" spans="2:37" x14ac:dyDescent="0.25">
      <c r="B624" s="1"/>
      <c r="E624" s="2"/>
      <c r="H624" s="3"/>
      <c r="I624" s="3"/>
      <c r="K624" s="3"/>
      <c r="L624" s="3"/>
      <c r="X624" s="4"/>
      <c r="AB624" s="3"/>
      <c r="AD624" s="3"/>
      <c r="AE624" s="3"/>
      <c r="AK624" s="5"/>
    </row>
    <row r="625" spans="2:37" x14ac:dyDescent="0.25">
      <c r="B625" s="1"/>
      <c r="E625" s="2"/>
      <c r="G625" s="3"/>
      <c r="H625" s="3"/>
      <c r="I625" s="3"/>
      <c r="K625" s="3"/>
      <c r="L625" s="3"/>
      <c r="X625" s="4"/>
      <c r="Z625" s="3"/>
      <c r="AB625" s="3"/>
      <c r="AD625" s="3"/>
      <c r="AE625" s="3"/>
      <c r="AK625" s="5"/>
    </row>
    <row r="626" spans="2:37" x14ac:dyDescent="0.25">
      <c r="B626" s="1"/>
      <c r="E626" s="2"/>
      <c r="H626" s="3"/>
      <c r="I626" s="3"/>
      <c r="K626" s="3"/>
      <c r="L626" s="3"/>
      <c r="X626" s="4"/>
      <c r="AB626" s="3"/>
      <c r="AE626" s="3"/>
      <c r="AK626" s="5"/>
    </row>
    <row r="627" spans="2:37" x14ac:dyDescent="0.25">
      <c r="B627" s="1"/>
      <c r="E627" s="2"/>
      <c r="G627" s="3"/>
      <c r="H627" s="3"/>
      <c r="I627" s="3"/>
      <c r="K627" s="3"/>
      <c r="L627" s="3"/>
      <c r="X627" s="4"/>
      <c r="AD627" s="3"/>
      <c r="AE627" s="3"/>
      <c r="AK627" s="5"/>
    </row>
    <row r="628" spans="2:37" x14ac:dyDescent="0.25">
      <c r="B628" s="1"/>
      <c r="E628" s="2"/>
      <c r="G628" s="3"/>
      <c r="H628" s="3"/>
      <c r="I628" s="3"/>
      <c r="K628" s="3"/>
      <c r="L628" s="3"/>
      <c r="X628" s="4"/>
      <c r="AD628" s="3"/>
      <c r="AE628" s="3"/>
      <c r="AK628" s="5"/>
    </row>
    <row r="629" spans="2:37" x14ac:dyDescent="0.25">
      <c r="B629" s="1"/>
      <c r="D629" s="3"/>
      <c r="E629" s="2"/>
      <c r="G629" s="3"/>
      <c r="H629" s="3"/>
      <c r="I629" s="3"/>
      <c r="K629" s="3"/>
      <c r="L629" s="3"/>
      <c r="X629" s="4"/>
      <c r="AD629" s="3"/>
      <c r="AE629" s="3"/>
      <c r="AK629" s="5"/>
    </row>
    <row r="630" spans="2:37" x14ac:dyDescent="0.25">
      <c r="B630" s="1"/>
      <c r="E630" s="2"/>
      <c r="H630" s="3"/>
      <c r="I630" s="3"/>
      <c r="K630" s="3"/>
      <c r="L630" s="3"/>
      <c r="X630" s="4"/>
      <c r="AE630" s="3"/>
      <c r="AK630" s="5"/>
    </row>
    <row r="631" spans="2:37" x14ac:dyDescent="0.25">
      <c r="B631" s="1"/>
      <c r="E631" s="2"/>
      <c r="F631" s="3"/>
      <c r="G631" s="3"/>
      <c r="H631" s="3"/>
      <c r="I631" s="3"/>
      <c r="K631" s="3"/>
      <c r="X631" s="4"/>
      <c r="AK631" s="5"/>
    </row>
    <row r="632" spans="2:37" x14ac:dyDescent="0.25">
      <c r="B632" s="1"/>
      <c r="E632" s="2"/>
      <c r="H632" s="3"/>
      <c r="I632" s="3"/>
      <c r="K632" s="3"/>
      <c r="X632" s="4"/>
      <c r="AE632" s="3"/>
      <c r="AK632" s="5"/>
    </row>
    <row r="633" spans="2:37" x14ac:dyDescent="0.25">
      <c r="B633" s="1"/>
      <c r="E633" s="2"/>
      <c r="H633" s="3"/>
      <c r="I633" s="3"/>
      <c r="K633" s="3"/>
      <c r="L633" s="3"/>
      <c r="X633" s="4"/>
      <c r="Z633" s="3"/>
      <c r="AD633" s="3"/>
      <c r="AE633" s="3"/>
      <c r="AK633" s="5"/>
    </row>
    <row r="634" spans="2:37" x14ac:dyDescent="0.25">
      <c r="B634" s="1"/>
      <c r="E634" s="2"/>
      <c r="H634" s="3"/>
      <c r="I634" s="3"/>
      <c r="K634" s="3"/>
      <c r="L634" s="3"/>
      <c r="X634" s="4"/>
      <c r="AE634" s="3"/>
      <c r="AK634" s="5"/>
    </row>
    <row r="635" spans="2:37" x14ac:dyDescent="0.25">
      <c r="B635" s="1"/>
      <c r="D635" s="3"/>
      <c r="E635" s="2"/>
      <c r="G635" s="3"/>
      <c r="H635" s="3"/>
      <c r="I635" s="3"/>
      <c r="K635" s="3"/>
      <c r="L635" s="3"/>
      <c r="X635" s="4"/>
      <c r="AD635" s="3"/>
      <c r="AE635" s="3"/>
      <c r="AK635" s="5"/>
    </row>
    <row r="636" spans="2:37" x14ac:dyDescent="0.25">
      <c r="B636" s="1"/>
      <c r="E636" s="2"/>
      <c r="H636" s="3"/>
      <c r="I636" s="3"/>
      <c r="K636" s="3"/>
      <c r="L636" s="3"/>
      <c r="X636" s="4"/>
      <c r="Z636" s="3"/>
      <c r="AB636" s="3"/>
      <c r="AD636" s="3"/>
      <c r="AE636" s="3"/>
      <c r="AK636" s="5"/>
    </row>
    <row r="637" spans="2:37" x14ac:dyDescent="0.25">
      <c r="B637" s="1"/>
      <c r="E637" s="2"/>
      <c r="F637" s="3"/>
      <c r="G637" s="3"/>
      <c r="H637" s="3"/>
      <c r="I637" s="3"/>
      <c r="K637" s="3"/>
      <c r="L637" s="3"/>
      <c r="X637" s="4"/>
      <c r="AB637" s="3"/>
      <c r="AD637" s="3"/>
      <c r="AE637" s="3"/>
      <c r="AK637" s="5"/>
    </row>
    <row r="638" spans="2:37" x14ac:dyDescent="0.25">
      <c r="B638" s="1"/>
      <c r="E638" s="2"/>
      <c r="F638" s="3"/>
      <c r="G638" s="3"/>
      <c r="H638" s="3"/>
      <c r="I638" s="3"/>
      <c r="K638" s="3"/>
      <c r="L638" s="3"/>
      <c r="X638" s="4"/>
      <c r="AB638" s="3"/>
      <c r="AE638" s="3"/>
      <c r="AK638" s="5"/>
    </row>
    <row r="639" spans="2:37" x14ac:dyDescent="0.25">
      <c r="B639" s="1"/>
      <c r="E639" s="2"/>
      <c r="H639" s="3"/>
      <c r="I639" s="3"/>
      <c r="K639" s="3"/>
      <c r="L639" s="3"/>
      <c r="X639" s="4"/>
      <c r="Z639" s="3"/>
      <c r="AB639" s="3"/>
      <c r="AD639" s="3"/>
      <c r="AE639" s="3"/>
      <c r="AK639" s="5"/>
    </row>
    <row r="640" spans="2:37" x14ac:dyDescent="0.25">
      <c r="B640" s="1"/>
      <c r="E640" s="2"/>
      <c r="H640" s="3"/>
      <c r="I640" s="3"/>
      <c r="K640" s="3"/>
      <c r="L640" s="3"/>
      <c r="X640" s="4"/>
      <c r="Z640" s="3"/>
      <c r="AB640" s="3"/>
      <c r="AD640" s="3"/>
      <c r="AE640" s="3"/>
      <c r="AK640" s="5"/>
    </row>
    <row r="641" spans="2:37" x14ac:dyDescent="0.25">
      <c r="B641" s="1"/>
      <c r="E641" s="2"/>
      <c r="H641" s="3"/>
      <c r="I641" s="3"/>
      <c r="K641" s="3"/>
      <c r="L641" s="3"/>
      <c r="X641" s="4"/>
      <c r="AD641" s="3"/>
      <c r="AE641" s="3"/>
      <c r="AK641" s="5"/>
    </row>
    <row r="642" spans="2:37" x14ac:dyDescent="0.25">
      <c r="B642" s="1"/>
      <c r="E642" s="2"/>
      <c r="F642" s="3"/>
      <c r="G642" s="3"/>
      <c r="H642" s="3"/>
      <c r="I642" s="3"/>
      <c r="K642" s="3"/>
      <c r="L642" s="3"/>
      <c r="X642" s="4"/>
      <c r="AD642" s="3"/>
      <c r="AE642" s="3"/>
      <c r="AK642" s="5"/>
    </row>
    <row r="643" spans="2:37" x14ac:dyDescent="0.25">
      <c r="B643" s="1"/>
      <c r="E643" s="2"/>
      <c r="H643" s="3"/>
      <c r="I643" s="3"/>
      <c r="K643" s="3"/>
      <c r="L643" s="3"/>
      <c r="X643" s="4"/>
      <c r="AB643" s="3"/>
      <c r="AD643" s="3"/>
      <c r="AE643" s="3"/>
      <c r="AK643" s="5"/>
    </row>
    <row r="644" spans="2:37" x14ac:dyDescent="0.25">
      <c r="B644" s="1"/>
      <c r="E644" s="2"/>
      <c r="H644" s="3"/>
      <c r="I644" s="3"/>
      <c r="K644" s="3"/>
      <c r="L644" s="3"/>
      <c r="X644" s="4"/>
      <c r="Z644" s="3"/>
      <c r="AE644" s="3"/>
      <c r="AK644" s="5"/>
    </row>
    <row r="645" spans="2:37" x14ac:dyDescent="0.25">
      <c r="B645" s="1"/>
      <c r="E645" s="2"/>
      <c r="H645" s="3"/>
      <c r="I645" s="3"/>
      <c r="K645" s="3"/>
      <c r="L645" s="3"/>
      <c r="X645" s="4"/>
      <c r="AD645" s="3"/>
      <c r="AE645" s="3"/>
      <c r="AK645" s="5"/>
    </row>
    <row r="646" spans="2:37" x14ac:dyDescent="0.25">
      <c r="B646" s="1"/>
      <c r="E646" s="2"/>
      <c r="G646" s="3"/>
      <c r="H646" s="3"/>
      <c r="I646" s="3"/>
      <c r="K646" s="3"/>
      <c r="L646" s="3"/>
      <c r="X646" s="4"/>
      <c r="Z646" s="3"/>
      <c r="AE646" s="3"/>
      <c r="AK646" s="5"/>
    </row>
    <row r="647" spans="2:37" x14ac:dyDescent="0.25">
      <c r="B647" s="1"/>
      <c r="E647" s="2"/>
      <c r="G647" s="3"/>
      <c r="H647" s="3"/>
      <c r="I647" s="3"/>
      <c r="K647" s="3"/>
      <c r="L647" s="3"/>
      <c r="X647" s="4"/>
    </row>
    <row r="648" spans="2:37" x14ac:dyDescent="0.25">
      <c r="B648" s="1"/>
      <c r="D648" s="3"/>
      <c r="E648" s="2"/>
      <c r="G648" s="3"/>
      <c r="H648" s="3"/>
      <c r="I648" s="3"/>
      <c r="K648" s="3"/>
      <c r="X648" s="4"/>
      <c r="AK648" s="5"/>
    </row>
    <row r="649" spans="2:37" x14ac:dyDescent="0.25">
      <c r="B649" s="1"/>
      <c r="E649" s="2"/>
      <c r="H649" s="3"/>
      <c r="I649" s="3"/>
      <c r="K649" s="3"/>
      <c r="X649" s="4"/>
      <c r="AK649" s="5"/>
    </row>
    <row r="650" spans="2:37" x14ac:dyDescent="0.25">
      <c r="B650" s="1"/>
      <c r="E650" s="2"/>
      <c r="G650" s="3"/>
      <c r="H650" s="3"/>
      <c r="I650" s="3"/>
      <c r="K650" s="3"/>
      <c r="X650" s="4"/>
      <c r="AK650" s="5"/>
    </row>
    <row r="651" spans="2:37" x14ac:dyDescent="0.25">
      <c r="B651" s="1"/>
      <c r="E651" s="2"/>
      <c r="H651" s="3"/>
      <c r="I651" s="3"/>
      <c r="K651" s="3"/>
      <c r="L651" s="3"/>
      <c r="X651" s="4"/>
      <c r="AE651" s="3"/>
      <c r="AK651" s="5"/>
    </row>
    <row r="652" spans="2:37" x14ac:dyDescent="0.25">
      <c r="B652" s="1"/>
      <c r="E652" s="2"/>
      <c r="F652" s="3"/>
      <c r="G652" s="3"/>
      <c r="H652" s="3"/>
      <c r="I652" s="3"/>
      <c r="K652" s="3"/>
      <c r="L652" s="3"/>
      <c r="X652" s="4"/>
    </row>
    <row r="653" spans="2:37" x14ac:dyDescent="0.25">
      <c r="B653" s="3"/>
      <c r="D653" s="3"/>
      <c r="E653" s="2"/>
      <c r="G653" s="3"/>
      <c r="H653" s="3"/>
      <c r="I653" s="3"/>
      <c r="K653" s="3"/>
      <c r="L653" s="3"/>
      <c r="X653" s="4"/>
      <c r="AA653" s="3"/>
      <c r="AE653" s="3"/>
      <c r="AK653" s="5"/>
    </row>
    <row r="654" spans="2:37" x14ac:dyDescent="0.25">
      <c r="B654" s="1"/>
      <c r="E654" s="2"/>
      <c r="H654" s="3"/>
      <c r="I654" s="3"/>
      <c r="K654" s="3"/>
      <c r="L654" s="3"/>
      <c r="X654" s="4"/>
      <c r="AA654" s="3"/>
      <c r="AB654" s="3"/>
      <c r="AE654" s="3"/>
      <c r="AK654" s="5"/>
    </row>
    <row r="655" spans="2:37" x14ac:dyDescent="0.25">
      <c r="B655" s="3"/>
      <c r="E655" s="2"/>
      <c r="G655" s="3"/>
      <c r="H655" s="3"/>
      <c r="I655" s="3"/>
      <c r="K655" s="3"/>
      <c r="L655" s="3"/>
      <c r="X655" s="4"/>
      <c r="AA655" s="3"/>
      <c r="AB655" s="3"/>
      <c r="AE655" s="3"/>
      <c r="AK655" s="5"/>
    </row>
    <row r="656" spans="2:37" x14ac:dyDescent="0.25">
      <c r="B656" s="1"/>
      <c r="E656" s="2"/>
      <c r="H656" s="3"/>
      <c r="I656" s="3"/>
      <c r="K656" s="3"/>
      <c r="L656" s="3"/>
      <c r="X656" s="4"/>
      <c r="AA656" s="3"/>
      <c r="AE656" s="3"/>
      <c r="AK656" s="5"/>
    </row>
    <row r="657" spans="2:37" x14ac:dyDescent="0.25">
      <c r="B657" s="1"/>
      <c r="E657" s="2"/>
      <c r="F657" s="3"/>
      <c r="G657" s="3"/>
      <c r="H657" s="3"/>
      <c r="I657" s="3"/>
      <c r="K657" s="3"/>
      <c r="L657" s="3"/>
      <c r="X657" s="4"/>
      <c r="AA657" s="3"/>
      <c r="AE657" s="3"/>
      <c r="AK657" s="5"/>
    </row>
    <row r="658" spans="2:37" x14ac:dyDescent="0.25">
      <c r="B658" s="1"/>
      <c r="E658" s="2"/>
      <c r="H658" s="3"/>
      <c r="I658" s="3"/>
      <c r="K658" s="3"/>
      <c r="L658" s="3"/>
      <c r="X658" s="4"/>
      <c r="AA658" s="3"/>
      <c r="AE658" s="3"/>
      <c r="AK658" s="5"/>
    </row>
    <row r="659" spans="2:37" x14ac:dyDescent="0.25">
      <c r="B659" s="1"/>
      <c r="E659" s="2"/>
      <c r="F659" s="3"/>
      <c r="G659" s="3"/>
      <c r="H659" s="3"/>
      <c r="I659" s="3"/>
      <c r="K659" s="3"/>
      <c r="L659" s="3"/>
      <c r="X659" s="4"/>
      <c r="AA659" s="3"/>
      <c r="AE659" s="3"/>
      <c r="AK659" s="5"/>
    </row>
    <row r="660" spans="2:37" x14ac:dyDescent="0.25">
      <c r="B660" s="1"/>
      <c r="E660" s="2"/>
      <c r="H660" s="3"/>
      <c r="I660" s="3"/>
      <c r="K660" s="3"/>
      <c r="L660" s="3"/>
      <c r="X660" s="4"/>
      <c r="AK660" s="5"/>
    </row>
    <row r="661" spans="2:37" x14ac:dyDescent="0.25">
      <c r="B661" s="1"/>
      <c r="E661" s="2"/>
      <c r="F661" s="3"/>
      <c r="G661" s="3"/>
      <c r="H661" s="3"/>
      <c r="I661" s="3"/>
      <c r="K661" s="3"/>
      <c r="X661" s="4"/>
      <c r="AE661" s="3"/>
      <c r="AK661" s="5"/>
    </row>
    <row r="662" spans="2:37" x14ac:dyDescent="0.25">
      <c r="B662" s="1"/>
      <c r="E662" s="2"/>
      <c r="H662" s="3"/>
      <c r="I662" s="3"/>
      <c r="K662" s="3"/>
      <c r="L662" s="3"/>
      <c r="X662" s="4"/>
      <c r="Z662" s="3"/>
      <c r="AD662" s="3"/>
      <c r="AE662" s="3"/>
      <c r="AK662" s="5"/>
    </row>
    <row r="663" spans="2:37" x14ac:dyDescent="0.25">
      <c r="B663" s="1"/>
      <c r="E663" s="2"/>
      <c r="G663" s="3"/>
      <c r="H663" s="3"/>
      <c r="I663" s="3"/>
      <c r="K663" s="3"/>
      <c r="L663" s="3"/>
      <c r="X663" s="4"/>
      <c r="AD663" s="3"/>
      <c r="AE663" s="3"/>
      <c r="AK663" s="5"/>
    </row>
    <row r="664" spans="2:37" x14ac:dyDescent="0.25">
      <c r="B664" s="1"/>
      <c r="E664" s="2"/>
      <c r="H664" s="3"/>
      <c r="I664" s="3"/>
      <c r="K664" s="3"/>
      <c r="L664" s="3"/>
      <c r="X664" s="4"/>
      <c r="AK664" s="5"/>
    </row>
    <row r="665" spans="2:37" x14ac:dyDescent="0.25">
      <c r="B665" s="1"/>
      <c r="D665" s="3"/>
      <c r="E665" s="2"/>
      <c r="G665" s="3"/>
      <c r="H665" s="3"/>
      <c r="I665" s="3"/>
      <c r="K665" s="3"/>
      <c r="X665" s="4"/>
      <c r="AK665" s="5"/>
    </row>
    <row r="666" spans="2:37" x14ac:dyDescent="0.25">
      <c r="B666" s="1"/>
      <c r="E666" s="2"/>
      <c r="H666" s="3"/>
      <c r="I666" s="3"/>
      <c r="K666" s="3"/>
      <c r="X666" s="4"/>
      <c r="AK666" s="5"/>
    </row>
    <row r="667" spans="2:37" x14ac:dyDescent="0.25">
      <c r="B667" s="1"/>
      <c r="E667" s="2"/>
      <c r="H667" s="3"/>
      <c r="I667" s="3"/>
      <c r="K667" s="3"/>
      <c r="L667" s="3"/>
      <c r="X667" s="4"/>
      <c r="AK667" s="5"/>
    </row>
    <row r="668" spans="2:37" x14ac:dyDescent="0.25">
      <c r="B668" s="1"/>
      <c r="E668" s="2"/>
      <c r="G668" s="3"/>
      <c r="H668" s="3"/>
      <c r="I668" s="3"/>
      <c r="K668" s="3"/>
      <c r="L668" s="3"/>
      <c r="X668" s="4"/>
      <c r="AK668" s="5"/>
    </row>
    <row r="669" spans="2:37" x14ac:dyDescent="0.25">
      <c r="B669" s="1"/>
      <c r="D669" s="3"/>
      <c r="E669" s="2"/>
      <c r="G669" s="3"/>
      <c r="H669" s="3"/>
      <c r="I669" s="3"/>
      <c r="K669" s="3"/>
      <c r="L669" s="3"/>
      <c r="X669" s="4"/>
      <c r="AK669" s="5"/>
    </row>
    <row r="670" spans="2:37" x14ac:dyDescent="0.25">
      <c r="B670" s="1"/>
      <c r="D670" s="3"/>
      <c r="E670" s="2"/>
      <c r="G670" s="3"/>
      <c r="H670" s="3"/>
      <c r="I670" s="3"/>
      <c r="K670" s="3"/>
      <c r="X670" s="4"/>
      <c r="AK670" s="5"/>
    </row>
    <row r="671" spans="2:37" x14ac:dyDescent="0.25">
      <c r="B671" s="1"/>
      <c r="E671" s="2"/>
      <c r="G671" s="3"/>
      <c r="H671" s="3"/>
      <c r="I671" s="3"/>
      <c r="K671" s="3"/>
      <c r="L671" s="3"/>
      <c r="X671" s="4"/>
      <c r="AB671" s="3"/>
      <c r="AD671" s="3"/>
      <c r="AE671" s="3"/>
      <c r="AK671" s="5"/>
    </row>
    <row r="672" spans="2:37" x14ac:dyDescent="0.25">
      <c r="B672" s="1"/>
      <c r="E672" s="2"/>
      <c r="H672" s="3"/>
      <c r="I672" s="3"/>
      <c r="K672" s="3"/>
      <c r="L672" s="3"/>
      <c r="X672" s="4"/>
      <c r="AE672" s="3"/>
      <c r="AK672" s="5"/>
    </row>
    <row r="673" spans="2:37" x14ac:dyDescent="0.25">
      <c r="B673" s="1"/>
      <c r="E673" s="2"/>
      <c r="G673" s="3"/>
      <c r="H673" s="3"/>
      <c r="I673" s="3"/>
      <c r="K673" s="3"/>
      <c r="L673" s="3"/>
      <c r="X673" s="4"/>
      <c r="AD673" s="3"/>
      <c r="AE673" s="3"/>
      <c r="AK673" s="5"/>
    </row>
    <row r="674" spans="2:37" x14ac:dyDescent="0.25">
      <c r="B674" s="1"/>
      <c r="E674" s="2"/>
      <c r="H674" s="3"/>
      <c r="I674" s="3"/>
      <c r="K674" s="3"/>
      <c r="L674" s="3"/>
      <c r="X674" s="4"/>
      <c r="AB674" s="3"/>
      <c r="AE674" s="3"/>
      <c r="AK674" s="5"/>
    </row>
    <row r="675" spans="2:37" x14ac:dyDescent="0.25">
      <c r="B675" s="1"/>
      <c r="D675" s="3"/>
      <c r="E675" s="2"/>
      <c r="G675" s="3"/>
      <c r="H675" s="3"/>
      <c r="I675" s="3"/>
      <c r="K675" s="3"/>
      <c r="X675" s="4"/>
      <c r="AK675" s="5"/>
    </row>
    <row r="676" spans="2:37" x14ac:dyDescent="0.25">
      <c r="B676" s="1"/>
      <c r="E676" s="2"/>
      <c r="H676" s="3"/>
      <c r="I676" s="3"/>
      <c r="K676" s="3"/>
      <c r="L676" s="3"/>
      <c r="X676" s="4"/>
      <c r="AB676" s="3"/>
      <c r="AE676" s="3"/>
      <c r="AK676" s="5"/>
    </row>
    <row r="677" spans="2:37" x14ac:dyDescent="0.25">
      <c r="B677" s="1"/>
      <c r="E677" s="2"/>
      <c r="F677" s="3"/>
      <c r="G677" s="3"/>
      <c r="H677" s="3"/>
      <c r="I677" s="3"/>
      <c r="K677" s="3"/>
      <c r="L677" s="3"/>
      <c r="X677" s="4"/>
      <c r="AB677" s="3"/>
      <c r="AE677" s="3"/>
      <c r="AK677" s="5"/>
    </row>
    <row r="678" spans="2:37" x14ac:dyDescent="0.25">
      <c r="B678" s="1"/>
      <c r="E678" s="2"/>
      <c r="G678" s="3"/>
      <c r="H678" s="3"/>
      <c r="I678" s="3"/>
      <c r="K678" s="3"/>
      <c r="L678" s="3"/>
      <c r="X678" s="4"/>
      <c r="Z678" s="3"/>
      <c r="AE678" s="3"/>
      <c r="AK678" s="5"/>
    </row>
    <row r="679" spans="2:37" x14ac:dyDescent="0.25">
      <c r="B679" s="1"/>
      <c r="E679" s="2"/>
      <c r="H679" s="3"/>
      <c r="I679" s="3"/>
      <c r="K679" s="3"/>
      <c r="L679" s="3"/>
      <c r="X679" s="4"/>
      <c r="Z679" s="3"/>
      <c r="AE679" s="3"/>
      <c r="AK679" s="5"/>
    </row>
    <row r="680" spans="2:37" x14ac:dyDescent="0.25">
      <c r="B680" s="1"/>
      <c r="E680" s="2"/>
      <c r="H680" s="3"/>
      <c r="I680" s="3"/>
      <c r="K680" s="3"/>
      <c r="L680" s="3"/>
      <c r="X680" s="4"/>
      <c r="Z680" s="3"/>
      <c r="AE680" s="3"/>
      <c r="AK680" s="5"/>
    </row>
    <row r="681" spans="2:37" x14ac:dyDescent="0.25">
      <c r="B681" s="1"/>
      <c r="E681" s="2"/>
      <c r="H681" s="3"/>
      <c r="I681" s="3"/>
      <c r="K681" s="3"/>
      <c r="L681" s="3"/>
      <c r="X681" s="4"/>
      <c r="AB681" s="3"/>
      <c r="AK681" s="5"/>
    </row>
    <row r="682" spans="2:37" x14ac:dyDescent="0.25">
      <c r="B682" s="1"/>
      <c r="E682" s="2"/>
      <c r="H682" s="3"/>
      <c r="I682" s="3"/>
      <c r="K682" s="3"/>
      <c r="X682" s="4"/>
      <c r="AE682" s="3"/>
      <c r="AK682" s="5"/>
    </row>
    <row r="683" spans="2:37" x14ac:dyDescent="0.25">
      <c r="B683" s="1"/>
      <c r="E683" s="2"/>
      <c r="H683" s="3"/>
      <c r="I683" s="3"/>
      <c r="K683" s="3"/>
      <c r="L683" s="3"/>
      <c r="X683" s="4"/>
      <c r="AK683" s="5"/>
    </row>
    <row r="684" spans="2:37" x14ac:dyDescent="0.25">
      <c r="B684" s="1"/>
      <c r="E684" s="2"/>
      <c r="G684" s="3"/>
      <c r="H684" s="3"/>
      <c r="I684" s="3"/>
      <c r="K684" s="3"/>
      <c r="L684" s="3"/>
      <c r="X684" s="4"/>
      <c r="Z684" s="3"/>
      <c r="AE684" s="3"/>
      <c r="AK684" s="5"/>
    </row>
    <row r="685" spans="2:37" x14ac:dyDescent="0.25">
      <c r="B685" s="1"/>
      <c r="E685" s="2"/>
      <c r="H685" s="3"/>
      <c r="I685" s="3"/>
      <c r="K685" s="3"/>
      <c r="L685" s="3"/>
      <c r="X685" s="4"/>
      <c r="AE685" s="3"/>
      <c r="AK685" s="5"/>
    </row>
    <row r="686" spans="2:37" x14ac:dyDescent="0.25">
      <c r="B686" s="3"/>
      <c r="E686" s="2"/>
      <c r="F686" s="3"/>
      <c r="G686" s="3"/>
      <c r="H686" s="3"/>
      <c r="I686" s="3"/>
      <c r="K686" s="3"/>
      <c r="L686" s="3"/>
      <c r="X686" s="4"/>
    </row>
    <row r="687" spans="2:37" x14ac:dyDescent="0.25">
      <c r="B687" s="1"/>
      <c r="E687" s="2"/>
      <c r="F687" s="3"/>
      <c r="G687" s="3"/>
      <c r="H687" s="3"/>
      <c r="I687" s="3"/>
      <c r="K687" s="3"/>
      <c r="L687" s="3"/>
      <c r="X687" s="4"/>
    </row>
    <row r="688" spans="2:37" x14ac:dyDescent="0.25">
      <c r="B688" s="1"/>
      <c r="E688" s="2"/>
      <c r="F688" s="3"/>
      <c r="G688" s="3"/>
      <c r="X688" s="4"/>
    </row>
    <row r="689" spans="2:37" x14ac:dyDescent="0.25">
      <c r="B689" s="1"/>
      <c r="E689" s="2"/>
      <c r="H689" s="3"/>
      <c r="I689" s="3"/>
      <c r="K689" s="3"/>
      <c r="L689" s="3"/>
      <c r="X689" s="4"/>
    </row>
    <row r="690" spans="2:37" x14ac:dyDescent="0.25">
      <c r="B690" s="3"/>
      <c r="E690" s="2"/>
      <c r="F690" s="3"/>
      <c r="G690" s="3"/>
      <c r="H690" s="3"/>
      <c r="I690" s="3"/>
      <c r="K690" s="3"/>
      <c r="L690" s="3"/>
      <c r="Z690" s="3"/>
      <c r="AE690" s="3"/>
      <c r="AK690" s="5"/>
    </row>
    <row r="691" spans="2:37" x14ac:dyDescent="0.25">
      <c r="B691" s="1"/>
      <c r="E691" s="2"/>
      <c r="H691" s="3"/>
      <c r="I691" s="3"/>
      <c r="K691" s="3"/>
      <c r="L691" s="3"/>
      <c r="X691" s="4"/>
    </row>
    <row r="692" spans="2:37" x14ac:dyDescent="0.25">
      <c r="F692" s="3"/>
      <c r="G692" s="3"/>
    </row>
    <row r="693" spans="2:37" x14ac:dyDescent="0.25">
      <c r="B693" s="1"/>
      <c r="E693" s="2"/>
      <c r="H693" s="3"/>
      <c r="I693" s="3"/>
      <c r="K693" s="3"/>
      <c r="L693" s="3"/>
      <c r="X693" s="4"/>
    </row>
    <row r="694" spans="2:37" x14ac:dyDescent="0.25">
      <c r="D694" s="3"/>
      <c r="F694" s="3"/>
      <c r="G694" s="3"/>
    </row>
    <row r="695" spans="2:37" x14ac:dyDescent="0.25">
      <c r="B695" s="1"/>
      <c r="E695" s="2"/>
      <c r="H695" s="3"/>
      <c r="I695" s="3"/>
      <c r="K695" s="3"/>
      <c r="L695" s="3"/>
      <c r="X695" s="4"/>
      <c r="Z695" s="3"/>
      <c r="AD695" s="3"/>
      <c r="AE695" s="3"/>
      <c r="AK695" s="5"/>
    </row>
    <row r="696" spans="2:37" x14ac:dyDescent="0.25">
      <c r="B696" s="1"/>
      <c r="E696" s="2"/>
      <c r="H696" s="3"/>
      <c r="I696" s="3"/>
      <c r="K696" s="3"/>
      <c r="L696" s="3"/>
      <c r="X696" s="4"/>
      <c r="Z696" s="3"/>
      <c r="AE696" s="3"/>
      <c r="AK696" s="5"/>
    </row>
    <row r="697" spans="2:37" x14ac:dyDescent="0.25">
      <c r="B697" s="1"/>
      <c r="E697" s="2"/>
      <c r="H697" s="3"/>
      <c r="I697" s="3"/>
      <c r="K697" s="3"/>
      <c r="L697" s="3"/>
      <c r="X697" s="4"/>
      <c r="Z697" s="3"/>
      <c r="AE697" s="3"/>
      <c r="AK697" s="5"/>
    </row>
    <row r="698" spans="2:37" x14ac:dyDescent="0.25">
      <c r="B698" s="1"/>
      <c r="D698" s="3"/>
      <c r="E698" s="2"/>
      <c r="H698" s="3"/>
      <c r="I698" s="3"/>
      <c r="K698" s="3"/>
      <c r="X698" s="4"/>
    </row>
    <row r="699" spans="2:37" x14ac:dyDescent="0.25">
      <c r="B699" s="1"/>
      <c r="E699" s="2"/>
      <c r="H699" s="3"/>
      <c r="I699" s="3"/>
      <c r="K699" s="3"/>
      <c r="X699" s="4"/>
    </row>
    <row r="700" spans="2:37" x14ac:dyDescent="0.25">
      <c r="B700" s="1"/>
      <c r="E700" s="2"/>
      <c r="H700" s="3"/>
      <c r="I700" s="3"/>
      <c r="K700" s="3"/>
      <c r="L700" s="3"/>
      <c r="X700" s="4"/>
      <c r="Z700" s="3"/>
      <c r="AE700" s="3"/>
      <c r="AK700" s="5"/>
    </row>
    <row r="701" spans="2:37" x14ac:dyDescent="0.25">
      <c r="B701" s="1"/>
      <c r="E701" s="2"/>
      <c r="H701" s="3"/>
      <c r="I701" s="3"/>
      <c r="K701" s="3"/>
      <c r="X701" s="4"/>
      <c r="AE701" s="3"/>
      <c r="AK701" s="5"/>
    </row>
    <row r="702" spans="2:37" x14ac:dyDescent="0.25">
      <c r="B702" s="1"/>
      <c r="E702" s="2"/>
      <c r="H702" s="3"/>
      <c r="I702" s="3"/>
      <c r="K702" s="3"/>
      <c r="X702" s="4"/>
      <c r="AK702" s="5"/>
    </row>
    <row r="703" spans="2:37" x14ac:dyDescent="0.25">
      <c r="B703" s="1"/>
      <c r="E703" s="2"/>
      <c r="H703" s="3"/>
      <c r="I703" s="3"/>
      <c r="K703" s="3"/>
      <c r="X703" s="4"/>
    </row>
    <row r="704" spans="2:37" x14ac:dyDescent="0.25">
      <c r="B704" s="1"/>
      <c r="E704" s="2"/>
      <c r="H704" s="3"/>
      <c r="I704" s="3"/>
      <c r="K704" s="3"/>
      <c r="L704" s="3"/>
      <c r="X704" s="4"/>
      <c r="AD704" s="3"/>
      <c r="AE704" s="3"/>
      <c r="AK704" s="5"/>
    </row>
    <row r="705" spans="2:37" x14ac:dyDescent="0.25">
      <c r="B705" s="1"/>
      <c r="E705" s="2"/>
      <c r="H705" s="3"/>
      <c r="I705" s="3"/>
      <c r="K705" s="3"/>
      <c r="X705" s="4"/>
      <c r="AE705" s="3"/>
      <c r="AK705" s="5"/>
    </row>
    <row r="706" spans="2:37" x14ac:dyDescent="0.25">
      <c r="B706" s="1"/>
      <c r="E706" s="2"/>
      <c r="H706" s="3"/>
      <c r="I706" s="3"/>
      <c r="K706" s="3"/>
      <c r="L706" s="3"/>
      <c r="X706" s="4"/>
    </row>
    <row r="707" spans="2:37" x14ac:dyDescent="0.25">
      <c r="B707" s="1"/>
      <c r="E707" s="2"/>
      <c r="G707" s="3"/>
      <c r="H707" s="3"/>
      <c r="I707" s="3"/>
      <c r="K707" s="3"/>
      <c r="X707" s="4"/>
    </row>
    <row r="708" spans="2:37" x14ac:dyDescent="0.25">
      <c r="B708" s="1"/>
      <c r="E708" s="2"/>
      <c r="H708" s="3"/>
      <c r="I708" s="3"/>
      <c r="K708" s="3"/>
      <c r="L708" s="3"/>
      <c r="X708" s="4"/>
    </row>
    <row r="709" spans="2:37" x14ac:dyDescent="0.25">
      <c r="B709" s="3"/>
      <c r="E709" s="2"/>
      <c r="G709" s="3"/>
      <c r="H709" s="3"/>
      <c r="I709" s="3"/>
      <c r="K709" s="3"/>
      <c r="L709" s="3"/>
      <c r="X709" s="4"/>
    </row>
    <row r="710" spans="2:37" x14ac:dyDescent="0.25">
      <c r="B710" s="1"/>
      <c r="E710" s="2"/>
      <c r="F710" s="3"/>
      <c r="G710" s="3"/>
      <c r="H710" s="3"/>
      <c r="I710" s="3"/>
      <c r="K710" s="3"/>
      <c r="L710" s="3"/>
      <c r="X710" s="4"/>
    </row>
    <row r="711" spans="2:37" x14ac:dyDescent="0.25">
      <c r="B711" s="1"/>
      <c r="E711" s="2"/>
      <c r="G711" s="3"/>
      <c r="H711" s="3"/>
      <c r="I711" s="3"/>
      <c r="K711" s="3"/>
      <c r="X711" s="4"/>
    </row>
    <row r="712" spans="2:37" x14ac:dyDescent="0.25">
      <c r="B712" s="1"/>
      <c r="E712" s="2"/>
      <c r="H712" s="3"/>
      <c r="I712" s="3"/>
      <c r="K712" s="3"/>
      <c r="X712" s="4"/>
      <c r="AE712" s="3"/>
      <c r="AK712" s="5"/>
    </row>
    <row r="713" spans="2:37" x14ac:dyDescent="0.25">
      <c r="B713" s="1"/>
      <c r="E713" s="2"/>
      <c r="H713" s="3"/>
      <c r="I713" s="3"/>
      <c r="K713" s="3"/>
      <c r="L713" s="3"/>
      <c r="X713" s="4"/>
      <c r="AD713" s="3"/>
      <c r="AE713" s="3"/>
      <c r="AK713" s="5"/>
    </row>
    <row r="714" spans="2:37" x14ac:dyDescent="0.25">
      <c r="B714" s="1"/>
      <c r="E714" s="2"/>
      <c r="H714" s="3"/>
      <c r="I714" s="3"/>
      <c r="K714" s="3"/>
      <c r="L714" s="3"/>
      <c r="X714" s="4"/>
      <c r="Z714" s="3"/>
      <c r="AD714" s="3"/>
      <c r="AE714" s="3"/>
      <c r="AK714" s="5"/>
    </row>
    <row r="715" spans="2:37" x14ac:dyDescent="0.25">
      <c r="B715" s="1"/>
      <c r="E715" s="2"/>
      <c r="H715" s="3"/>
      <c r="I715" s="3"/>
      <c r="K715" s="3"/>
      <c r="L715" s="3"/>
      <c r="X715" s="4"/>
      <c r="Z715" s="3"/>
      <c r="AD715" s="3"/>
      <c r="AE715" s="3"/>
      <c r="AK715" s="5"/>
    </row>
    <row r="716" spans="2:37" x14ac:dyDescent="0.25">
      <c r="B716" s="1"/>
      <c r="E716" s="2"/>
      <c r="H716" s="3"/>
      <c r="I716" s="3"/>
      <c r="K716" s="3"/>
      <c r="L716" s="3"/>
      <c r="X716" s="4"/>
      <c r="AB716" s="3"/>
      <c r="AD716" s="3"/>
      <c r="AE716" s="3"/>
      <c r="AK716" s="5"/>
    </row>
    <row r="717" spans="2:37" x14ac:dyDescent="0.25">
      <c r="B717" s="1"/>
      <c r="E717" s="2"/>
      <c r="H717" s="3"/>
      <c r="I717" s="3"/>
      <c r="K717" s="3"/>
      <c r="L717" s="3"/>
      <c r="X717" s="4"/>
      <c r="AD717" s="3"/>
      <c r="AE717" s="3"/>
      <c r="AK717" s="5"/>
    </row>
    <row r="718" spans="2:37" x14ac:dyDescent="0.25">
      <c r="B718" s="1"/>
      <c r="E718" s="2"/>
      <c r="H718" s="3"/>
      <c r="I718" s="3"/>
      <c r="K718" s="3"/>
      <c r="L718" s="3"/>
      <c r="X718" s="4"/>
      <c r="AD718" s="3"/>
      <c r="AK718" s="5"/>
    </row>
    <row r="719" spans="2:37" x14ac:dyDescent="0.25">
      <c r="B719" s="1"/>
      <c r="E719" s="2"/>
      <c r="H719" s="3"/>
      <c r="I719" s="3"/>
      <c r="K719" s="3"/>
      <c r="L719" s="3"/>
      <c r="X719" s="4"/>
      <c r="Z719" s="3"/>
      <c r="AE719" s="3"/>
      <c r="AK719" s="5"/>
    </row>
    <row r="720" spans="2:37" x14ac:dyDescent="0.25">
      <c r="B720" s="1"/>
      <c r="E720" s="2"/>
      <c r="H720" s="3"/>
      <c r="I720" s="3"/>
      <c r="K720" s="3"/>
      <c r="X720" s="4"/>
      <c r="AE720" s="3"/>
      <c r="AK720" s="5"/>
    </row>
    <row r="721" spans="2:37" x14ac:dyDescent="0.25">
      <c r="B721" s="1"/>
      <c r="E721" s="2"/>
      <c r="G721" s="3"/>
      <c r="H721" s="3"/>
      <c r="I721" s="3"/>
      <c r="K721" s="3"/>
      <c r="X721" s="4"/>
      <c r="AK721" s="5"/>
    </row>
    <row r="722" spans="2:37" x14ac:dyDescent="0.25">
      <c r="B722" s="1"/>
      <c r="E722" s="2"/>
      <c r="H722" s="3"/>
      <c r="I722" s="3"/>
      <c r="K722" s="3"/>
      <c r="L722" s="3"/>
      <c r="X722" s="4"/>
      <c r="Z722" s="3"/>
      <c r="AE722" s="3"/>
      <c r="AK722" s="5"/>
    </row>
    <row r="723" spans="2:37" x14ac:dyDescent="0.25">
      <c r="B723" s="1"/>
      <c r="E723" s="2"/>
      <c r="G723" s="3"/>
      <c r="H723" s="3"/>
      <c r="I723" s="3"/>
      <c r="K723" s="3"/>
      <c r="L723" s="3"/>
      <c r="X723" s="4"/>
      <c r="Z723" s="3"/>
      <c r="AE723" s="3"/>
      <c r="AK723" s="5"/>
    </row>
    <row r="724" spans="2:37" x14ac:dyDescent="0.25">
      <c r="B724" s="1"/>
      <c r="E724" s="2"/>
      <c r="H724" s="3"/>
      <c r="I724" s="3"/>
      <c r="K724" s="3"/>
      <c r="L724" s="3"/>
      <c r="X724" s="4"/>
      <c r="Z724" s="3"/>
      <c r="AB724" s="3"/>
      <c r="AE724" s="3"/>
      <c r="AK724" s="5"/>
    </row>
    <row r="725" spans="2:37" x14ac:dyDescent="0.25">
      <c r="B725" s="1"/>
      <c r="E725" s="2"/>
      <c r="H725" s="3"/>
      <c r="I725" s="3"/>
      <c r="K725" s="3"/>
      <c r="L725" s="3"/>
      <c r="X725" s="4"/>
      <c r="AB725" s="3"/>
      <c r="AK725" s="5"/>
    </row>
    <row r="726" spans="2:37" x14ac:dyDescent="0.25">
      <c r="B726" s="1"/>
      <c r="D726" s="3"/>
      <c r="E726" s="2"/>
      <c r="G726" s="3"/>
      <c r="H726" s="3"/>
      <c r="I726" s="3"/>
      <c r="K726" s="3"/>
      <c r="L726" s="3"/>
      <c r="X726" s="4"/>
    </row>
    <row r="727" spans="2:37" x14ac:dyDescent="0.25">
      <c r="B727" s="1"/>
      <c r="E727" s="2"/>
      <c r="G727" s="3"/>
      <c r="H727" s="3"/>
      <c r="I727" s="3"/>
      <c r="K727" s="3"/>
      <c r="L727" s="3"/>
      <c r="X727" s="4"/>
      <c r="AB727" s="3"/>
      <c r="AE727" s="3"/>
      <c r="AK727" s="5"/>
    </row>
    <row r="728" spans="2:37" x14ac:dyDescent="0.25">
      <c r="B728" s="1"/>
      <c r="E728" s="2"/>
      <c r="H728" s="3"/>
      <c r="I728" s="3"/>
      <c r="K728" s="3"/>
      <c r="L728" s="3"/>
      <c r="X728" s="4"/>
      <c r="AB728" s="3"/>
      <c r="AE728" s="3"/>
      <c r="AK728" s="5"/>
    </row>
    <row r="729" spans="2:37" x14ac:dyDescent="0.25">
      <c r="B729" s="1"/>
      <c r="E729" s="2"/>
      <c r="G729" s="3"/>
      <c r="H729" s="3"/>
      <c r="I729" s="3"/>
      <c r="K729" s="3"/>
      <c r="L729" s="3"/>
      <c r="X729" s="4"/>
      <c r="AB729" s="3"/>
      <c r="AE729" s="3"/>
      <c r="AK729" s="5"/>
    </row>
    <row r="730" spans="2:37" x14ac:dyDescent="0.25">
      <c r="B730" s="1"/>
      <c r="E730" s="2"/>
      <c r="H730" s="3"/>
      <c r="I730" s="3"/>
      <c r="K730" s="3"/>
      <c r="L730" s="3"/>
      <c r="X730" s="4"/>
      <c r="AB730" s="3"/>
      <c r="AE730" s="3"/>
      <c r="AK730" s="5"/>
    </row>
    <row r="731" spans="2:37" x14ac:dyDescent="0.25">
      <c r="B731" s="1"/>
      <c r="E731" s="2"/>
      <c r="G731" s="3"/>
      <c r="H731" s="3"/>
      <c r="I731" s="3"/>
      <c r="K731" s="3"/>
      <c r="L731" s="3"/>
      <c r="X731" s="4"/>
      <c r="AB731" s="3"/>
      <c r="AE731" s="3"/>
      <c r="AK731" s="5"/>
    </row>
    <row r="732" spans="2:37" x14ac:dyDescent="0.25">
      <c r="B732" s="1"/>
      <c r="D732" s="3"/>
      <c r="E732" s="2"/>
      <c r="G732" s="3"/>
      <c r="H732" s="3"/>
      <c r="I732" s="3"/>
      <c r="K732" s="3"/>
      <c r="L732" s="3"/>
      <c r="X732" s="4"/>
      <c r="AK732" s="5"/>
    </row>
    <row r="733" spans="2:37" x14ac:dyDescent="0.25">
      <c r="B733" s="1"/>
      <c r="E733" s="2"/>
      <c r="F733" s="3"/>
      <c r="G733" s="3"/>
      <c r="H733" s="3"/>
      <c r="I733" s="3"/>
      <c r="K733" s="3"/>
      <c r="L733" s="3"/>
      <c r="X733" s="4"/>
      <c r="AK733" s="5"/>
    </row>
    <row r="734" spans="2:37" x14ac:dyDescent="0.25">
      <c r="B734" s="1"/>
      <c r="D734" s="3"/>
      <c r="E734" s="2"/>
      <c r="G734" s="3"/>
      <c r="H734" s="3"/>
      <c r="I734" s="3"/>
      <c r="K734" s="3"/>
      <c r="L734" s="3"/>
      <c r="X734" s="4"/>
      <c r="AA734" s="3"/>
      <c r="AB734" s="3"/>
      <c r="AE734" s="3"/>
      <c r="AK734" s="5"/>
    </row>
    <row r="735" spans="2:37" x14ac:dyDescent="0.25">
      <c r="B735" s="1"/>
      <c r="E735" s="2"/>
      <c r="H735" s="3"/>
      <c r="I735" s="3"/>
      <c r="K735" s="3"/>
      <c r="X735" s="4"/>
      <c r="AK735" s="5"/>
    </row>
    <row r="736" spans="2:37" x14ac:dyDescent="0.25">
      <c r="B736" s="1"/>
      <c r="E736" s="2"/>
      <c r="H736" s="3"/>
      <c r="I736" s="3"/>
      <c r="K736" s="3"/>
      <c r="L736" s="3"/>
      <c r="X736" s="4"/>
      <c r="Z736" s="3"/>
      <c r="AE736" s="3"/>
      <c r="AK736" s="5"/>
    </row>
    <row r="737" spans="2:37" x14ac:dyDescent="0.25">
      <c r="B737" s="1"/>
      <c r="E737" s="2"/>
      <c r="H737" s="3"/>
      <c r="I737" s="3"/>
      <c r="K737" s="3"/>
      <c r="L737" s="3"/>
      <c r="X737" s="4"/>
      <c r="AA737" s="3"/>
      <c r="AE737" s="3"/>
      <c r="AK737" s="5"/>
    </row>
    <row r="738" spans="2:37" x14ac:dyDescent="0.25">
      <c r="B738" s="1"/>
      <c r="E738" s="2"/>
      <c r="H738" s="3"/>
      <c r="I738" s="3"/>
      <c r="K738" s="3"/>
      <c r="L738" s="3"/>
      <c r="X738" s="4"/>
      <c r="AD738" s="3"/>
      <c r="AE738" s="3"/>
      <c r="AK738" s="5"/>
    </row>
    <row r="739" spans="2:37" x14ac:dyDescent="0.25">
      <c r="B739" s="1"/>
      <c r="E739" s="2"/>
      <c r="H739" s="3"/>
      <c r="I739" s="3"/>
      <c r="K739" s="3"/>
      <c r="L739" s="3"/>
      <c r="X739" s="4"/>
      <c r="AE739" s="3"/>
      <c r="AK739" s="5"/>
    </row>
    <row r="740" spans="2:37" x14ac:dyDescent="0.25">
      <c r="B740" s="1"/>
      <c r="E740" s="2"/>
      <c r="H740" s="3"/>
      <c r="I740" s="3"/>
      <c r="K740" s="3"/>
      <c r="L740" s="3"/>
      <c r="X740" s="4"/>
    </row>
    <row r="741" spans="2:37" x14ac:dyDescent="0.25">
      <c r="B741" s="3"/>
      <c r="E741" s="2"/>
      <c r="G741" s="3"/>
      <c r="H741" s="3"/>
      <c r="I741" s="3"/>
      <c r="K741" s="3"/>
      <c r="L741" s="3"/>
      <c r="X741" s="4"/>
    </row>
    <row r="742" spans="2:37" x14ac:dyDescent="0.25">
      <c r="B742" s="1"/>
      <c r="D742" s="3"/>
      <c r="E742" s="2"/>
      <c r="G742" s="3"/>
      <c r="H742" s="3"/>
      <c r="I742" s="3"/>
      <c r="K742" s="3"/>
      <c r="L742" s="3"/>
      <c r="X742" s="4"/>
    </row>
    <row r="743" spans="2:37" x14ac:dyDescent="0.25">
      <c r="B743" s="3"/>
      <c r="E743" s="2"/>
      <c r="F743" s="3"/>
      <c r="G743" s="3"/>
      <c r="H743" s="3"/>
      <c r="I743" s="3"/>
      <c r="K743" s="3"/>
      <c r="L743" s="3"/>
      <c r="X743" s="4"/>
    </row>
    <row r="744" spans="2:37" x14ac:dyDescent="0.25">
      <c r="B744" s="1"/>
      <c r="E744" s="2"/>
      <c r="G744" s="3"/>
      <c r="H744" s="3"/>
      <c r="I744" s="3"/>
      <c r="K744" s="3"/>
      <c r="X744" s="4"/>
      <c r="AK744" s="5"/>
    </row>
    <row r="745" spans="2:37" x14ac:dyDescent="0.25">
      <c r="B745" s="1"/>
      <c r="E745" s="2"/>
      <c r="G745" s="3"/>
      <c r="H745" s="3"/>
      <c r="I745" s="3"/>
      <c r="K745" s="3"/>
      <c r="L745" s="3"/>
      <c r="X745" s="4"/>
      <c r="AB745" s="3"/>
      <c r="AE745" s="3"/>
      <c r="AK745" s="5"/>
    </row>
    <row r="746" spans="2:37" x14ac:dyDescent="0.25">
      <c r="B746" s="1"/>
      <c r="E746" s="2"/>
      <c r="H746" s="3"/>
      <c r="I746" s="3"/>
      <c r="K746" s="3"/>
      <c r="L746" s="3"/>
      <c r="X746" s="4"/>
      <c r="AE746" s="3"/>
      <c r="AK746" s="5"/>
    </row>
    <row r="747" spans="2:37" x14ac:dyDescent="0.25">
      <c r="B747" s="1"/>
      <c r="E747" s="2"/>
      <c r="F747" s="3"/>
      <c r="G747" s="3"/>
      <c r="H747" s="3"/>
      <c r="I747" s="3"/>
      <c r="K747" s="3"/>
      <c r="L747" s="3"/>
      <c r="X747" s="4"/>
      <c r="AA747" s="3"/>
      <c r="AE747" s="3"/>
      <c r="AK747" s="5"/>
    </row>
    <row r="748" spans="2:37" x14ac:dyDescent="0.25">
      <c r="B748" s="1"/>
      <c r="E748" s="2"/>
      <c r="H748" s="3"/>
      <c r="I748" s="3"/>
      <c r="K748" s="3"/>
      <c r="L748" s="3"/>
      <c r="X748" s="4"/>
      <c r="AA748" s="3"/>
      <c r="AK748" s="5"/>
    </row>
    <row r="749" spans="2:37" x14ac:dyDescent="0.25">
      <c r="B749" s="1"/>
      <c r="E749" s="2"/>
      <c r="G749" s="3"/>
      <c r="H749" s="3"/>
      <c r="I749" s="3"/>
      <c r="K749" s="3"/>
      <c r="L749" s="3"/>
      <c r="X749" s="4"/>
      <c r="AA749" s="3"/>
      <c r="AK749" s="5"/>
    </row>
    <row r="750" spans="2:37" x14ac:dyDescent="0.25">
      <c r="B750" s="3"/>
      <c r="E750" s="2"/>
      <c r="G750" s="3"/>
      <c r="H750" s="3"/>
      <c r="I750" s="3"/>
      <c r="K750" s="3"/>
      <c r="L750" s="3"/>
      <c r="X750" s="4"/>
      <c r="AA750" s="3"/>
      <c r="AK750" s="5"/>
    </row>
    <row r="751" spans="2:37" x14ac:dyDescent="0.25">
      <c r="B751" s="1"/>
      <c r="E751" s="2"/>
      <c r="H751" s="3"/>
      <c r="I751" s="3"/>
      <c r="K751" s="3"/>
      <c r="L751" s="3"/>
      <c r="X751" s="4"/>
      <c r="Z751" s="3"/>
      <c r="AA751" s="3"/>
      <c r="AE751" s="3"/>
      <c r="AK751" s="5"/>
    </row>
    <row r="752" spans="2:37" x14ac:dyDescent="0.25">
      <c r="B752" s="1"/>
      <c r="E752" s="2"/>
      <c r="G752" s="3"/>
      <c r="H752" s="3"/>
      <c r="I752" s="3"/>
      <c r="K752" s="3"/>
      <c r="X752" s="4"/>
      <c r="AK752" s="5"/>
    </row>
    <row r="753" spans="2:37" x14ac:dyDescent="0.25">
      <c r="B753" s="1"/>
      <c r="E753" s="2"/>
      <c r="H753" s="3"/>
      <c r="I753" s="3"/>
      <c r="K753" s="3"/>
      <c r="L753" s="3"/>
      <c r="X753" s="4"/>
      <c r="AA753" s="3"/>
      <c r="AD753" s="3"/>
      <c r="AE753" s="3"/>
      <c r="AK753" s="5"/>
    </row>
    <row r="754" spans="2:37" x14ac:dyDescent="0.25">
      <c r="B754" s="1"/>
      <c r="E754" s="2"/>
      <c r="H754" s="3"/>
      <c r="I754" s="3"/>
      <c r="K754" s="3"/>
      <c r="L754" s="3"/>
      <c r="X754" s="4"/>
      <c r="Z754" s="3"/>
      <c r="AA754" s="3"/>
      <c r="AD754" s="3"/>
      <c r="AE754" s="3"/>
      <c r="AK754" s="5"/>
    </row>
    <row r="755" spans="2:37" x14ac:dyDescent="0.25">
      <c r="B755" s="1"/>
      <c r="E755" s="2"/>
      <c r="G755" s="3"/>
      <c r="H755" s="3"/>
      <c r="I755" s="3"/>
      <c r="K755" s="3"/>
      <c r="L755" s="3"/>
      <c r="X755" s="4"/>
      <c r="Z755" s="3"/>
      <c r="AE755" s="3"/>
      <c r="AK755" s="5"/>
    </row>
    <row r="756" spans="2:37" x14ac:dyDescent="0.25">
      <c r="B756" s="1"/>
      <c r="E756" s="2"/>
      <c r="H756" s="3"/>
      <c r="I756" s="3"/>
      <c r="K756" s="3"/>
      <c r="L756" s="3"/>
      <c r="X756" s="4"/>
      <c r="Z756" s="3"/>
      <c r="AE756" s="3"/>
      <c r="AK756" s="5"/>
    </row>
    <row r="757" spans="2:37" x14ac:dyDescent="0.25">
      <c r="B757" s="1"/>
      <c r="E757" s="2"/>
      <c r="H757" s="3"/>
      <c r="I757" s="3"/>
      <c r="K757" s="3"/>
      <c r="L757" s="3"/>
      <c r="X757" s="4"/>
      <c r="Z757" s="3"/>
      <c r="AE757" s="3"/>
      <c r="AK757" s="5"/>
    </row>
    <row r="758" spans="2:37" x14ac:dyDescent="0.25">
      <c r="B758" s="1"/>
      <c r="E758" s="2"/>
      <c r="H758" s="3"/>
      <c r="I758" s="3"/>
      <c r="K758" s="3"/>
      <c r="L758" s="3"/>
      <c r="X758" s="4"/>
      <c r="Z758" s="3"/>
      <c r="AB758" s="3"/>
      <c r="AE758" s="3"/>
      <c r="AK758" s="5"/>
    </row>
    <row r="759" spans="2:37" x14ac:dyDescent="0.25">
      <c r="B759" s="1"/>
      <c r="E759" s="2"/>
      <c r="H759" s="3"/>
      <c r="I759" s="3"/>
      <c r="K759" s="3"/>
      <c r="L759" s="3"/>
      <c r="X759" s="4"/>
      <c r="Z759" s="3"/>
      <c r="AE759" s="3"/>
      <c r="AK759" s="5"/>
    </row>
    <row r="760" spans="2:37" x14ac:dyDescent="0.25">
      <c r="B760" s="1"/>
      <c r="E760" s="2"/>
      <c r="H760" s="3"/>
      <c r="I760" s="3"/>
      <c r="K760" s="3"/>
      <c r="L760" s="3"/>
      <c r="X760" s="4"/>
      <c r="Z760" s="3"/>
      <c r="AE760" s="3"/>
      <c r="AK760" s="5"/>
    </row>
    <row r="761" spans="2:37" x14ac:dyDescent="0.25">
      <c r="B761" s="3"/>
      <c r="E761" s="2"/>
      <c r="G761" s="3"/>
      <c r="H761" s="3"/>
      <c r="I761" s="3"/>
      <c r="K761" s="3"/>
      <c r="L761" s="3"/>
      <c r="X761" s="4"/>
      <c r="Z761" s="3"/>
      <c r="AK761" s="5"/>
    </row>
    <row r="762" spans="2:37" x14ac:dyDescent="0.25">
      <c r="B762" s="1"/>
      <c r="E762" s="2"/>
      <c r="H762" s="3"/>
      <c r="I762" s="3"/>
      <c r="K762" s="3"/>
      <c r="L762" s="3"/>
      <c r="X762" s="4"/>
      <c r="Z762" s="3"/>
      <c r="AE762" s="3"/>
      <c r="AK762" s="5"/>
    </row>
    <row r="763" spans="2:37" x14ac:dyDescent="0.25">
      <c r="B763" s="1"/>
      <c r="E763" s="2"/>
      <c r="H763" s="3"/>
      <c r="I763" s="3"/>
      <c r="K763" s="3"/>
      <c r="L763" s="3"/>
      <c r="X763" s="4"/>
      <c r="Z763" s="3"/>
      <c r="AE763" s="3"/>
      <c r="AK763" s="5"/>
    </row>
    <row r="764" spans="2:37" x14ac:dyDescent="0.25">
      <c r="B764" s="1"/>
      <c r="E764" s="2"/>
      <c r="H764" s="3"/>
      <c r="I764" s="3"/>
      <c r="K764" s="3"/>
      <c r="X764" s="4"/>
      <c r="AE764" s="3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AK765" s="5"/>
    </row>
    <row r="766" spans="2:37" x14ac:dyDescent="0.25">
      <c r="B766" s="1"/>
      <c r="E766" s="2"/>
      <c r="H766" s="3"/>
      <c r="I766" s="3"/>
      <c r="K766" s="3"/>
      <c r="L766" s="3"/>
      <c r="X766" s="4"/>
      <c r="Z766" s="3"/>
      <c r="AD766" s="3"/>
      <c r="AE766" s="3"/>
      <c r="AK766" s="5"/>
    </row>
    <row r="767" spans="2:37" x14ac:dyDescent="0.25">
      <c r="B767" s="1"/>
      <c r="E767" s="2"/>
      <c r="G767" s="3"/>
      <c r="H767" s="3"/>
      <c r="I767" s="3"/>
      <c r="K767" s="3"/>
      <c r="L767" s="3"/>
      <c r="X767" s="4"/>
    </row>
    <row r="768" spans="2:37" x14ac:dyDescent="0.25">
      <c r="B768" s="3"/>
      <c r="E768" s="2"/>
      <c r="G768" s="3"/>
      <c r="H768" s="3"/>
      <c r="I768" s="3"/>
      <c r="K768" s="3"/>
      <c r="L768" s="3"/>
      <c r="X768" s="4"/>
    </row>
    <row r="769" spans="2:37" x14ac:dyDescent="0.25">
      <c r="B769" s="1"/>
      <c r="E769" s="2"/>
      <c r="F769" s="3"/>
      <c r="H769" s="3"/>
      <c r="I769" s="3"/>
      <c r="K769" s="3"/>
      <c r="L769" s="3"/>
      <c r="X769" s="4"/>
      <c r="AB769" s="3"/>
      <c r="AE769" s="3"/>
      <c r="AK769" s="5"/>
    </row>
    <row r="770" spans="2:37" x14ac:dyDescent="0.25">
      <c r="B770" s="1"/>
      <c r="E770" s="2"/>
      <c r="G770" s="3"/>
      <c r="H770" s="3"/>
      <c r="I770" s="3"/>
      <c r="K770" s="3"/>
      <c r="L770" s="3"/>
      <c r="X770" s="4"/>
      <c r="Z770" s="3"/>
      <c r="AD770" s="3"/>
      <c r="AE770" s="3"/>
      <c r="AK770" s="5"/>
    </row>
    <row r="771" spans="2:37" x14ac:dyDescent="0.25">
      <c r="B771" s="1"/>
      <c r="E771" s="2"/>
      <c r="H771" s="3"/>
      <c r="I771" s="3"/>
      <c r="K771" s="3"/>
      <c r="L771" s="3"/>
      <c r="X771" s="4"/>
    </row>
    <row r="772" spans="2:37" x14ac:dyDescent="0.25">
      <c r="B772" s="3"/>
      <c r="D772" s="3"/>
      <c r="F772" s="3"/>
      <c r="G772" s="3"/>
    </row>
    <row r="773" spans="2:37" x14ac:dyDescent="0.25">
      <c r="B773" s="1"/>
      <c r="E773" s="2"/>
      <c r="H773" s="3"/>
      <c r="I773" s="3"/>
      <c r="K773" s="3"/>
      <c r="L773" s="3"/>
      <c r="X773" s="4"/>
      <c r="Z773" s="3"/>
      <c r="AB773" s="3"/>
      <c r="AE773" s="3"/>
      <c r="AK773" s="5"/>
    </row>
    <row r="774" spans="2:37" x14ac:dyDescent="0.25">
      <c r="B774" s="1"/>
      <c r="E774" s="2"/>
      <c r="G774" s="3"/>
      <c r="H774" s="3"/>
      <c r="I774" s="3"/>
      <c r="K774" s="3"/>
      <c r="X774" s="4"/>
      <c r="AK774" s="5"/>
    </row>
    <row r="775" spans="2:37" x14ac:dyDescent="0.25">
      <c r="B775" s="1"/>
      <c r="E775" s="2"/>
      <c r="H775" s="3"/>
      <c r="I775" s="3"/>
      <c r="K775" s="3"/>
      <c r="L775" s="3"/>
      <c r="X775" s="4"/>
      <c r="AK775" s="5"/>
    </row>
    <row r="776" spans="2:37" x14ac:dyDescent="0.25">
      <c r="B776" s="3"/>
      <c r="E776" s="2"/>
      <c r="G776" s="3"/>
      <c r="H776" s="3"/>
      <c r="I776" s="3"/>
      <c r="K776" s="3"/>
      <c r="X776" s="4"/>
      <c r="AK776" s="5"/>
    </row>
    <row r="777" spans="2:37" x14ac:dyDescent="0.25">
      <c r="B777" s="1"/>
      <c r="E777" s="2"/>
      <c r="H777" s="3"/>
      <c r="I777" s="3"/>
      <c r="K777" s="3"/>
      <c r="L777" s="3"/>
      <c r="X777" s="4"/>
      <c r="AE777" s="3"/>
      <c r="AK777" s="5"/>
    </row>
    <row r="778" spans="2:37" x14ac:dyDescent="0.25">
      <c r="B778" s="1"/>
      <c r="E778" s="2"/>
      <c r="G778" s="3"/>
      <c r="H778" s="3"/>
      <c r="I778" s="3"/>
      <c r="K778" s="3"/>
      <c r="X778" s="4"/>
    </row>
    <row r="779" spans="2:37" x14ac:dyDescent="0.25">
      <c r="B779" s="1"/>
      <c r="E779" s="2"/>
      <c r="H779" s="3"/>
      <c r="I779" s="3"/>
      <c r="K779" s="3"/>
      <c r="X779" s="4"/>
    </row>
    <row r="780" spans="2:37" x14ac:dyDescent="0.25">
      <c r="B780" s="1"/>
      <c r="E780" s="2"/>
      <c r="G780" s="3"/>
      <c r="H780" s="3"/>
      <c r="I780" s="3"/>
      <c r="K780" s="3"/>
      <c r="X780" s="4"/>
      <c r="AK780" s="5"/>
    </row>
    <row r="781" spans="2:37" x14ac:dyDescent="0.25">
      <c r="B781" s="1"/>
      <c r="E781" s="2"/>
      <c r="H781" s="3"/>
      <c r="I781" s="3"/>
      <c r="K781" s="3"/>
      <c r="X781" s="4"/>
      <c r="AK781" s="5"/>
    </row>
    <row r="782" spans="2:37" x14ac:dyDescent="0.25">
      <c r="B782" s="1"/>
      <c r="E782" s="2"/>
      <c r="H782" s="3"/>
      <c r="I782" s="3"/>
      <c r="K782" s="3"/>
      <c r="L782" s="3"/>
      <c r="X782" s="4"/>
      <c r="Z782" s="3"/>
      <c r="AE782" s="3"/>
      <c r="AK782" s="5"/>
    </row>
    <row r="783" spans="2:37" x14ac:dyDescent="0.25">
      <c r="B783" s="1"/>
      <c r="E783" s="2"/>
      <c r="H783" s="3"/>
      <c r="I783" s="3"/>
      <c r="K783" s="3"/>
      <c r="L783" s="3"/>
      <c r="X783" s="4"/>
      <c r="AB783" s="3"/>
      <c r="AE783" s="3"/>
      <c r="AK783" s="5"/>
    </row>
    <row r="784" spans="2:37" x14ac:dyDescent="0.25">
      <c r="B784" s="1"/>
      <c r="E784" s="2"/>
      <c r="H784" s="3"/>
      <c r="I784" s="3"/>
      <c r="K784" s="3"/>
      <c r="L784" s="3"/>
      <c r="X784" s="4"/>
      <c r="AD784" s="3"/>
      <c r="AE784" s="3"/>
      <c r="AK784" s="5"/>
    </row>
    <row r="785" spans="2:37" x14ac:dyDescent="0.25">
      <c r="B785" s="1"/>
      <c r="E785" s="2"/>
      <c r="G785" s="3"/>
      <c r="H785" s="3"/>
      <c r="I785" s="3"/>
      <c r="K785" s="3"/>
      <c r="L785" s="3"/>
      <c r="X785" s="4"/>
      <c r="AK785" s="5"/>
    </row>
    <row r="786" spans="2:37" x14ac:dyDescent="0.25">
      <c r="B786" s="1"/>
      <c r="E786" s="2"/>
      <c r="H786" s="3"/>
      <c r="I786" s="3"/>
      <c r="K786" s="3"/>
      <c r="X786" s="4"/>
      <c r="AE786" s="3"/>
      <c r="AK786" s="5"/>
    </row>
    <row r="787" spans="2:37" x14ac:dyDescent="0.25">
      <c r="B787" s="1"/>
      <c r="E787" s="2"/>
      <c r="H787" s="3"/>
      <c r="I787" s="3"/>
      <c r="K787" s="3"/>
      <c r="X787" s="4"/>
      <c r="AE787" s="3"/>
      <c r="AK787" s="5"/>
    </row>
    <row r="788" spans="2:37" x14ac:dyDescent="0.25">
      <c r="B788" s="1"/>
      <c r="E788" s="2"/>
      <c r="H788" s="3"/>
      <c r="I788" s="3"/>
      <c r="K788" s="3"/>
      <c r="L788" s="3"/>
      <c r="X788" s="4"/>
    </row>
    <row r="789" spans="2:37" x14ac:dyDescent="0.25">
      <c r="B789" s="3"/>
      <c r="D789" s="3"/>
      <c r="G789" s="3"/>
    </row>
    <row r="790" spans="2:37" x14ac:dyDescent="0.25">
      <c r="B790" s="1"/>
      <c r="E790" s="2"/>
      <c r="H790" s="3"/>
      <c r="I790" s="3"/>
      <c r="K790" s="3"/>
      <c r="L790" s="3"/>
      <c r="X790" s="4"/>
    </row>
    <row r="791" spans="2:37" x14ac:dyDescent="0.25">
      <c r="B791" s="3"/>
      <c r="F791" s="3"/>
      <c r="G791" s="3"/>
    </row>
    <row r="792" spans="2:37" x14ac:dyDescent="0.25">
      <c r="B792" s="1"/>
      <c r="E792" s="2"/>
      <c r="H792" s="3"/>
      <c r="I792" s="3"/>
      <c r="K792" s="3"/>
      <c r="L792" s="3"/>
      <c r="X792" s="4"/>
      <c r="AE792" s="3"/>
      <c r="AK792" s="5"/>
    </row>
    <row r="793" spans="2:37" x14ac:dyDescent="0.25">
      <c r="B793" s="1"/>
      <c r="E793" s="2"/>
      <c r="F793" s="3"/>
      <c r="G793" s="3"/>
      <c r="H793" s="3"/>
      <c r="I793" s="3"/>
      <c r="K793" s="3"/>
      <c r="X793" s="4"/>
      <c r="AE793" s="3"/>
      <c r="AK793" s="5"/>
    </row>
    <row r="794" spans="2:37" x14ac:dyDescent="0.25">
      <c r="B794" s="1"/>
      <c r="E794" s="2"/>
      <c r="H794" s="3"/>
      <c r="I794" s="3"/>
      <c r="K794" s="3"/>
      <c r="L794" s="3"/>
      <c r="X794" s="4"/>
      <c r="Z794" s="3"/>
      <c r="AE794" s="3"/>
      <c r="AK794" s="5"/>
    </row>
    <row r="795" spans="2:37" x14ac:dyDescent="0.25">
      <c r="B795" s="1"/>
      <c r="E795" s="2"/>
      <c r="H795" s="3"/>
      <c r="I795" s="3"/>
      <c r="K795" s="3"/>
      <c r="L795" s="3"/>
      <c r="X795" s="4"/>
      <c r="AA795" s="3"/>
      <c r="AE795" s="3"/>
      <c r="AK795" s="5"/>
    </row>
    <row r="796" spans="2:37" x14ac:dyDescent="0.25">
      <c r="B796" s="1"/>
      <c r="D796" s="3"/>
      <c r="E796" s="2"/>
      <c r="G796" s="3"/>
      <c r="H796" s="3"/>
      <c r="I796" s="3"/>
      <c r="K796" s="3"/>
      <c r="X796" s="4"/>
      <c r="AE796" s="3"/>
      <c r="AK796" s="5"/>
    </row>
    <row r="797" spans="2:37" x14ac:dyDescent="0.25">
      <c r="B797" s="1"/>
      <c r="E797" s="2"/>
      <c r="H797" s="3"/>
      <c r="I797" s="3"/>
      <c r="K797" s="3"/>
      <c r="L797" s="3"/>
      <c r="X797" s="4"/>
      <c r="Z797" s="3"/>
      <c r="AB797" s="3"/>
      <c r="AE797" s="3"/>
      <c r="AK797" s="5"/>
    </row>
    <row r="798" spans="2:37" x14ac:dyDescent="0.25">
      <c r="B798" s="1"/>
      <c r="E798" s="2"/>
      <c r="H798" s="3"/>
      <c r="I798" s="3"/>
      <c r="K798" s="3"/>
      <c r="L798" s="3"/>
      <c r="X798" s="4"/>
      <c r="AA798" s="3"/>
      <c r="AB798" s="3"/>
      <c r="AE798" s="3"/>
      <c r="AK798" s="5"/>
    </row>
    <row r="799" spans="2:37" x14ac:dyDescent="0.25">
      <c r="B799" s="1"/>
      <c r="E799" s="2"/>
      <c r="F799" s="3"/>
      <c r="G799" s="3"/>
      <c r="H799" s="3"/>
      <c r="I799" s="3"/>
      <c r="K799" s="3"/>
      <c r="L799" s="3"/>
      <c r="X799" s="4"/>
      <c r="AB799" s="3"/>
      <c r="AK799" s="5"/>
    </row>
    <row r="800" spans="2:37" x14ac:dyDescent="0.25">
      <c r="B800" s="1"/>
      <c r="E800" s="2"/>
      <c r="H800" s="3"/>
      <c r="I800" s="3"/>
      <c r="K800" s="3"/>
      <c r="L800" s="3"/>
      <c r="X800" s="4"/>
      <c r="Z800" s="3"/>
      <c r="AB800" s="3"/>
      <c r="AE800" s="3"/>
      <c r="AK800" s="5"/>
    </row>
    <row r="801" spans="2:37" x14ac:dyDescent="0.25">
      <c r="B801" s="1"/>
      <c r="E801" s="2"/>
      <c r="G801" s="3"/>
      <c r="H801" s="3"/>
      <c r="I801" s="3"/>
      <c r="K801" s="3"/>
      <c r="L801" s="3"/>
      <c r="X801" s="4"/>
      <c r="AD801" s="3"/>
      <c r="AE801" s="3"/>
      <c r="AK801" s="5"/>
    </row>
    <row r="802" spans="2:37" x14ac:dyDescent="0.25">
      <c r="B802" s="1"/>
      <c r="E802" s="2"/>
      <c r="G802" s="3"/>
      <c r="H802" s="3"/>
      <c r="I802" s="3"/>
      <c r="K802" s="3"/>
      <c r="L802" s="3"/>
      <c r="X802" s="4"/>
      <c r="AD802" s="3"/>
      <c r="AE802" s="3"/>
      <c r="AK802" s="5"/>
    </row>
    <row r="803" spans="2:37" x14ac:dyDescent="0.25">
      <c r="B803" s="1"/>
      <c r="D803" s="3"/>
      <c r="E803" s="2"/>
      <c r="G803" s="3"/>
      <c r="H803" s="3"/>
      <c r="I803" s="3"/>
      <c r="K803" s="3"/>
      <c r="L803" s="3"/>
      <c r="X803" s="4"/>
      <c r="AD803" s="3"/>
      <c r="AE803" s="3"/>
      <c r="AK803" s="5"/>
    </row>
    <row r="804" spans="2:37" x14ac:dyDescent="0.25">
      <c r="B804" s="1"/>
      <c r="E804" s="2"/>
      <c r="H804" s="3"/>
      <c r="I804" s="3"/>
      <c r="K804" s="3"/>
      <c r="L804" s="3"/>
      <c r="X804" s="4"/>
      <c r="AK804" s="5"/>
    </row>
    <row r="805" spans="2:37" x14ac:dyDescent="0.25">
      <c r="B805" s="1"/>
      <c r="D805" s="3"/>
      <c r="E805" s="2"/>
      <c r="H805" s="3"/>
      <c r="I805" s="3"/>
      <c r="K805" s="3"/>
      <c r="L805" s="3"/>
      <c r="X805" s="4"/>
    </row>
    <row r="806" spans="2:37" x14ac:dyDescent="0.25">
      <c r="B806" s="3"/>
      <c r="E806" s="2"/>
      <c r="G806" s="3"/>
      <c r="H806" s="3"/>
      <c r="I806" s="3"/>
      <c r="K806" s="3"/>
      <c r="L806" s="3"/>
      <c r="X806" s="4"/>
      <c r="AD806" s="3"/>
      <c r="AE806" s="3"/>
      <c r="AK806" s="5"/>
    </row>
    <row r="807" spans="2:37" x14ac:dyDescent="0.25">
      <c r="B807" s="1"/>
      <c r="E807" s="2"/>
      <c r="H807" s="3"/>
      <c r="I807" s="3"/>
      <c r="K807" s="3"/>
      <c r="L807" s="3"/>
      <c r="X807" s="4"/>
      <c r="AB807" s="3"/>
      <c r="AE807" s="3"/>
      <c r="AK807" s="5"/>
    </row>
    <row r="808" spans="2:37" x14ac:dyDescent="0.25">
      <c r="B808" s="1"/>
      <c r="E808" s="2"/>
      <c r="G808" s="3"/>
      <c r="H808" s="3"/>
      <c r="I808" s="3"/>
      <c r="K808" s="3"/>
      <c r="L808" s="3"/>
      <c r="X808" s="4"/>
    </row>
    <row r="809" spans="2:37" x14ac:dyDescent="0.25">
      <c r="B809" s="1"/>
      <c r="E809" s="2"/>
      <c r="F809" s="3"/>
      <c r="G809" s="3"/>
      <c r="H809" s="3"/>
      <c r="I809" s="3"/>
      <c r="K809" s="3"/>
      <c r="L809" s="3"/>
      <c r="X809" s="4"/>
      <c r="AB809" s="3"/>
      <c r="AE809" s="3"/>
      <c r="AK809" s="5"/>
    </row>
    <row r="810" spans="2:37" x14ac:dyDescent="0.25">
      <c r="B810" s="1"/>
      <c r="E810" s="2"/>
      <c r="G810" s="3"/>
      <c r="H810" s="3"/>
      <c r="I810" s="3"/>
      <c r="K810" s="3"/>
      <c r="L810" s="3"/>
      <c r="X810" s="4"/>
    </row>
    <row r="811" spans="2:37" x14ac:dyDescent="0.25">
      <c r="B811" s="1"/>
      <c r="E811" s="2"/>
      <c r="F811" s="3"/>
      <c r="G811" s="3"/>
      <c r="H811" s="3"/>
      <c r="I811" s="3"/>
      <c r="K811" s="3"/>
      <c r="X811" s="4"/>
    </row>
    <row r="812" spans="2:37" x14ac:dyDescent="0.25">
      <c r="B812" s="1"/>
      <c r="E812" s="2"/>
      <c r="G812" s="3"/>
      <c r="H812" s="3"/>
      <c r="I812" s="3"/>
      <c r="K812" s="3"/>
      <c r="L812" s="3"/>
      <c r="X812" s="4"/>
      <c r="AE812" s="3"/>
      <c r="AK812" s="5"/>
    </row>
    <row r="813" spans="2:37" x14ac:dyDescent="0.25">
      <c r="B813" s="1"/>
      <c r="E813" s="2"/>
      <c r="G813" s="3"/>
      <c r="H813" s="3"/>
      <c r="I813" s="3"/>
      <c r="K813" s="3"/>
      <c r="X813" s="4"/>
      <c r="AK813" s="5"/>
    </row>
    <row r="814" spans="2:37" x14ac:dyDescent="0.25">
      <c r="B814" s="1"/>
      <c r="E814" s="2"/>
      <c r="H814" s="3"/>
      <c r="I814" s="3"/>
      <c r="K814" s="3"/>
      <c r="X814" s="4"/>
      <c r="AE814" s="3"/>
      <c r="AK814" s="5"/>
    </row>
    <row r="815" spans="2:37" x14ac:dyDescent="0.25">
      <c r="B815" s="3"/>
      <c r="E815" s="2"/>
      <c r="G815" s="3"/>
      <c r="H815" s="3"/>
      <c r="I815" s="3"/>
      <c r="K815" s="3"/>
      <c r="L815" s="3"/>
      <c r="X815" s="4"/>
      <c r="Z815" s="3"/>
      <c r="AE815" s="3"/>
      <c r="AK815" s="5"/>
    </row>
    <row r="816" spans="2:37" x14ac:dyDescent="0.25">
      <c r="B816" s="1"/>
      <c r="E816" s="2"/>
      <c r="H816" s="3"/>
      <c r="I816" s="3"/>
      <c r="K816" s="3"/>
      <c r="X816" s="4"/>
      <c r="AK816" s="5"/>
    </row>
    <row r="817" spans="2:37" x14ac:dyDescent="0.25">
      <c r="B817" s="1"/>
      <c r="E817" s="2"/>
      <c r="H817" s="3"/>
      <c r="I817" s="3"/>
      <c r="K817" s="3"/>
      <c r="X817" s="4"/>
      <c r="AK817" s="5"/>
    </row>
    <row r="818" spans="2:37" x14ac:dyDescent="0.25">
      <c r="B818" s="1"/>
      <c r="E818" s="2"/>
      <c r="H818" s="3"/>
      <c r="I818" s="3"/>
      <c r="K818" s="3"/>
      <c r="L818" s="3"/>
      <c r="X818" s="4"/>
      <c r="AK818" s="5"/>
    </row>
    <row r="819" spans="2:37" x14ac:dyDescent="0.25">
      <c r="B819" s="1"/>
      <c r="E819" s="2"/>
      <c r="G819" s="3"/>
      <c r="H819" s="3"/>
      <c r="I819" s="3"/>
      <c r="K819" s="3"/>
      <c r="L819" s="3"/>
      <c r="X819" s="4"/>
      <c r="AB819" s="3"/>
      <c r="AE819" s="3"/>
      <c r="AK819" s="5"/>
    </row>
    <row r="820" spans="2:37" x14ac:dyDescent="0.25">
      <c r="B820" s="1"/>
      <c r="E820" s="2"/>
      <c r="H820" s="3"/>
      <c r="I820" s="3"/>
      <c r="K820" s="3"/>
      <c r="X820" s="4"/>
      <c r="AK820" s="5"/>
    </row>
    <row r="821" spans="2:37" x14ac:dyDescent="0.25">
      <c r="B821" s="1"/>
      <c r="E821" s="2"/>
      <c r="H821" s="3"/>
      <c r="I821" s="3"/>
      <c r="K821" s="3"/>
      <c r="X821" s="4"/>
      <c r="AK821" s="5"/>
    </row>
    <row r="822" spans="2:37" x14ac:dyDescent="0.25">
      <c r="B822" s="1"/>
      <c r="E822" s="2"/>
      <c r="H822" s="3"/>
      <c r="I822" s="3"/>
      <c r="K822" s="3"/>
      <c r="L822" s="3"/>
      <c r="X822" s="4"/>
      <c r="Z822" s="3"/>
      <c r="AE822" s="3"/>
      <c r="AK822" s="5"/>
    </row>
    <row r="823" spans="2:37" x14ac:dyDescent="0.25">
      <c r="B823" s="1"/>
      <c r="E823" s="2"/>
      <c r="H823" s="3"/>
      <c r="I823" s="3"/>
      <c r="K823" s="3"/>
      <c r="X823" s="4"/>
      <c r="AK823" s="5"/>
    </row>
    <row r="824" spans="2:37" x14ac:dyDescent="0.25">
      <c r="B824" s="1"/>
      <c r="E824" s="2"/>
      <c r="H824" s="3"/>
      <c r="I824" s="3"/>
      <c r="K824" s="3"/>
      <c r="X824" s="4"/>
      <c r="AK824" s="5"/>
    </row>
    <row r="825" spans="2:37" x14ac:dyDescent="0.25">
      <c r="B825" s="1"/>
      <c r="E825" s="2"/>
      <c r="H825" s="3"/>
      <c r="I825" s="3"/>
      <c r="K825" s="3"/>
      <c r="L825" s="3"/>
      <c r="X825" s="4"/>
      <c r="AD825" s="3"/>
      <c r="AE825" s="3"/>
      <c r="AK825" s="5"/>
    </row>
    <row r="826" spans="2:37" x14ac:dyDescent="0.25">
      <c r="B826" s="1"/>
      <c r="E826" s="2"/>
      <c r="H826" s="3"/>
      <c r="I826" s="3"/>
      <c r="K826" s="3"/>
      <c r="L826" s="3"/>
      <c r="X826" s="4"/>
      <c r="AD826" s="3"/>
      <c r="AE826" s="3"/>
      <c r="AK826" s="5"/>
    </row>
    <row r="827" spans="2:37" x14ac:dyDescent="0.25">
      <c r="B827" s="1"/>
      <c r="E827" s="2"/>
      <c r="H827" s="3"/>
      <c r="I827" s="3"/>
      <c r="K827" s="3"/>
      <c r="L827" s="3"/>
      <c r="X827" s="4"/>
      <c r="Z827" s="3"/>
      <c r="AD827" s="3"/>
      <c r="AE827" s="3"/>
      <c r="AK827" s="5"/>
    </row>
    <row r="828" spans="2:37" x14ac:dyDescent="0.25">
      <c r="B828" s="1"/>
      <c r="E828" s="2"/>
      <c r="H828" s="3"/>
      <c r="I828" s="3"/>
      <c r="K828" s="3"/>
      <c r="L828" s="3"/>
      <c r="X828" s="4"/>
      <c r="Z828" s="3"/>
      <c r="AD828" s="3"/>
      <c r="AE828" s="3"/>
      <c r="AK828" s="5"/>
    </row>
    <row r="829" spans="2:37" x14ac:dyDescent="0.25">
      <c r="B829" s="1"/>
      <c r="D829" s="3"/>
      <c r="E829" s="2"/>
      <c r="G829" s="3"/>
      <c r="H829" s="3"/>
      <c r="I829" s="3"/>
      <c r="K829" s="3"/>
      <c r="L829" s="3"/>
      <c r="X829" s="4"/>
      <c r="AD829" s="3"/>
      <c r="AE829" s="3"/>
      <c r="AK829" s="5"/>
    </row>
    <row r="830" spans="2:37" x14ac:dyDescent="0.25">
      <c r="B830" s="1"/>
      <c r="E830" s="2"/>
      <c r="G830" s="3"/>
      <c r="H830" s="3"/>
      <c r="I830" s="3"/>
      <c r="K830" s="3"/>
      <c r="L830" s="3"/>
      <c r="X830" s="4"/>
      <c r="AD830" s="3"/>
      <c r="AE830" s="3"/>
      <c r="AK830" s="5"/>
    </row>
    <row r="831" spans="2:37" x14ac:dyDescent="0.25">
      <c r="B831" s="1"/>
      <c r="E831" s="2"/>
      <c r="G831" s="3"/>
      <c r="H831" s="3"/>
      <c r="I831" s="3"/>
      <c r="K831" s="3"/>
      <c r="L831" s="3"/>
      <c r="X831" s="4"/>
      <c r="AK831" s="5"/>
    </row>
    <row r="832" spans="2:37" x14ac:dyDescent="0.25">
      <c r="B832" s="1"/>
      <c r="E832" s="2"/>
      <c r="G832" s="3"/>
      <c r="H832" s="3"/>
      <c r="I832" s="3"/>
      <c r="K832" s="3"/>
      <c r="L832" s="3"/>
      <c r="X832" s="4"/>
      <c r="AD832" s="3"/>
      <c r="AE832" s="3"/>
      <c r="AK832" s="5"/>
    </row>
    <row r="833" spans="2:37" x14ac:dyDescent="0.25">
      <c r="B833" s="1"/>
      <c r="E833" s="2"/>
      <c r="G833" s="3"/>
      <c r="H833" s="3"/>
      <c r="I833" s="3"/>
      <c r="K833" s="3"/>
      <c r="L833" s="3"/>
      <c r="X833" s="4"/>
      <c r="AD833" s="3"/>
      <c r="AE833" s="3"/>
      <c r="AK833" s="5"/>
    </row>
    <row r="834" spans="2:37" x14ac:dyDescent="0.25">
      <c r="B834" s="1"/>
      <c r="E834" s="2"/>
      <c r="H834" s="3"/>
      <c r="I834" s="3"/>
      <c r="K834" s="3"/>
      <c r="L834" s="3"/>
      <c r="X834" s="4"/>
      <c r="AD834" s="3"/>
      <c r="AE834" s="3"/>
      <c r="AK834" s="5"/>
    </row>
    <row r="835" spans="2:37" x14ac:dyDescent="0.25">
      <c r="B835" s="1"/>
      <c r="E835" s="2"/>
      <c r="H835" s="3"/>
      <c r="I835" s="3"/>
      <c r="K835" s="3"/>
      <c r="L835" s="3"/>
      <c r="X835" s="4"/>
      <c r="AD835" s="3"/>
      <c r="AE835" s="3"/>
      <c r="AK835" s="5"/>
    </row>
    <row r="836" spans="2:37" x14ac:dyDescent="0.25">
      <c r="B836" s="1"/>
      <c r="E836" s="2"/>
      <c r="H836" s="3"/>
      <c r="I836" s="3"/>
      <c r="K836" s="3"/>
      <c r="L836" s="3"/>
      <c r="X836" s="4"/>
      <c r="AD836" s="3"/>
      <c r="AE836" s="3"/>
      <c r="AK836" s="5"/>
    </row>
    <row r="837" spans="2:37" x14ac:dyDescent="0.25">
      <c r="B837" s="3"/>
      <c r="E837" s="2"/>
      <c r="G837" s="3"/>
      <c r="H837" s="3"/>
      <c r="I837" s="3"/>
      <c r="K837" s="3"/>
      <c r="L837" s="3"/>
      <c r="X837" s="4"/>
      <c r="AD837" s="3"/>
      <c r="AE837" s="3"/>
      <c r="AK837" s="5"/>
    </row>
    <row r="838" spans="2:37" x14ac:dyDescent="0.25">
      <c r="B838" s="1"/>
      <c r="E838" s="2"/>
      <c r="H838" s="3"/>
      <c r="I838" s="3"/>
      <c r="K838" s="3"/>
      <c r="L838" s="3"/>
      <c r="X838" s="4"/>
      <c r="AD838" s="3"/>
      <c r="AE838" s="3"/>
      <c r="AK838" s="5"/>
    </row>
    <row r="839" spans="2:37" x14ac:dyDescent="0.25">
      <c r="B839" s="1"/>
      <c r="E839" s="2"/>
      <c r="F839" s="3"/>
      <c r="H839" s="3"/>
      <c r="I839" s="3"/>
      <c r="K839" s="3"/>
      <c r="L839" s="3"/>
      <c r="X839" s="4"/>
      <c r="AD839" s="3"/>
      <c r="AE839" s="3"/>
      <c r="AK839" s="5"/>
    </row>
    <row r="840" spans="2:37" x14ac:dyDescent="0.25">
      <c r="B840" s="1"/>
      <c r="E840" s="2"/>
      <c r="H840" s="3"/>
      <c r="I840" s="3"/>
      <c r="K840" s="3"/>
      <c r="L840" s="3"/>
      <c r="X840" s="4"/>
      <c r="AD840" s="3"/>
      <c r="AE840" s="3"/>
      <c r="AK840" s="5"/>
    </row>
    <row r="841" spans="2:37" x14ac:dyDescent="0.25">
      <c r="B841" s="1"/>
      <c r="E841" s="2"/>
      <c r="H841" s="3"/>
      <c r="I841" s="3"/>
      <c r="K841" s="3"/>
      <c r="L841" s="3"/>
      <c r="X841" s="4"/>
      <c r="Z841" s="3"/>
      <c r="AD841" s="3"/>
      <c r="AE841" s="3"/>
      <c r="AK841" s="5"/>
    </row>
    <row r="842" spans="2:37" x14ac:dyDescent="0.25">
      <c r="B842" s="1"/>
      <c r="E842" s="2"/>
      <c r="H842" s="3"/>
      <c r="I842" s="3"/>
      <c r="K842" s="3"/>
      <c r="L842" s="3"/>
      <c r="X842" s="4"/>
      <c r="Z842" s="3"/>
      <c r="AD842" s="3"/>
      <c r="AE842" s="3"/>
      <c r="AK842" s="5"/>
    </row>
    <row r="843" spans="2:37" x14ac:dyDescent="0.25">
      <c r="B843" s="1"/>
      <c r="E843" s="2"/>
      <c r="H843" s="3"/>
      <c r="I843" s="3"/>
      <c r="K843" s="3"/>
      <c r="L843" s="3"/>
      <c r="X843" s="4"/>
      <c r="AD843" s="3"/>
      <c r="AE843" s="3"/>
      <c r="AK843" s="5"/>
    </row>
    <row r="844" spans="2:37" x14ac:dyDescent="0.25">
      <c r="B844" s="1"/>
      <c r="E844" s="2"/>
      <c r="F844" s="3"/>
      <c r="G844" s="3"/>
      <c r="H844" s="3"/>
      <c r="I844" s="3"/>
      <c r="K844" s="3"/>
      <c r="L844" s="3"/>
      <c r="X844" s="4"/>
      <c r="AD844" s="3"/>
      <c r="AE844" s="3"/>
      <c r="AK844" s="5"/>
    </row>
    <row r="845" spans="2:37" x14ac:dyDescent="0.25">
      <c r="B845" s="1"/>
      <c r="E845" s="2"/>
      <c r="H845" s="3"/>
      <c r="I845" s="3"/>
      <c r="K845" s="3"/>
      <c r="L845" s="3"/>
      <c r="X845" s="4"/>
      <c r="AD845" s="3"/>
      <c r="AE845" s="3"/>
      <c r="AK845" s="5"/>
    </row>
    <row r="846" spans="2:37" x14ac:dyDescent="0.25">
      <c r="B846" s="1"/>
      <c r="E846" s="2"/>
      <c r="H846" s="3"/>
      <c r="I846" s="3"/>
      <c r="K846" s="3"/>
      <c r="L846" s="3"/>
      <c r="X846" s="4"/>
      <c r="AD846" s="3"/>
      <c r="AE846" s="3"/>
      <c r="AK846" s="5"/>
    </row>
    <row r="847" spans="2:37" x14ac:dyDescent="0.25">
      <c r="B847" s="1"/>
      <c r="E847" s="2"/>
      <c r="H847" s="3"/>
      <c r="I847" s="3"/>
      <c r="K847" s="3"/>
      <c r="L847" s="3"/>
      <c r="X847" s="4"/>
      <c r="AE847" s="3"/>
      <c r="AK847" s="5"/>
    </row>
    <row r="848" spans="2:37" x14ac:dyDescent="0.25">
      <c r="B848" s="1"/>
      <c r="E848" s="2"/>
      <c r="G848" s="3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H849" s="3"/>
      <c r="I849" s="3"/>
      <c r="K849" s="3"/>
      <c r="L849" s="3"/>
      <c r="X849" s="4"/>
      <c r="AK849" s="5"/>
    </row>
    <row r="850" spans="2:37" x14ac:dyDescent="0.25">
      <c r="B850" s="1"/>
      <c r="E850" s="2"/>
      <c r="H850" s="3"/>
      <c r="I850" s="3"/>
      <c r="K850" s="3"/>
      <c r="L850" s="3"/>
      <c r="X850" s="4"/>
      <c r="Z850" s="3"/>
      <c r="AD850" s="3"/>
      <c r="AE850" s="3"/>
      <c r="AK850" s="5"/>
    </row>
    <row r="851" spans="2:37" x14ac:dyDescent="0.25">
      <c r="B851" s="1"/>
      <c r="E851" s="2"/>
      <c r="H851" s="3"/>
      <c r="I851" s="3"/>
      <c r="K851" s="3"/>
      <c r="L851" s="3"/>
      <c r="X851" s="4"/>
      <c r="Z851" s="3"/>
      <c r="AD851" s="3"/>
      <c r="AE851" s="3"/>
      <c r="AK851" s="5"/>
    </row>
    <row r="852" spans="2:37" x14ac:dyDescent="0.25">
      <c r="B852" s="1"/>
      <c r="E852" s="2"/>
      <c r="F852" s="3"/>
      <c r="G852" s="3"/>
      <c r="H852" s="3"/>
      <c r="I852" s="3"/>
      <c r="K852" s="3"/>
      <c r="L852" s="3"/>
      <c r="X852" s="4"/>
      <c r="Z852" s="3"/>
      <c r="AE852" s="3"/>
      <c r="AK852" s="5"/>
    </row>
    <row r="853" spans="2:37" x14ac:dyDescent="0.25">
      <c r="B853" s="1"/>
      <c r="E853" s="2"/>
      <c r="H853" s="3"/>
      <c r="I853" s="3"/>
      <c r="K853" s="3"/>
      <c r="L853" s="3"/>
      <c r="X853" s="4"/>
      <c r="AB853" s="3"/>
      <c r="AE853" s="3"/>
      <c r="AK853" s="5"/>
    </row>
    <row r="854" spans="2:37" x14ac:dyDescent="0.25">
      <c r="B854" s="3"/>
      <c r="E854" s="2"/>
      <c r="G854" s="3"/>
      <c r="H854" s="3"/>
      <c r="I854" s="3"/>
      <c r="K854" s="3"/>
      <c r="L854" s="3"/>
      <c r="X854" s="4"/>
      <c r="Z854" s="3"/>
      <c r="AK854" s="5"/>
    </row>
    <row r="855" spans="2:37" x14ac:dyDescent="0.25">
      <c r="B855" s="1"/>
      <c r="E855" s="2"/>
      <c r="H855" s="3"/>
      <c r="I855" s="3"/>
      <c r="K855" s="3"/>
      <c r="L855" s="3"/>
      <c r="X855" s="4"/>
      <c r="Z855" s="3"/>
      <c r="AB855" s="3"/>
      <c r="AE855" s="3"/>
      <c r="AK855" s="5"/>
    </row>
    <row r="856" spans="2:37" x14ac:dyDescent="0.25">
      <c r="B856" s="1"/>
      <c r="E856" s="2"/>
      <c r="G856" s="3"/>
      <c r="H856" s="3"/>
      <c r="I856" s="3"/>
      <c r="K856" s="3"/>
      <c r="L856" s="3"/>
      <c r="X856" s="4"/>
      <c r="AK856" s="5"/>
    </row>
    <row r="857" spans="2:37" x14ac:dyDescent="0.25">
      <c r="B857" s="1"/>
      <c r="D857" s="3"/>
      <c r="E857" s="2"/>
      <c r="G857" s="3"/>
      <c r="H857" s="3"/>
      <c r="I857" s="3"/>
      <c r="K857" s="3"/>
      <c r="L857" s="3"/>
      <c r="X857" s="4"/>
      <c r="AB857" s="3"/>
      <c r="AK857" s="5"/>
    </row>
    <row r="858" spans="2:37" x14ac:dyDescent="0.25">
      <c r="B858" s="1"/>
      <c r="E858" s="2"/>
      <c r="G858" s="3"/>
      <c r="H858" s="3"/>
      <c r="I858" s="3"/>
      <c r="K858" s="3"/>
      <c r="L858" s="3"/>
      <c r="X858" s="4"/>
      <c r="Z858" s="3"/>
      <c r="AB858" s="3"/>
      <c r="AE858" s="3"/>
      <c r="AK858" s="5"/>
    </row>
    <row r="859" spans="2:37" x14ac:dyDescent="0.25">
      <c r="B859" s="1"/>
      <c r="E859" s="2"/>
      <c r="H859" s="3"/>
      <c r="I859" s="3"/>
      <c r="K859" s="3"/>
      <c r="L859" s="3"/>
      <c r="X859" s="4"/>
      <c r="Z859" s="3"/>
      <c r="AB859" s="3"/>
      <c r="AE859" s="3"/>
      <c r="AK859" s="5"/>
    </row>
    <row r="860" spans="2:37" x14ac:dyDescent="0.25">
      <c r="B860" s="1"/>
      <c r="E860" s="2"/>
      <c r="H860" s="3"/>
      <c r="I860" s="3"/>
      <c r="K860" s="3"/>
      <c r="X860" s="4"/>
      <c r="AK860" s="5"/>
    </row>
    <row r="861" spans="2:37" x14ac:dyDescent="0.25">
      <c r="B861" s="1"/>
      <c r="E861" s="2"/>
      <c r="H861" s="3"/>
      <c r="I861" s="3"/>
      <c r="K861" s="3"/>
      <c r="L861" s="3"/>
      <c r="X861" s="4"/>
      <c r="AA861" s="3"/>
      <c r="AD861" s="3"/>
      <c r="AE861" s="3"/>
      <c r="AK861" s="5"/>
    </row>
    <row r="862" spans="2:37" x14ac:dyDescent="0.25">
      <c r="B862" s="1"/>
      <c r="E862" s="2"/>
      <c r="H862" s="3"/>
      <c r="I862" s="3"/>
      <c r="K862" s="3"/>
      <c r="L862" s="3"/>
      <c r="X862" s="4"/>
      <c r="AA862" s="3"/>
      <c r="AK862" s="5"/>
    </row>
    <row r="863" spans="2:37" x14ac:dyDescent="0.25">
      <c r="B863" s="3"/>
      <c r="E863" s="2"/>
      <c r="G863" s="3"/>
      <c r="H863" s="3"/>
      <c r="I863" s="3"/>
      <c r="K863" s="3"/>
      <c r="X863" s="4"/>
      <c r="AK863" s="5"/>
    </row>
    <row r="864" spans="2:37" x14ac:dyDescent="0.25">
      <c r="B864" s="1"/>
      <c r="E864" s="2"/>
      <c r="F864" s="3"/>
      <c r="G864" s="3"/>
      <c r="H864" s="3"/>
      <c r="I864" s="3"/>
      <c r="K864" s="3"/>
      <c r="L864" s="3"/>
      <c r="X864" s="4"/>
      <c r="Z864" s="3"/>
      <c r="AE864" s="3"/>
      <c r="AK864" s="5"/>
    </row>
    <row r="865" spans="2:37" x14ac:dyDescent="0.25">
      <c r="B865" s="1"/>
      <c r="E865" s="2"/>
      <c r="H865" s="3"/>
      <c r="I865" s="3"/>
      <c r="K865" s="3"/>
      <c r="L865" s="3"/>
      <c r="X865" s="4"/>
    </row>
    <row r="866" spans="2:37" x14ac:dyDescent="0.25">
      <c r="B866" s="3"/>
      <c r="G866" s="3"/>
    </row>
    <row r="867" spans="2:37" x14ac:dyDescent="0.25">
      <c r="B867" s="1"/>
      <c r="E867" s="2"/>
      <c r="H867" s="3"/>
      <c r="I867" s="3"/>
      <c r="K867" s="3"/>
      <c r="L867" s="3"/>
      <c r="X867" s="4"/>
      <c r="AK867" s="5"/>
    </row>
    <row r="868" spans="2:37" x14ac:dyDescent="0.25">
      <c r="B868" s="3"/>
      <c r="D868" s="3"/>
      <c r="E868" s="2"/>
      <c r="G868" s="3"/>
      <c r="H868" s="3"/>
      <c r="I868" s="3"/>
      <c r="K868" s="3"/>
      <c r="L868" s="3"/>
      <c r="X868" s="4"/>
      <c r="AB868" s="3"/>
      <c r="AK868" s="5"/>
    </row>
    <row r="869" spans="2:37" x14ac:dyDescent="0.25">
      <c r="B869" s="1"/>
      <c r="E869" s="2"/>
      <c r="H869" s="3"/>
      <c r="I869" s="3"/>
      <c r="K869" s="3"/>
      <c r="X869" s="4"/>
      <c r="AE869" s="3"/>
      <c r="AK869" s="5"/>
    </row>
    <row r="870" spans="2:37" x14ac:dyDescent="0.25">
      <c r="B870" s="1"/>
      <c r="E870" s="2"/>
      <c r="H870" s="3"/>
      <c r="I870" s="3"/>
      <c r="K870" s="3"/>
      <c r="L870" s="3"/>
      <c r="X870" s="4"/>
      <c r="Z870" s="3"/>
      <c r="AE870" s="3"/>
      <c r="AK870" s="5"/>
    </row>
    <row r="871" spans="2:37" x14ac:dyDescent="0.25">
      <c r="B871" s="1"/>
      <c r="E871" s="2"/>
      <c r="H871" s="3"/>
      <c r="I871" s="3"/>
      <c r="K871" s="3"/>
      <c r="L871" s="3"/>
      <c r="X871" s="4"/>
      <c r="Z871" s="3"/>
      <c r="AE871" s="3"/>
      <c r="AK871" s="5"/>
    </row>
    <row r="872" spans="2:37" x14ac:dyDescent="0.25">
      <c r="B872" s="1"/>
      <c r="E872" s="2"/>
      <c r="H872" s="3"/>
      <c r="I872" s="3"/>
      <c r="K872" s="3"/>
      <c r="X872" s="4"/>
      <c r="AK872" s="5"/>
    </row>
    <row r="873" spans="2:37" x14ac:dyDescent="0.25">
      <c r="B873" s="1"/>
      <c r="E873" s="2"/>
      <c r="G873" s="3"/>
      <c r="H873" s="3"/>
      <c r="I873" s="3"/>
      <c r="K873" s="3"/>
      <c r="X873" s="4"/>
      <c r="AK873" s="5"/>
    </row>
    <row r="874" spans="2:37" x14ac:dyDescent="0.25">
      <c r="B874" s="1"/>
      <c r="E874" s="2"/>
      <c r="H874" s="3"/>
      <c r="I874" s="3"/>
      <c r="K874" s="3"/>
      <c r="L874" s="3"/>
      <c r="X874" s="4"/>
      <c r="Z874" s="3"/>
      <c r="AE874" s="3"/>
      <c r="AK874" s="5"/>
    </row>
    <row r="875" spans="2:37" x14ac:dyDescent="0.25">
      <c r="B875" s="1"/>
      <c r="E875" s="2"/>
      <c r="H875" s="3"/>
      <c r="I875" s="3"/>
      <c r="K875" s="3"/>
      <c r="L875" s="3"/>
      <c r="X875" s="4"/>
      <c r="AE875" s="3"/>
      <c r="AK875" s="5"/>
    </row>
    <row r="876" spans="2:37" x14ac:dyDescent="0.25">
      <c r="B876" s="1"/>
      <c r="E876" s="2"/>
      <c r="H876" s="3"/>
      <c r="I876" s="3"/>
      <c r="K876" s="3"/>
      <c r="X876" s="4"/>
      <c r="AK876" s="5"/>
    </row>
    <row r="877" spans="2:37" x14ac:dyDescent="0.25">
      <c r="B877" s="1"/>
      <c r="E877" s="2"/>
      <c r="H877" s="3"/>
      <c r="I877" s="3"/>
      <c r="K877" s="3"/>
      <c r="L877" s="3"/>
      <c r="X877" s="4"/>
      <c r="Z877" s="3"/>
      <c r="AE877" s="3"/>
      <c r="AK877" s="5"/>
    </row>
    <row r="878" spans="2:37" x14ac:dyDescent="0.25">
      <c r="B878" s="1"/>
      <c r="E878" s="2"/>
      <c r="H878" s="3"/>
      <c r="I878" s="3"/>
      <c r="K878" s="3"/>
      <c r="X878" s="4"/>
      <c r="AK878" s="5"/>
    </row>
    <row r="879" spans="2:37" x14ac:dyDescent="0.25">
      <c r="B879" s="1"/>
      <c r="E879" s="2"/>
      <c r="H879" s="3"/>
      <c r="I879" s="3"/>
      <c r="K879" s="3"/>
      <c r="L879" s="3"/>
      <c r="X879" s="4"/>
      <c r="AD879" s="3"/>
      <c r="AE879" s="3"/>
      <c r="AK879" s="5"/>
    </row>
    <row r="880" spans="2:37" x14ac:dyDescent="0.25">
      <c r="B880" s="1"/>
      <c r="E880" s="2"/>
      <c r="H880" s="3"/>
      <c r="I880" s="3"/>
      <c r="K880" s="3"/>
      <c r="L880" s="3"/>
      <c r="X880" s="4"/>
      <c r="AB880" s="3"/>
      <c r="AE880" s="3"/>
      <c r="AK880" s="5"/>
    </row>
    <row r="881" spans="2:37" x14ac:dyDescent="0.25">
      <c r="B881" s="1"/>
      <c r="E881" s="2"/>
      <c r="F881" s="3"/>
      <c r="G881" s="3"/>
      <c r="H881" s="3"/>
      <c r="I881" s="3"/>
      <c r="K881" s="3"/>
      <c r="L881" s="3"/>
      <c r="X881" s="4"/>
      <c r="Z881" s="3"/>
      <c r="AB881" s="3"/>
      <c r="AE881" s="3"/>
      <c r="AK881" s="5"/>
    </row>
    <row r="882" spans="2:37" x14ac:dyDescent="0.25">
      <c r="B882" s="1"/>
      <c r="E882" s="2"/>
      <c r="H882" s="3"/>
      <c r="I882" s="3"/>
      <c r="K882" s="3"/>
      <c r="L882" s="3"/>
      <c r="X882" s="4"/>
      <c r="AB882" s="3"/>
      <c r="AE882" s="3"/>
      <c r="AK882" s="5"/>
    </row>
    <row r="883" spans="2:37" x14ac:dyDescent="0.25">
      <c r="B883" s="1"/>
      <c r="E883" s="2"/>
      <c r="F883" s="3"/>
      <c r="G883" s="3"/>
      <c r="H883" s="3"/>
      <c r="I883" s="3"/>
      <c r="K883" s="3"/>
      <c r="L883" s="3"/>
      <c r="X883" s="4"/>
      <c r="AB883" s="3"/>
      <c r="AE883" s="3"/>
      <c r="AK883" s="5"/>
    </row>
    <row r="884" spans="2:37" x14ac:dyDescent="0.25">
      <c r="B884" s="1"/>
      <c r="E884" s="2"/>
      <c r="H884" s="3"/>
      <c r="I884" s="3"/>
      <c r="K884" s="3"/>
      <c r="L884" s="3"/>
      <c r="X884" s="4"/>
      <c r="AB884" s="3"/>
      <c r="AE884" s="3"/>
      <c r="AK884" s="5"/>
    </row>
    <row r="885" spans="2:37" x14ac:dyDescent="0.25">
      <c r="B885" s="1"/>
      <c r="E885" s="2"/>
      <c r="F885" s="3"/>
      <c r="G885" s="3"/>
      <c r="H885" s="3"/>
      <c r="I885" s="3"/>
      <c r="K885" s="3"/>
      <c r="L885" s="3"/>
      <c r="X885" s="4"/>
      <c r="AB885" s="3"/>
      <c r="AK885" s="5"/>
    </row>
    <row r="886" spans="2:37" x14ac:dyDescent="0.25">
      <c r="B886" s="1"/>
      <c r="E886" s="2"/>
      <c r="H886" s="3"/>
      <c r="I886" s="3"/>
      <c r="K886" s="3"/>
      <c r="L886" s="3"/>
      <c r="X886" s="4"/>
      <c r="AB886" s="3"/>
      <c r="AD886" s="3"/>
      <c r="AE886" s="3"/>
      <c r="AK886" s="5"/>
    </row>
    <row r="887" spans="2:37" x14ac:dyDescent="0.25">
      <c r="B887" s="1"/>
      <c r="E887" s="2"/>
      <c r="G887" s="3"/>
      <c r="H887" s="3"/>
      <c r="I887" s="3"/>
      <c r="K887" s="3"/>
      <c r="L887" s="3"/>
      <c r="X887" s="4"/>
      <c r="AK887" s="5"/>
    </row>
    <row r="888" spans="2:37" x14ac:dyDescent="0.25">
      <c r="B888" s="1"/>
      <c r="E888" s="2"/>
      <c r="F888" s="3"/>
      <c r="G888" s="3"/>
      <c r="H888" s="3"/>
      <c r="I888" s="3"/>
      <c r="K888" s="3"/>
      <c r="L888" s="3"/>
      <c r="X888" s="4"/>
      <c r="AB888" s="3"/>
      <c r="AE888" s="3"/>
      <c r="AK888" s="5"/>
    </row>
    <row r="889" spans="2:37" x14ac:dyDescent="0.25">
      <c r="B889" s="1"/>
      <c r="E889" s="2"/>
      <c r="H889" s="3"/>
      <c r="I889" s="3"/>
      <c r="K889" s="3"/>
      <c r="L889" s="3"/>
      <c r="X889" s="4"/>
      <c r="AB889" s="3"/>
      <c r="AE889" s="3"/>
      <c r="AK889" s="5"/>
    </row>
    <row r="890" spans="2:37" x14ac:dyDescent="0.25">
      <c r="B890" s="1"/>
      <c r="E890" s="2"/>
      <c r="F890" s="3"/>
      <c r="G890" s="3"/>
      <c r="H890" s="3"/>
      <c r="I890" s="3"/>
      <c r="K890" s="3"/>
      <c r="L890" s="3"/>
      <c r="X890" s="4"/>
      <c r="AB890" s="3"/>
      <c r="AE890" s="3"/>
      <c r="AK890" s="5"/>
    </row>
    <row r="891" spans="2:37" x14ac:dyDescent="0.25">
      <c r="B891" s="1"/>
      <c r="E891" s="2"/>
      <c r="H891" s="3"/>
      <c r="I891" s="3"/>
      <c r="K891" s="3"/>
      <c r="L891" s="3"/>
      <c r="X891" s="4"/>
      <c r="Z891" s="3"/>
      <c r="AB891" s="3"/>
      <c r="AE891" s="3"/>
      <c r="AK891" s="5"/>
    </row>
    <row r="892" spans="2:37" x14ac:dyDescent="0.25">
      <c r="B892" s="1"/>
      <c r="E892" s="2"/>
      <c r="F892" s="3"/>
      <c r="G892" s="3"/>
      <c r="H892" s="3"/>
      <c r="I892" s="3"/>
      <c r="K892" s="3"/>
      <c r="L892" s="3"/>
      <c r="X892" s="4"/>
      <c r="AB892" s="3"/>
      <c r="AE892" s="3"/>
      <c r="AK892" s="5"/>
    </row>
    <row r="893" spans="2:37" x14ac:dyDescent="0.25">
      <c r="B893" s="1"/>
      <c r="E893" s="2"/>
      <c r="H893" s="3"/>
      <c r="I893" s="3"/>
      <c r="K893" s="3"/>
      <c r="L893" s="3"/>
      <c r="X893" s="4"/>
      <c r="AE893" s="3"/>
      <c r="AK893" s="5"/>
    </row>
    <row r="894" spans="2:37" x14ac:dyDescent="0.25">
      <c r="B894" s="3"/>
      <c r="E894" s="2"/>
      <c r="F894" s="3"/>
      <c r="G894" s="3"/>
      <c r="H894" s="3"/>
      <c r="I894" s="3"/>
      <c r="K894" s="3"/>
      <c r="L894" s="3"/>
      <c r="X894" s="4"/>
      <c r="AB894" s="3"/>
      <c r="AE894" s="3"/>
      <c r="AK894" s="5"/>
    </row>
    <row r="895" spans="2:37" x14ac:dyDescent="0.25">
      <c r="B895" s="1"/>
      <c r="E895" s="2"/>
      <c r="H895" s="3"/>
      <c r="I895" s="3"/>
      <c r="K895" s="3"/>
      <c r="L895" s="3"/>
      <c r="X895" s="4"/>
      <c r="AB895" s="3"/>
      <c r="AE895" s="3"/>
      <c r="AK895" s="5"/>
    </row>
    <row r="896" spans="2:37" x14ac:dyDescent="0.25">
      <c r="B896" s="1"/>
      <c r="E896" s="2"/>
      <c r="G896" s="3"/>
      <c r="H896" s="3"/>
      <c r="I896" s="3"/>
      <c r="K896" s="3"/>
      <c r="L896" s="3"/>
      <c r="X896" s="4"/>
      <c r="AB896" s="3"/>
      <c r="AE896" s="3"/>
      <c r="AK896" s="5"/>
    </row>
    <row r="897" spans="2:37" x14ac:dyDescent="0.25">
      <c r="B897" s="1"/>
      <c r="E897" s="2"/>
      <c r="H897" s="3"/>
      <c r="I897" s="3"/>
      <c r="K897" s="3"/>
      <c r="L897" s="3"/>
      <c r="X897" s="4"/>
      <c r="AB897" s="3"/>
      <c r="AE897" s="3"/>
      <c r="AK897" s="5"/>
    </row>
    <row r="898" spans="2:37" x14ac:dyDescent="0.25">
      <c r="B898" s="1"/>
      <c r="E898" s="2"/>
      <c r="G898" s="3"/>
      <c r="H898" s="3"/>
      <c r="I898" s="3"/>
      <c r="K898" s="3"/>
      <c r="L898" s="3"/>
      <c r="X898" s="4"/>
      <c r="Z898" s="3"/>
      <c r="AB898" s="3"/>
      <c r="AE898" s="3"/>
      <c r="AK898" s="5"/>
    </row>
    <row r="899" spans="2:37" x14ac:dyDescent="0.25">
      <c r="B899" s="1"/>
      <c r="E899" s="2"/>
      <c r="H899" s="3"/>
      <c r="I899" s="3"/>
      <c r="K899" s="3"/>
      <c r="L899" s="3"/>
      <c r="X899" s="4"/>
      <c r="AB899" s="3"/>
      <c r="AE899" s="3"/>
      <c r="AK899" s="5"/>
    </row>
    <row r="900" spans="2:37" x14ac:dyDescent="0.25">
      <c r="B900" s="1"/>
      <c r="E900" s="2"/>
      <c r="H900" s="3"/>
      <c r="I900" s="3"/>
      <c r="K900" s="3"/>
      <c r="L900" s="3"/>
      <c r="X900" s="4"/>
      <c r="Z900" s="3"/>
      <c r="AB900" s="3"/>
      <c r="AE900" s="3"/>
      <c r="AK900" s="5"/>
    </row>
    <row r="901" spans="2:37" x14ac:dyDescent="0.25">
      <c r="B901" s="1"/>
      <c r="E901" s="2"/>
      <c r="H901" s="3"/>
      <c r="I901" s="3"/>
      <c r="K901" s="3"/>
      <c r="L901" s="3"/>
      <c r="X901" s="4"/>
      <c r="Z901" s="3"/>
      <c r="AB901" s="3"/>
      <c r="AE901" s="3"/>
      <c r="AK901" s="5"/>
    </row>
    <row r="902" spans="2:37" x14ac:dyDescent="0.25">
      <c r="B902" s="1"/>
      <c r="E902" s="2"/>
      <c r="G902" s="3"/>
      <c r="H902" s="3"/>
      <c r="I902" s="3"/>
      <c r="K902" s="3"/>
      <c r="L902" s="3"/>
      <c r="X902" s="4"/>
    </row>
    <row r="903" spans="2:37" x14ac:dyDescent="0.25">
      <c r="B903" s="1"/>
      <c r="E903" s="2"/>
      <c r="G903" s="3"/>
      <c r="H903" s="3"/>
      <c r="I903" s="3"/>
      <c r="K903" s="3"/>
      <c r="L903" s="3"/>
      <c r="X903" s="4"/>
    </row>
    <row r="904" spans="2:37" x14ac:dyDescent="0.25">
      <c r="B904" s="3"/>
      <c r="D904" s="3"/>
      <c r="E904" s="2"/>
      <c r="G904" s="3"/>
      <c r="H904" s="3"/>
      <c r="I904" s="3"/>
      <c r="K904" s="3"/>
      <c r="L904" s="3"/>
      <c r="X904" s="4"/>
    </row>
    <row r="905" spans="2:37" x14ac:dyDescent="0.25">
      <c r="B905" s="1"/>
      <c r="E905" s="2"/>
      <c r="F905" s="3"/>
      <c r="G905" s="3"/>
      <c r="H905" s="3"/>
      <c r="I905" s="3"/>
      <c r="K905" s="3"/>
      <c r="L905" s="3"/>
      <c r="X905" s="4"/>
      <c r="Z905" s="3"/>
      <c r="AE905" s="3"/>
      <c r="AK905" s="5"/>
    </row>
    <row r="906" spans="2:37" x14ac:dyDescent="0.25">
      <c r="B906" s="1"/>
      <c r="D906" s="3"/>
      <c r="E906" s="2"/>
      <c r="G906" s="3"/>
      <c r="H906" s="3"/>
      <c r="I906" s="3"/>
      <c r="K906" s="3"/>
      <c r="L906" s="3"/>
      <c r="X906" s="4"/>
    </row>
    <row r="907" spans="2:37" x14ac:dyDescent="0.25">
      <c r="B907" s="1"/>
      <c r="E907" s="2"/>
      <c r="G907" s="3"/>
      <c r="H907" s="3"/>
      <c r="I907" s="3"/>
      <c r="K907" s="3"/>
      <c r="L907" s="3"/>
      <c r="X907" s="4"/>
      <c r="Z907" s="3"/>
      <c r="AD907" s="3"/>
      <c r="AE907" s="3"/>
      <c r="AK907" s="5"/>
    </row>
    <row r="908" spans="2:37" x14ac:dyDescent="0.25">
      <c r="B908" s="1"/>
      <c r="E908" s="2"/>
      <c r="H908" s="3"/>
      <c r="I908" s="3"/>
      <c r="K908" s="3"/>
      <c r="L908" s="3"/>
      <c r="X908" s="4"/>
      <c r="Z908" s="3"/>
      <c r="AA908" s="3"/>
      <c r="AB908" s="3"/>
      <c r="AE908" s="3"/>
      <c r="AK908" s="5"/>
    </row>
    <row r="909" spans="2:37" x14ac:dyDescent="0.25">
      <c r="B909" s="1"/>
      <c r="E909" s="2"/>
      <c r="H909" s="3"/>
      <c r="I909" s="3"/>
      <c r="K909" s="3"/>
      <c r="L909" s="3"/>
      <c r="X909" s="4"/>
      <c r="AD909" s="3"/>
      <c r="AE909" s="3"/>
      <c r="AK909" s="5"/>
    </row>
    <row r="910" spans="2:37" x14ac:dyDescent="0.25">
      <c r="B910" s="1"/>
      <c r="D910" s="3"/>
      <c r="E910" s="2"/>
      <c r="G910" s="3"/>
      <c r="H910" s="3"/>
      <c r="I910" s="3"/>
      <c r="K910" s="3"/>
      <c r="X910" s="4"/>
      <c r="AK910" s="5"/>
    </row>
    <row r="911" spans="2:37" x14ac:dyDescent="0.25">
      <c r="B911" s="1"/>
      <c r="E911" s="2"/>
      <c r="H911" s="3"/>
      <c r="I911" s="3"/>
      <c r="K911" s="3"/>
      <c r="L911" s="3"/>
      <c r="X911" s="4"/>
      <c r="Z911" s="3"/>
      <c r="AD911" s="3"/>
      <c r="AE911" s="3"/>
      <c r="AK911" s="5"/>
    </row>
    <row r="912" spans="2:37" x14ac:dyDescent="0.25">
      <c r="B912" s="3"/>
      <c r="E912" s="2"/>
      <c r="G912" s="3"/>
      <c r="H912" s="3"/>
      <c r="I912" s="3"/>
      <c r="K912" s="3"/>
      <c r="L912" s="3"/>
      <c r="X912" s="4"/>
      <c r="AD912" s="3"/>
      <c r="AE912" s="3"/>
      <c r="AK912" s="5"/>
    </row>
    <row r="913" spans="2:37" x14ac:dyDescent="0.25">
      <c r="B913" s="1"/>
      <c r="E913" s="2"/>
      <c r="H913" s="3"/>
      <c r="I913" s="3"/>
      <c r="K913" s="3"/>
      <c r="L913" s="3"/>
      <c r="X913" s="4"/>
      <c r="AD913" s="3"/>
      <c r="AE913" s="3"/>
      <c r="AK913" s="5"/>
    </row>
    <row r="914" spans="2:37" x14ac:dyDescent="0.25">
      <c r="B914" s="1"/>
      <c r="E914" s="2"/>
      <c r="H914" s="3"/>
      <c r="I914" s="3"/>
      <c r="K914" s="3"/>
      <c r="L914" s="3"/>
      <c r="X914" s="4"/>
      <c r="AA914" s="3"/>
      <c r="AD914" s="3"/>
      <c r="AE914" s="3"/>
      <c r="AK914" s="5"/>
    </row>
    <row r="915" spans="2:37" x14ac:dyDescent="0.25">
      <c r="B915" s="1"/>
      <c r="E915" s="2"/>
      <c r="H915" s="3"/>
      <c r="I915" s="3"/>
      <c r="K915" s="3"/>
      <c r="L915" s="3"/>
      <c r="X915" s="4"/>
      <c r="AE915" s="3"/>
      <c r="AK915" s="5"/>
    </row>
    <row r="916" spans="2:37" x14ac:dyDescent="0.25">
      <c r="B916" s="1"/>
      <c r="E916" s="2"/>
      <c r="H916" s="3"/>
      <c r="I916" s="3"/>
      <c r="K916" s="3"/>
      <c r="L916" s="3"/>
      <c r="X916" s="4"/>
      <c r="AB916" s="3"/>
      <c r="AE916" s="3"/>
      <c r="AK916" s="5"/>
    </row>
    <row r="917" spans="2:37" x14ac:dyDescent="0.25">
      <c r="B917" s="1"/>
      <c r="E917" s="2"/>
      <c r="H917" s="3"/>
      <c r="I917" s="3"/>
      <c r="K917" s="3"/>
      <c r="L917" s="3"/>
      <c r="X917" s="4"/>
      <c r="Z917" s="3"/>
      <c r="AE917" s="3"/>
      <c r="AK917" s="5"/>
    </row>
    <row r="918" spans="2:37" x14ac:dyDescent="0.25">
      <c r="B918" s="1"/>
      <c r="E918" s="2"/>
      <c r="H918" s="3"/>
      <c r="I918" s="3"/>
      <c r="K918" s="3"/>
      <c r="L918" s="3"/>
      <c r="X918" s="4"/>
      <c r="Z918" s="3"/>
      <c r="AE918" s="3"/>
      <c r="AK918" s="5"/>
    </row>
    <row r="919" spans="2:37" x14ac:dyDescent="0.25">
      <c r="B919" s="1"/>
      <c r="D919" s="3"/>
      <c r="E919" s="2"/>
      <c r="G919" s="3"/>
      <c r="H919" s="3"/>
      <c r="I919" s="3"/>
      <c r="K919" s="3"/>
      <c r="L919" s="3"/>
      <c r="X919" s="4"/>
      <c r="Z919" s="3"/>
      <c r="AE919" s="3"/>
      <c r="AK919" s="5"/>
    </row>
    <row r="920" spans="2:37" x14ac:dyDescent="0.25">
      <c r="B920" s="1"/>
      <c r="E920" s="2"/>
      <c r="H920" s="3"/>
      <c r="I920" s="3"/>
      <c r="K920" s="3"/>
      <c r="L920" s="3"/>
      <c r="X920" s="4"/>
      <c r="AK920" s="5"/>
    </row>
    <row r="921" spans="2:37" x14ac:dyDescent="0.25">
      <c r="B921" s="1"/>
      <c r="E921" s="2"/>
      <c r="F921" s="3"/>
      <c r="G921" s="3"/>
      <c r="H921" s="3"/>
      <c r="I921" s="3"/>
      <c r="K921" s="3"/>
      <c r="X921" s="4"/>
      <c r="AE921" s="3"/>
      <c r="AK921" s="5"/>
    </row>
    <row r="922" spans="2:37" x14ac:dyDescent="0.25">
      <c r="B922" s="1"/>
      <c r="E922" s="2"/>
      <c r="H922" s="3"/>
      <c r="I922" s="3"/>
      <c r="K922" s="3"/>
      <c r="L922" s="3"/>
      <c r="X922" s="4"/>
      <c r="Z922" s="3"/>
      <c r="AE922" s="3"/>
      <c r="AK922" s="5"/>
    </row>
    <row r="923" spans="2:37" x14ac:dyDescent="0.25">
      <c r="B923" s="1"/>
      <c r="D923" s="3"/>
      <c r="E923" s="2"/>
      <c r="G923" s="3"/>
      <c r="H923" s="3"/>
      <c r="I923" s="3"/>
      <c r="K923" s="3"/>
      <c r="L923" s="3"/>
      <c r="X923" s="4"/>
      <c r="Z923" s="3"/>
      <c r="AE923" s="3"/>
      <c r="AK923" s="5"/>
    </row>
    <row r="924" spans="2:37" x14ac:dyDescent="0.25">
      <c r="B924" s="1"/>
      <c r="E924" s="2"/>
      <c r="H924" s="3"/>
      <c r="I924" s="3"/>
      <c r="K924" s="3"/>
      <c r="L924" s="3"/>
      <c r="X924" s="4"/>
      <c r="AK924" s="5"/>
    </row>
    <row r="925" spans="2:37" x14ac:dyDescent="0.25">
      <c r="B925" s="3"/>
      <c r="E925" s="2"/>
      <c r="F925" s="3"/>
      <c r="G925" s="3"/>
      <c r="H925" s="3"/>
      <c r="I925" s="3"/>
      <c r="K925" s="3"/>
      <c r="X925" s="4"/>
      <c r="AK925" s="5"/>
    </row>
    <row r="926" spans="2:37" x14ac:dyDescent="0.25">
      <c r="B926" s="1"/>
      <c r="E926" s="2"/>
      <c r="H926" s="3"/>
      <c r="I926" s="3"/>
      <c r="K926" s="3"/>
      <c r="X926" s="4"/>
      <c r="AK926" s="5"/>
    </row>
    <row r="927" spans="2:37" x14ac:dyDescent="0.25">
      <c r="B927" s="1"/>
      <c r="E927" s="2"/>
      <c r="H927" s="3"/>
      <c r="I927" s="3"/>
      <c r="K927" s="3"/>
      <c r="X927" s="4"/>
      <c r="AK927" s="5"/>
    </row>
    <row r="928" spans="2:37" x14ac:dyDescent="0.25">
      <c r="B928" s="1"/>
      <c r="E928" s="2"/>
      <c r="H928" s="3"/>
      <c r="I928" s="3"/>
      <c r="K928" s="3"/>
      <c r="L928" s="3"/>
      <c r="X928" s="4"/>
    </row>
    <row r="929" spans="2:37" x14ac:dyDescent="0.25">
      <c r="B929" s="3"/>
      <c r="C929" s="3"/>
      <c r="G929" s="3"/>
    </row>
    <row r="930" spans="2:37" x14ac:dyDescent="0.25">
      <c r="B930" s="1"/>
      <c r="D930" s="3"/>
      <c r="E930" s="2"/>
      <c r="G930" s="3"/>
      <c r="H930" s="3"/>
      <c r="I930" s="3"/>
      <c r="K930" s="3"/>
      <c r="L930" s="3"/>
      <c r="X930" s="4"/>
      <c r="Z930" s="3"/>
      <c r="AB930" s="3"/>
      <c r="AE930" s="3"/>
      <c r="AK930" s="5"/>
    </row>
    <row r="931" spans="2:37" x14ac:dyDescent="0.25">
      <c r="F931" s="3"/>
    </row>
    <row r="932" spans="2:37" x14ac:dyDescent="0.25">
      <c r="B932" s="1"/>
      <c r="E932" s="2"/>
      <c r="H932" s="3"/>
      <c r="I932" s="3"/>
      <c r="K932" s="3"/>
      <c r="L932" s="3"/>
      <c r="X932" s="4"/>
      <c r="Z932" s="3"/>
      <c r="AD932" s="3"/>
      <c r="AE932" s="3"/>
      <c r="AK932" s="5"/>
    </row>
    <row r="933" spans="2:37" x14ac:dyDescent="0.25">
      <c r="B933" s="1"/>
      <c r="E933" s="2"/>
      <c r="G933" s="3"/>
      <c r="H933" s="3"/>
      <c r="I933" s="3"/>
      <c r="K933" s="3"/>
      <c r="X933" s="4"/>
      <c r="AE933" s="3"/>
      <c r="AK933" s="5"/>
    </row>
    <row r="934" spans="2:37" x14ac:dyDescent="0.25">
      <c r="B934" s="1"/>
      <c r="E934" s="2"/>
      <c r="H934" s="3"/>
      <c r="I934" s="3"/>
      <c r="K934" s="3"/>
      <c r="L934" s="3"/>
      <c r="X934" s="4"/>
      <c r="Z934" s="3"/>
      <c r="AE934" s="3"/>
      <c r="AK934" s="5"/>
    </row>
    <row r="935" spans="2:37" x14ac:dyDescent="0.25">
      <c r="B935" s="1"/>
      <c r="E935" s="2"/>
      <c r="H935" s="3"/>
      <c r="I935" s="3"/>
      <c r="K935" s="3"/>
      <c r="L935" s="3"/>
      <c r="X935" s="4"/>
      <c r="Z935" s="3"/>
      <c r="AE935" s="3"/>
      <c r="AK935" s="5"/>
    </row>
    <row r="936" spans="2:37" x14ac:dyDescent="0.25">
      <c r="B936" s="3"/>
      <c r="E936" s="2"/>
      <c r="G936" s="3"/>
      <c r="H936" s="3"/>
      <c r="I936" s="3"/>
      <c r="K936" s="3"/>
      <c r="L936" s="3"/>
      <c r="X936" s="4"/>
      <c r="Z936" s="3"/>
      <c r="AE936" s="3"/>
      <c r="AK936" s="5"/>
    </row>
    <row r="937" spans="2:37" x14ac:dyDescent="0.25">
      <c r="B937" s="1"/>
      <c r="E937" s="2"/>
      <c r="H937" s="3"/>
      <c r="I937" s="3"/>
      <c r="K937" s="3"/>
      <c r="L937" s="3"/>
      <c r="X937" s="4"/>
      <c r="Z937" s="3"/>
      <c r="AB937" s="3"/>
      <c r="AE937" s="3"/>
      <c r="AK937" s="5"/>
    </row>
    <row r="938" spans="2:37" x14ac:dyDescent="0.25">
      <c r="B938" s="3"/>
      <c r="E938" s="2"/>
      <c r="G938" s="3"/>
      <c r="H938" s="3"/>
      <c r="I938" s="3"/>
      <c r="K938" s="3"/>
      <c r="L938" s="3"/>
      <c r="X938" s="4"/>
      <c r="Z938" s="3"/>
      <c r="AE938" s="3"/>
      <c r="AK938" s="5"/>
    </row>
    <row r="939" spans="2:37" x14ac:dyDescent="0.25">
      <c r="B939" s="1"/>
      <c r="E939" s="2"/>
      <c r="H939" s="3"/>
      <c r="I939" s="3"/>
      <c r="K939" s="3"/>
      <c r="L939" s="3"/>
      <c r="X939" s="4"/>
      <c r="Z939" s="3"/>
      <c r="AE939" s="3"/>
      <c r="AK939" s="5"/>
    </row>
    <row r="940" spans="2:37" x14ac:dyDescent="0.25">
      <c r="B940" s="1"/>
      <c r="E940" s="2"/>
      <c r="H940" s="3"/>
      <c r="I940" s="3"/>
      <c r="K940" s="3"/>
      <c r="L940" s="3"/>
      <c r="X940" s="4"/>
      <c r="Z940" s="3"/>
      <c r="AE940" s="3"/>
      <c r="AK940" s="5"/>
    </row>
    <row r="941" spans="2:37" x14ac:dyDescent="0.25">
      <c r="B941" s="3"/>
      <c r="E941" s="2"/>
      <c r="G941" s="3"/>
      <c r="H941" s="3"/>
      <c r="I941" s="3"/>
      <c r="K941" s="3"/>
      <c r="L941" s="3"/>
      <c r="X941" s="4"/>
      <c r="Z941" s="3"/>
      <c r="AE941" s="3"/>
      <c r="AK941" s="5"/>
    </row>
    <row r="942" spans="2:37" x14ac:dyDescent="0.25">
      <c r="B942" s="1"/>
      <c r="E942" s="2"/>
      <c r="H942" s="3"/>
      <c r="I942" s="3"/>
      <c r="K942" s="3"/>
      <c r="L942" s="3"/>
      <c r="X942" s="4"/>
      <c r="Z942" s="3"/>
      <c r="AE942" s="3"/>
      <c r="AK942" s="5"/>
    </row>
    <row r="943" spans="2:37" x14ac:dyDescent="0.25">
      <c r="B943" s="1"/>
      <c r="E943" s="2"/>
      <c r="H943" s="3"/>
      <c r="I943" s="3"/>
      <c r="K943" s="3"/>
      <c r="L943" s="3"/>
      <c r="X943" s="4"/>
      <c r="Z943" s="3"/>
      <c r="AD943" s="3"/>
      <c r="AE943" s="3"/>
      <c r="AK943" s="5"/>
    </row>
    <row r="944" spans="2:37" x14ac:dyDescent="0.25">
      <c r="B944" s="1"/>
      <c r="E944" s="2"/>
      <c r="H944" s="3"/>
      <c r="I944" s="3"/>
      <c r="K944" s="3"/>
      <c r="L944" s="3"/>
      <c r="X944" s="4"/>
      <c r="Z944" s="3"/>
      <c r="AE944" s="3"/>
      <c r="AK944" s="5"/>
    </row>
    <row r="945" spans="2:37" x14ac:dyDescent="0.25">
      <c r="B945" s="1"/>
      <c r="E945" s="2"/>
      <c r="H945" s="3"/>
      <c r="I945" s="3"/>
      <c r="K945" s="3"/>
      <c r="L945" s="3"/>
      <c r="X945" s="4"/>
      <c r="Z945" s="3"/>
      <c r="AE945" s="3"/>
      <c r="AK945" s="5"/>
    </row>
    <row r="946" spans="2:37" x14ac:dyDescent="0.25">
      <c r="B946" s="1"/>
      <c r="E946" s="2"/>
      <c r="H946" s="3"/>
      <c r="I946" s="3"/>
      <c r="K946" s="3"/>
      <c r="L946" s="3"/>
      <c r="X946" s="4"/>
      <c r="AK946" s="5"/>
    </row>
    <row r="947" spans="2:37" x14ac:dyDescent="0.25">
      <c r="B947" s="1"/>
      <c r="D947" s="3"/>
      <c r="E947" s="2"/>
      <c r="G947" s="3"/>
      <c r="H947" s="3"/>
      <c r="I947" s="3"/>
      <c r="K947" s="3"/>
      <c r="X947" s="4"/>
    </row>
    <row r="948" spans="2:37" x14ac:dyDescent="0.25">
      <c r="B948" s="1"/>
      <c r="E948" s="2"/>
      <c r="H948" s="3"/>
      <c r="I948" s="3"/>
      <c r="K948" s="3"/>
      <c r="L948" s="3"/>
      <c r="X948" s="4"/>
      <c r="AD948" s="3"/>
      <c r="AE948" s="3"/>
      <c r="AK948" s="5"/>
    </row>
    <row r="949" spans="2:37" x14ac:dyDescent="0.25">
      <c r="B949" s="1"/>
      <c r="E949" s="2"/>
      <c r="G949" s="3"/>
      <c r="H949" s="3"/>
      <c r="I949" s="3"/>
      <c r="K949" s="3"/>
      <c r="L949" s="3"/>
      <c r="X949" s="4"/>
      <c r="AB949" s="3"/>
      <c r="AE949" s="3"/>
      <c r="AK949" s="5"/>
    </row>
    <row r="950" spans="2:37" x14ac:dyDescent="0.25">
      <c r="B950" s="1"/>
      <c r="E950" s="2"/>
      <c r="H950" s="3"/>
      <c r="I950" s="3"/>
      <c r="K950" s="3"/>
      <c r="L950" s="3"/>
      <c r="X950" s="4"/>
      <c r="AK950" s="5"/>
    </row>
    <row r="951" spans="2:37" x14ac:dyDescent="0.25">
      <c r="B951" s="1"/>
      <c r="E951" s="2"/>
      <c r="F951" s="3"/>
      <c r="G951" s="3"/>
      <c r="H951" s="3"/>
      <c r="I951" s="3"/>
      <c r="K951" s="3"/>
      <c r="X951" s="4"/>
      <c r="AK951" s="5"/>
    </row>
    <row r="952" spans="2:37" x14ac:dyDescent="0.25">
      <c r="B952" s="1"/>
      <c r="E952" s="2"/>
      <c r="H952" s="3"/>
      <c r="I952" s="3"/>
      <c r="K952" s="3"/>
      <c r="L952" s="3"/>
      <c r="X952" s="4"/>
      <c r="AK952" s="5"/>
    </row>
    <row r="953" spans="2:37" x14ac:dyDescent="0.25">
      <c r="B953" s="1"/>
      <c r="E953" s="2"/>
      <c r="F953" s="3"/>
      <c r="G953" s="3"/>
      <c r="H953" s="3"/>
      <c r="I953" s="3"/>
      <c r="K953" s="3"/>
      <c r="L953" s="3"/>
      <c r="X953" s="4"/>
    </row>
    <row r="954" spans="2:37" x14ac:dyDescent="0.25">
      <c r="B954" s="1"/>
      <c r="D954" s="3"/>
      <c r="E954" s="2"/>
      <c r="H954" s="3"/>
      <c r="I954" s="3"/>
      <c r="K954" s="3"/>
      <c r="L954" s="3"/>
      <c r="X954" s="4"/>
      <c r="AB954" s="3"/>
      <c r="AE954" s="3"/>
      <c r="AK954" s="5"/>
    </row>
    <row r="955" spans="2:37" x14ac:dyDescent="0.25">
      <c r="B955" s="1"/>
      <c r="E955" s="2"/>
      <c r="G955" s="3"/>
      <c r="H955" s="3"/>
      <c r="I955" s="3"/>
      <c r="K955" s="3"/>
      <c r="L955" s="3"/>
      <c r="X955" s="4"/>
    </row>
    <row r="956" spans="2:37" x14ac:dyDescent="0.25">
      <c r="B956" s="1"/>
      <c r="E956" s="2"/>
      <c r="F956" s="3"/>
      <c r="G956" s="3"/>
      <c r="H956" s="3"/>
      <c r="I956" s="3"/>
      <c r="K956" s="3"/>
      <c r="L956" s="3"/>
      <c r="X956" s="4"/>
      <c r="AB956" s="3"/>
      <c r="AE956" s="3"/>
      <c r="AK956" s="5"/>
    </row>
    <row r="957" spans="2:37" x14ac:dyDescent="0.25">
      <c r="B957" s="1"/>
      <c r="E957" s="2"/>
      <c r="H957" s="3"/>
      <c r="I957" s="3"/>
      <c r="K957" s="3"/>
      <c r="L957" s="3"/>
      <c r="X957" s="4"/>
      <c r="Z957" s="3"/>
      <c r="AE957" s="3"/>
      <c r="AK957" s="5"/>
    </row>
    <row r="958" spans="2:37" x14ac:dyDescent="0.25">
      <c r="B958" s="1"/>
      <c r="E958" s="2"/>
      <c r="H958" s="3"/>
      <c r="I958" s="3"/>
      <c r="K958" s="3"/>
      <c r="L958" s="3"/>
      <c r="X958" s="4"/>
      <c r="AD958" s="3"/>
      <c r="AE958" s="3"/>
      <c r="AK958" s="5"/>
    </row>
    <row r="959" spans="2:37" x14ac:dyDescent="0.25">
      <c r="B959" s="1"/>
      <c r="E959" s="2"/>
      <c r="H959" s="3"/>
      <c r="I959" s="3"/>
      <c r="K959" s="3"/>
      <c r="L959" s="3"/>
      <c r="X959" s="4"/>
      <c r="AE959" s="3"/>
      <c r="AK959" s="5"/>
    </row>
    <row r="960" spans="2:37" x14ac:dyDescent="0.25">
      <c r="B960" s="1"/>
      <c r="E960" s="2"/>
      <c r="G960" s="3"/>
      <c r="H960" s="3"/>
      <c r="I960" s="3"/>
      <c r="K960" s="3"/>
      <c r="X960" s="4"/>
      <c r="AE960" s="3"/>
      <c r="AK960" s="5"/>
    </row>
    <row r="961" spans="2:37" x14ac:dyDescent="0.25">
      <c r="B961" s="1"/>
      <c r="E961" s="2"/>
      <c r="G961" s="3"/>
      <c r="H961" s="3"/>
      <c r="I961" s="3"/>
      <c r="K961" s="3"/>
      <c r="L961" s="3"/>
      <c r="X961" s="4"/>
      <c r="Z961" s="3"/>
      <c r="AB961" s="3"/>
      <c r="AE961" s="3"/>
      <c r="AK961" s="5"/>
    </row>
    <row r="962" spans="2:37" x14ac:dyDescent="0.25">
      <c r="B962" s="1"/>
      <c r="E962" s="2"/>
      <c r="G962" s="3"/>
      <c r="H962" s="3"/>
      <c r="I962" s="3"/>
      <c r="K962" s="3"/>
      <c r="L962" s="3"/>
      <c r="X962" s="4"/>
      <c r="AD962" s="3"/>
      <c r="AE962" s="3"/>
      <c r="AK962" s="5"/>
    </row>
    <row r="963" spans="2:37" x14ac:dyDescent="0.25">
      <c r="B963" s="1"/>
      <c r="E963" s="2"/>
      <c r="H963" s="3"/>
      <c r="I963" s="3"/>
      <c r="K963" s="3"/>
      <c r="L963" s="3"/>
      <c r="X963" s="4"/>
      <c r="AD963" s="3"/>
      <c r="AE963" s="3"/>
      <c r="AK963" s="5"/>
    </row>
    <row r="964" spans="2:37" x14ac:dyDescent="0.25">
      <c r="B964" s="1"/>
      <c r="D964" s="3"/>
      <c r="E964" s="2"/>
      <c r="G964" s="3"/>
      <c r="H964" s="3"/>
      <c r="I964" s="3"/>
      <c r="K964" s="3"/>
      <c r="L964" s="3"/>
      <c r="X964" s="4"/>
    </row>
    <row r="965" spans="2:37" x14ac:dyDescent="0.25">
      <c r="B965" s="1"/>
      <c r="D965" s="3"/>
      <c r="E965" s="2"/>
      <c r="H965" s="3"/>
      <c r="I965" s="3"/>
      <c r="K965" s="3"/>
      <c r="X965" s="4"/>
      <c r="AK965" s="5"/>
    </row>
    <row r="966" spans="2:37" x14ac:dyDescent="0.25">
      <c r="B966" s="1"/>
      <c r="E966" s="2"/>
      <c r="G966" s="3"/>
      <c r="H966" s="3"/>
      <c r="I966" s="3"/>
      <c r="K966" s="3"/>
      <c r="L966" s="3"/>
      <c r="X966" s="4"/>
      <c r="Z966" s="3"/>
      <c r="AE966" s="3"/>
      <c r="AK966" s="5"/>
    </row>
    <row r="967" spans="2:37" x14ac:dyDescent="0.25">
      <c r="B967" s="1"/>
      <c r="D967" s="3"/>
      <c r="E967" s="2"/>
      <c r="G967" s="3"/>
      <c r="H967" s="3"/>
      <c r="I967" s="3"/>
      <c r="K967" s="3"/>
      <c r="L967" s="3"/>
      <c r="X967" s="4"/>
    </row>
    <row r="968" spans="2:37" x14ac:dyDescent="0.25">
      <c r="B968" s="3"/>
      <c r="E968" s="2"/>
      <c r="G968" s="3"/>
      <c r="H968" s="3"/>
      <c r="I968" s="3"/>
      <c r="K968" s="3"/>
      <c r="L968" s="3"/>
      <c r="X968" s="4"/>
      <c r="Z968" s="3"/>
      <c r="AE968" s="3"/>
      <c r="AK968" s="5"/>
    </row>
    <row r="969" spans="2:37" x14ac:dyDescent="0.25">
      <c r="B969" s="1"/>
      <c r="E969" s="2"/>
      <c r="H969" s="3"/>
      <c r="I969" s="3"/>
      <c r="K969" s="3"/>
      <c r="L969" s="3"/>
      <c r="X969" s="4"/>
      <c r="AB969" s="3"/>
      <c r="AE969" s="3"/>
      <c r="AK969" s="5"/>
    </row>
    <row r="970" spans="2:37" x14ac:dyDescent="0.25">
      <c r="B970" s="1"/>
      <c r="E970" s="2"/>
      <c r="F970" s="3"/>
      <c r="G970" s="3"/>
      <c r="H970" s="3"/>
      <c r="I970" s="3"/>
      <c r="K970" s="3"/>
      <c r="L970" s="3"/>
      <c r="X970" s="4"/>
      <c r="AB970" s="3"/>
      <c r="AE970" s="3"/>
      <c r="AK970" s="5"/>
    </row>
    <row r="971" spans="2:37" x14ac:dyDescent="0.25">
      <c r="B971" s="1"/>
      <c r="E971" s="2"/>
      <c r="H971" s="3"/>
      <c r="I971" s="3"/>
      <c r="K971" s="3"/>
      <c r="L971" s="3"/>
      <c r="X971" s="4"/>
      <c r="AB971" s="3"/>
      <c r="AK971" s="5"/>
    </row>
    <row r="972" spans="2:37" x14ac:dyDescent="0.25">
      <c r="B972" s="1"/>
      <c r="E972" s="2"/>
      <c r="G972" s="3"/>
      <c r="H972" s="3"/>
      <c r="I972" s="3"/>
      <c r="K972" s="3"/>
      <c r="X972" s="4"/>
      <c r="AE972" s="3"/>
      <c r="AK972" s="5"/>
    </row>
    <row r="973" spans="2:37" x14ac:dyDescent="0.25">
      <c r="B973" s="1"/>
      <c r="E973" s="2"/>
      <c r="H973" s="3"/>
      <c r="I973" s="3"/>
      <c r="K973" s="3"/>
      <c r="X973" s="4"/>
      <c r="AK973" s="5"/>
    </row>
    <row r="974" spans="2:37" x14ac:dyDescent="0.25">
      <c r="B974" s="1"/>
      <c r="E974" s="2"/>
      <c r="H974" s="3"/>
      <c r="I974" s="3"/>
      <c r="K974" s="3"/>
      <c r="X974" s="4"/>
    </row>
    <row r="975" spans="2:37" x14ac:dyDescent="0.25">
      <c r="B975" s="1"/>
      <c r="E975" s="2"/>
      <c r="H975" s="3"/>
      <c r="I975" s="3"/>
      <c r="K975" s="3"/>
      <c r="X975" s="4"/>
    </row>
    <row r="976" spans="2:37" x14ac:dyDescent="0.25">
      <c r="B976" s="1"/>
      <c r="E976" s="2"/>
      <c r="G976" s="3"/>
      <c r="H976" s="3"/>
      <c r="I976" s="3"/>
      <c r="K976" s="3"/>
      <c r="L976" s="3"/>
      <c r="X976" s="4"/>
    </row>
    <row r="977" spans="2:37" x14ac:dyDescent="0.25">
      <c r="B977" s="3"/>
      <c r="E977" s="2"/>
      <c r="G977" s="3"/>
      <c r="H977" s="3"/>
      <c r="I977" s="3"/>
      <c r="K977" s="3"/>
      <c r="L977" s="3"/>
      <c r="X977" s="4"/>
    </row>
    <row r="978" spans="2:37" x14ac:dyDescent="0.25">
      <c r="B978" s="1"/>
      <c r="E978" s="2"/>
      <c r="G978" s="3"/>
      <c r="H978" s="3"/>
      <c r="I978" s="3"/>
      <c r="K978" s="3"/>
      <c r="L978" s="3"/>
      <c r="X978" s="4"/>
    </row>
    <row r="979" spans="2:37" x14ac:dyDescent="0.25">
      <c r="B979" s="1"/>
      <c r="E979" s="2"/>
      <c r="F979" s="3"/>
      <c r="G979" s="3"/>
      <c r="H979" s="3"/>
      <c r="I979" s="3"/>
      <c r="K979" s="3"/>
      <c r="L979" s="3"/>
      <c r="X979" s="4"/>
    </row>
    <row r="980" spans="2:37" x14ac:dyDescent="0.25">
      <c r="B980" s="1"/>
      <c r="E980" s="2"/>
      <c r="G980" s="3"/>
      <c r="H980" s="3"/>
      <c r="I980" s="3"/>
      <c r="K980" s="3"/>
      <c r="L980" s="3"/>
      <c r="X980" s="4"/>
    </row>
    <row r="981" spans="2:37" x14ac:dyDescent="0.25">
      <c r="B981" s="1"/>
      <c r="E981" s="2"/>
      <c r="F981" s="3"/>
      <c r="G981" s="3"/>
      <c r="H981" s="3"/>
      <c r="I981" s="3"/>
      <c r="K981" s="3"/>
      <c r="L981" s="3"/>
      <c r="X981" s="4"/>
      <c r="Z981" s="3"/>
      <c r="AE981" s="3"/>
      <c r="AK981" s="5"/>
    </row>
    <row r="982" spans="2:37" x14ac:dyDescent="0.25">
      <c r="B982" s="1"/>
      <c r="E982" s="2"/>
      <c r="G982" s="3"/>
      <c r="H982" s="3"/>
      <c r="I982" s="3"/>
      <c r="K982" s="3"/>
      <c r="X982" s="4"/>
    </row>
    <row r="983" spans="2:37" x14ac:dyDescent="0.25">
      <c r="B983" s="1"/>
      <c r="E983" s="2"/>
      <c r="H983" s="3"/>
      <c r="I983" s="3"/>
      <c r="K983" s="3"/>
      <c r="L983" s="3"/>
      <c r="X983" s="4"/>
    </row>
    <row r="984" spans="2:37" x14ac:dyDescent="0.25">
      <c r="B984" s="1"/>
      <c r="E984" s="2"/>
      <c r="G984" s="3"/>
      <c r="H984" s="3"/>
      <c r="I984" s="3"/>
      <c r="K984" s="3"/>
      <c r="X984" s="4"/>
    </row>
    <row r="985" spans="2:37" x14ac:dyDescent="0.25">
      <c r="B985" s="1"/>
      <c r="E985" s="2"/>
      <c r="G985" s="3"/>
      <c r="H985" s="3"/>
      <c r="I985" s="3"/>
      <c r="K985" s="3"/>
      <c r="X985" s="4"/>
    </row>
    <row r="986" spans="2:37" x14ac:dyDescent="0.25">
      <c r="B986" s="1"/>
      <c r="E986" s="2"/>
      <c r="H986" s="3"/>
      <c r="I986" s="3"/>
      <c r="K986" s="3"/>
      <c r="L986" s="3"/>
      <c r="X986" s="4"/>
      <c r="Z986" s="3"/>
      <c r="AE986" s="3"/>
      <c r="AK986" s="5"/>
    </row>
    <row r="987" spans="2:37" x14ac:dyDescent="0.25">
      <c r="B987" s="1"/>
      <c r="E987" s="2"/>
      <c r="H987" s="3"/>
      <c r="I987" s="3"/>
      <c r="K987" s="3"/>
      <c r="L987" s="3"/>
      <c r="X987" s="4"/>
      <c r="AB987" s="3"/>
      <c r="AE987" s="3"/>
      <c r="AK987" s="5"/>
    </row>
    <row r="988" spans="2:37" x14ac:dyDescent="0.25">
      <c r="B988" s="1"/>
      <c r="E988" s="2"/>
      <c r="G988" s="3"/>
      <c r="H988" s="3"/>
      <c r="I988" s="3"/>
      <c r="K988" s="3"/>
      <c r="L988" s="3"/>
      <c r="X988" s="4"/>
    </row>
    <row r="989" spans="2:37" x14ac:dyDescent="0.25">
      <c r="B989" s="1"/>
      <c r="E989" s="2"/>
      <c r="F989" s="3"/>
      <c r="G989" s="3"/>
      <c r="H989" s="3"/>
      <c r="I989" s="3"/>
      <c r="K989" s="3"/>
      <c r="L989" s="3"/>
      <c r="X989" s="4"/>
      <c r="AK989" s="5"/>
    </row>
    <row r="990" spans="2:37" x14ac:dyDescent="0.25">
      <c r="B990" s="1"/>
      <c r="E990" s="2"/>
      <c r="G990" s="3"/>
      <c r="H990" s="3"/>
      <c r="I990" s="3"/>
      <c r="K990" s="3"/>
      <c r="L990" s="3"/>
      <c r="X990" s="4"/>
      <c r="Z990" s="3"/>
      <c r="AB990" s="3"/>
      <c r="AE990" s="3"/>
      <c r="AK990" s="5"/>
    </row>
    <row r="991" spans="2:37" x14ac:dyDescent="0.25">
      <c r="B991" s="1"/>
      <c r="E991" s="2"/>
      <c r="H991" s="3"/>
      <c r="I991" s="3"/>
      <c r="K991" s="3"/>
      <c r="L991" s="3"/>
      <c r="X991" s="4"/>
      <c r="AK991" s="5"/>
    </row>
    <row r="992" spans="2:37" x14ac:dyDescent="0.25">
      <c r="B992" s="1"/>
      <c r="E992" s="2"/>
      <c r="G992" s="3"/>
      <c r="H992" s="3"/>
      <c r="I992" s="3"/>
      <c r="K992" s="3"/>
      <c r="X992" s="4"/>
      <c r="AK992" s="5"/>
    </row>
    <row r="993" spans="2:37" x14ac:dyDescent="0.25">
      <c r="B993" s="1"/>
      <c r="E993" s="2"/>
      <c r="H993" s="3"/>
      <c r="I993" s="3"/>
      <c r="K993" s="3"/>
      <c r="L993" s="3"/>
      <c r="X993" s="4"/>
      <c r="AD993" s="3"/>
      <c r="AE993" s="3"/>
      <c r="AK993" s="5"/>
    </row>
    <row r="994" spans="2:37" x14ac:dyDescent="0.25">
      <c r="B994" s="1"/>
      <c r="E994" s="2"/>
      <c r="G994" s="3"/>
      <c r="H994" s="3"/>
      <c r="I994" s="3"/>
      <c r="K994" s="3"/>
      <c r="L994" s="3"/>
      <c r="X994" s="4"/>
      <c r="AE994" s="3"/>
      <c r="AK994" s="5"/>
    </row>
    <row r="995" spans="2:37" x14ac:dyDescent="0.25">
      <c r="B995" s="1"/>
      <c r="E995" s="2"/>
      <c r="G995" s="3"/>
      <c r="H995" s="3"/>
      <c r="I995" s="3"/>
      <c r="K995" s="3"/>
      <c r="L995" s="3"/>
      <c r="X995" s="4"/>
      <c r="AB995" s="3"/>
      <c r="AE995" s="3"/>
      <c r="AK995" s="5"/>
    </row>
    <row r="996" spans="2:37" x14ac:dyDescent="0.25">
      <c r="B996" s="1"/>
      <c r="E996" s="2"/>
      <c r="H996" s="3"/>
      <c r="I996" s="3"/>
      <c r="K996" s="3"/>
      <c r="L996" s="3"/>
      <c r="X996" s="4"/>
      <c r="AB996" s="3"/>
      <c r="AE996" s="3"/>
      <c r="AK996" s="5"/>
    </row>
    <row r="997" spans="2:37" x14ac:dyDescent="0.25">
      <c r="B997" s="1"/>
      <c r="E997" s="2"/>
      <c r="H997" s="3"/>
      <c r="I997" s="3"/>
      <c r="K997" s="3"/>
      <c r="L997" s="3"/>
      <c r="X997" s="4"/>
      <c r="Z997" s="3"/>
      <c r="AE997" s="3"/>
      <c r="AK997" s="5"/>
    </row>
    <row r="998" spans="2:37" x14ac:dyDescent="0.25">
      <c r="B998" s="3"/>
      <c r="E998" s="2"/>
      <c r="G998" s="3"/>
      <c r="H998" s="3"/>
      <c r="I998" s="3"/>
      <c r="K998" s="3"/>
      <c r="L998" s="3"/>
      <c r="X998" s="4"/>
    </row>
    <row r="999" spans="2:37" x14ac:dyDescent="0.25">
      <c r="B999" s="1"/>
      <c r="D999" s="3"/>
      <c r="E999" s="2"/>
      <c r="G999" s="3"/>
      <c r="H999" s="3"/>
      <c r="I999" s="3"/>
      <c r="K999" s="3"/>
      <c r="L999" s="3"/>
      <c r="X999" s="4"/>
      <c r="Z999" s="3"/>
      <c r="AE999" s="3"/>
      <c r="AK999" s="5"/>
    </row>
    <row r="1000" spans="2:37" x14ac:dyDescent="0.25">
      <c r="B1000" s="1"/>
      <c r="E1000" s="2"/>
      <c r="H1000" s="3"/>
      <c r="I1000" s="3"/>
      <c r="K1000" s="3"/>
      <c r="X1000" s="4"/>
    </row>
    <row r="1001" spans="2:37" x14ac:dyDescent="0.25">
      <c r="B1001" s="1"/>
      <c r="E1001" s="2"/>
      <c r="H1001" s="3"/>
      <c r="I1001" s="3"/>
      <c r="K1001" s="3"/>
      <c r="L1001" s="3"/>
      <c r="X1001" s="4"/>
    </row>
    <row r="1002" spans="2:37" x14ac:dyDescent="0.25">
      <c r="B1002" s="1"/>
      <c r="E1002" s="2"/>
      <c r="G1002" s="3"/>
      <c r="H1002" s="3"/>
      <c r="I1002" s="3"/>
      <c r="K1002" s="3"/>
      <c r="X1002" s="4"/>
      <c r="AK1002" s="5"/>
    </row>
    <row r="1003" spans="2:37" x14ac:dyDescent="0.25">
      <c r="B1003" s="1"/>
      <c r="E1003" s="2"/>
      <c r="H1003" s="3"/>
      <c r="I1003" s="3"/>
      <c r="K1003" s="3"/>
      <c r="L1003" s="3"/>
      <c r="X1003" s="4"/>
    </row>
    <row r="1004" spans="2:37" x14ac:dyDescent="0.25">
      <c r="B1004" s="3"/>
      <c r="E1004" s="2"/>
      <c r="G1004" s="3"/>
      <c r="H1004" s="3"/>
      <c r="I1004" s="3"/>
      <c r="K1004" s="3"/>
      <c r="X1004" s="4"/>
    </row>
    <row r="1005" spans="2:37" x14ac:dyDescent="0.25">
      <c r="B1005" s="1"/>
      <c r="E1005" s="2"/>
      <c r="G1005" s="3"/>
      <c r="H1005" s="3"/>
      <c r="I1005" s="3"/>
      <c r="K1005" s="3"/>
      <c r="L1005" s="3"/>
      <c r="X1005" s="4"/>
    </row>
    <row r="1006" spans="2:37" x14ac:dyDescent="0.25">
      <c r="B1006" s="3"/>
      <c r="E1006" s="2"/>
      <c r="F1006" s="3"/>
      <c r="G1006" s="3"/>
      <c r="X1006" s="4"/>
    </row>
    <row r="1007" spans="2:37" x14ac:dyDescent="0.25">
      <c r="B1007" s="1"/>
      <c r="E1007" s="2"/>
      <c r="H1007" s="3"/>
      <c r="I1007" s="3"/>
      <c r="K1007" s="3"/>
      <c r="L1007" s="3"/>
      <c r="X1007" s="4"/>
      <c r="AD1007" s="3"/>
      <c r="AE1007" s="3"/>
      <c r="AK1007" s="5"/>
    </row>
    <row r="1008" spans="2:37" x14ac:dyDescent="0.25">
      <c r="B1008" s="1"/>
      <c r="E1008" s="2"/>
      <c r="H1008" s="3"/>
      <c r="I1008" s="3"/>
      <c r="K1008" s="3"/>
      <c r="L1008" s="3"/>
      <c r="X1008" s="4"/>
      <c r="AK1008" s="5"/>
    </row>
    <row r="1009" spans="2:37" x14ac:dyDescent="0.25">
      <c r="B1009" s="1"/>
      <c r="E1009" s="2"/>
      <c r="G1009" s="3"/>
      <c r="H1009" s="3"/>
      <c r="I1009" s="3"/>
      <c r="K1009" s="3"/>
      <c r="L1009" s="3"/>
      <c r="X1009" s="4"/>
      <c r="AA1009" s="3"/>
      <c r="AB1009" s="3"/>
      <c r="AE1009" s="3"/>
      <c r="AK1009" s="5"/>
    </row>
    <row r="1010" spans="2:37" x14ac:dyDescent="0.25">
      <c r="B1010" s="1"/>
      <c r="E1010" s="2"/>
      <c r="G1010" s="3"/>
      <c r="H1010" s="3"/>
      <c r="I1010" s="3"/>
      <c r="K1010" s="3"/>
      <c r="L1010" s="3"/>
      <c r="X1010" s="4"/>
      <c r="AD1010" s="3"/>
      <c r="AE1010" s="3"/>
      <c r="AK1010" s="5"/>
    </row>
    <row r="1011" spans="2:37" x14ac:dyDescent="0.25">
      <c r="B1011" s="1"/>
      <c r="E1011" s="2"/>
      <c r="G1011" s="3"/>
      <c r="H1011" s="3"/>
      <c r="I1011" s="3"/>
      <c r="K1011" s="3"/>
      <c r="L1011" s="3"/>
      <c r="X1011" s="4"/>
      <c r="Z1011" s="3"/>
      <c r="AD1011" s="3"/>
      <c r="AE1011" s="3"/>
      <c r="AK1011" s="5"/>
    </row>
    <row r="1012" spans="2:37" x14ac:dyDescent="0.25">
      <c r="B1012" s="1"/>
      <c r="E1012" s="2"/>
      <c r="G1012" s="3"/>
      <c r="H1012" s="3"/>
      <c r="I1012" s="3"/>
      <c r="K1012" s="3"/>
      <c r="L1012" s="3"/>
      <c r="X1012" s="4"/>
      <c r="Z1012" s="3"/>
      <c r="AE1012" s="3"/>
      <c r="AK1012" s="5"/>
    </row>
    <row r="1013" spans="2:37" x14ac:dyDescent="0.25">
      <c r="B1013" s="1"/>
      <c r="E1013" s="2"/>
      <c r="H1013" s="3"/>
      <c r="I1013" s="3"/>
      <c r="K1013" s="3"/>
      <c r="L1013" s="3"/>
      <c r="X1013" s="4"/>
      <c r="Z1013" s="3"/>
      <c r="AE1013" s="3"/>
      <c r="AK1013" s="5"/>
    </row>
    <row r="1014" spans="2:37" x14ac:dyDescent="0.25">
      <c r="B1014" s="1"/>
      <c r="E1014" s="2"/>
      <c r="H1014" s="3"/>
      <c r="I1014" s="3"/>
      <c r="K1014" s="3"/>
      <c r="L1014" s="3"/>
      <c r="X1014" s="4"/>
      <c r="AB1014" s="3"/>
      <c r="AK1014" s="5"/>
    </row>
    <row r="1015" spans="2:37" x14ac:dyDescent="0.25">
      <c r="B1015" s="1"/>
      <c r="E1015" s="2"/>
      <c r="G1015" s="3"/>
      <c r="H1015" s="3"/>
      <c r="I1015" s="3"/>
      <c r="K1015" s="3"/>
      <c r="L1015" s="3"/>
      <c r="X1015" s="4"/>
      <c r="AB1015" s="3"/>
      <c r="AE1015" s="3"/>
      <c r="AK1015" s="5"/>
    </row>
    <row r="1016" spans="2:37" x14ac:dyDescent="0.25">
      <c r="B1016" s="1"/>
      <c r="E1016" s="2"/>
      <c r="F1016" s="3"/>
      <c r="G1016" s="3"/>
      <c r="H1016" s="3"/>
      <c r="I1016" s="3"/>
      <c r="K1016" s="3"/>
      <c r="L1016" s="3"/>
      <c r="X1016" s="4"/>
      <c r="Z1016" s="3"/>
      <c r="AB1016" s="3"/>
      <c r="AE1016" s="3"/>
      <c r="AK1016" s="5"/>
    </row>
    <row r="1017" spans="2:37" x14ac:dyDescent="0.25">
      <c r="B1017" s="1"/>
      <c r="E1017" s="2"/>
      <c r="H1017" s="3"/>
      <c r="I1017" s="3"/>
      <c r="K1017" s="3"/>
      <c r="L1017" s="3"/>
      <c r="X1017" s="4"/>
      <c r="AB1017" s="3"/>
      <c r="AE1017" s="3"/>
      <c r="AK1017" s="5"/>
    </row>
    <row r="1018" spans="2:37" x14ac:dyDescent="0.25">
      <c r="B1018" s="1"/>
      <c r="E1018" s="2"/>
      <c r="G1018" s="3"/>
      <c r="H1018" s="3"/>
      <c r="I1018" s="3"/>
      <c r="K1018" s="3"/>
      <c r="L1018" s="3"/>
      <c r="X1018" s="4"/>
      <c r="AB1018" s="3"/>
      <c r="AE1018" s="3"/>
      <c r="AK1018" s="5"/>
    </row>
    <row r="1019" spans="2:37" x14ac:dyDescent="0.25">
      <c r="B1019" s="1"/>
      <c r="E1019" s="2"/>
      <c r="H1019" s="3"/>
      <c r="I1019" s="3"/>
      <c r="K1019" s="3"/>
      <c r="L1019" s="3"/>
      <c r="X1019" s="4"/>
      <c r="AE1019" s="3"/>
      <c r="AK1019" s="5"/>
    </row>
    <row r="1020" spans="2:37" x14ac:dyDescent="0.25">
      <c r="B1020" s="1"/>
      <c r="D1020" s="3"/>
      <c r="E1020" s="2"/>
      <c r="G1020" s="3"/>
      <c r="H1020" s="3"/>
      <c r="I1020" s="3"/>
      <c r="K1020" s="3"/>
      <c r="L1020" s="3"/>
      <c r="X1020" s="4"/>
      <c r="AB1020" s="3"/>
      <c r="AE1020" s="3"/>
      <c r="AK1020" s="5"/>
    </row>
    <row r="1021" spans="2:37" x14ac:dyDescent="0.25">
      <c r="B1021" s="1"/>
      <c r="E1021" s="2"/>
      <c r="H1021" s="3"/>
      <c r="I1021" s="3"/>
      <c r="K1021" s="3"/>
      <c r="L1021" s="3"/>
      <c r="X1021" s="4"/>
    </row>
    <row r="1022" spans="2:37" x14ac:dyDescent="0.25">
      <c r="B1022" s="1"/>
      <c r="D1022" s="3"/>
      <c r="E1022" s="2"/>
      <c r="G1022" s="3"/>
      <c r="H1022" s="3"/>
      <c r="I1022" s="3"/>
      <c r="K1022" s="3"/>
      <c r="X1022" s="4"/>
    </row>
    <row r="1023" spans="2:37" x14ac:dyDescent="0.25">
      <c r="B1023" s="1"/>
      <c r="E1023" s="2"/>
      <c r="G1023" s="3"/>
      <c r="H1023" s="3"/>
      <c r="I1023" s="3"/>
      <c r="K1023" s="3"/>
      <c r="L1023" s="3"/>
      <c r="X1023" s="4"/>
      <c r="AE1023" s="3"/>
      <c r="AK1023" s="5"/>
    </row>
    <row r="1024" spans="2:37" x14ac:dyDescent="0.25">
      <c r="B1024" s="1"/>
      <c r="D1024" s="3"/>
      <c r="E1024" s="2"/>
      <c r="G1024" s="3"/>
      <c r="H1024" s="3"/>
      <c r="I1024" s="3"/>
      <c r="K1024" s="3"/>
      <c r="L1024" s="3"/>
      <c r="X1024" s="4"/>
      <c r="AK1024" s="5"/>
    </row>
    <row r="1025" spans="2:37" x14ac:dyDescent="0.25">
      <c r="B1025" s="1"/>
      <c r="E1025" s="2"/>
      <c r="F1025" s="3"/>
      <c r="G1025" s="3"/>
      <c r="H1025" s="3"/>
      <c r="I1025" s="3"/>
      <c r="K1025" s="3"/>
      <c r="L1025" s="3"/>
      <c r="X1025" s="4"/>
    </row>
    <row r="1026" spans="2:37" x14ac:dyDescent="0.25">
      <c r="B1026" s="1"/>
      <c r="E1026" s="2"/>
      <c r="F1026" s="3"/>
      <c r="H1026" s="3"/>
      <c r="I1026" s="3"/>
      <c r="K1026" s="3"/>
      <c r="L1026" s="3"/>
      <c r="X1026" s="4"/>
      <c r="AB1026" s="3"/>
      <c r="AE1026" s="3"/>
      <c r="AK1026" s="5"/>
    </row>
    <row r="1027" spans="2:37" x14ac:dyDescent="0.25">
      <c r="B1027" s="1"/>
      <c r="E1027" s="2"/>
      <c r="H1027" s="3"/>
      <c r="I1027" s="3"/>
      <c r="K1027" s="3"/>
      <c r="L1027" s="3"/>
      <c r="X1027" s="4"/>
      <c r="AK1027" s="5"/>
    </row>
    <row r="1028" spans="2:37" x14ac:dyDescent="0.25">
      <c r="B1028" s="1"/>
      <c r="E1028" s="2"/>
      <c r="F1028" s="3"/>
      <c r="G1028" s="3"/>
      <c r="H1028" s="3"/>
      <c r="I1028" s="3"/>
      <c r="K1028" s="3"/>
      <c r="L1028" s="3"/>
      <c r="X1028" s="4"/>
      <c r="Z1028" s="3"/>
      <c r="AE1028" s="3"/>
      <c r="AK1028" s="5"/>
    </row>
    <row r="1029" spans="2:37" x14ac:dyDescent="0.25">
      <c r="B1029" s="1"/>
      <c r="E1029" s="2"/>
      <c r="F1029" s="3"/>
      <c r="G1029" s="3"/>
      <c r="H1029" s="3"/>
      <c r="I1029" s="3"/>
      <c r="K1029" s="3"/>
      <c r="L1029" s="3"/>
      <c r="X1029" s="4"/>
      <c r="AA1029" s="3"/>
      <c r="AE1029" s="3"/>
      <c r="AK1029" s="5"/>
    </row>
    <row r="1030" spans="2:37" x14ac:dyDescent="0.25">
      <c r="B1030" s="1"/>
      <c r="E1030" s="2"/>
      <c r="F1030" s="3"/>
      <c r="G1030" s="3"/>
      <c r="H1030" s="3"/>
      <c r="I1030" s="3"/>
      <c r="K1030" s="3"/>
      <c r="L1030" s="3"/>
      <c r="X1030" s="4"/>
      <c r="AD1030" s="3"/>
      <c r="AE1030" s="3"/>
      <c r="AK1030" s="5"/>
    </row>
    <row r="1031" spans="2:37" x14ac:dyDescent="0.25">
      <c r="B1031" s="1"/>
      <c r="E1031" s="2"/>
      <c r="H1031" s="3"/>
      <c r="I1031" s="3"/>
      <c r="K1031" s="3"/>
      <c r="L1031" s="3"/>
      <c r="X1031" s="4"/>
      <c r="AB1031" s="3"/>
      <c r="AE1031" s="3"/>
      <c r="AK1031" s="5"/>
    </row>
    <row r="1032" spans="2:37" x14ac:dyDescent="0.25">
      <c r="B1032" s="1"/>
      <c r="E1032" s="2"/>
      <c r="F1032" s="3"/>
      <c r="G1032" s="3"/>
      <c r="H1032" s="3"/>
      <c r="I1032" s="3"/>
      <c r="K1032" s="3"/>
      <c r="L1032" s="3"/>
      <c r="X1032" s="4"/>
      <c r="AK1032" s="5"/>
    </row>
    <row r="1033" spans="2:37" x14ac:dyDescent="0.25">
      <c r="B1033" s="1"/>
      <c r="E1033" s="2"/>
      <c r="G1033" s="3"/>
      <c r="H1033" s="3"/>
      <c r="I1033" s="3"/>
      <c r="K1033" s="3"/>
      <c r="L1033" s="3"/>
      <c r="X1033" s="4"/>
      <c r="AK1033" s="5"/>
    </row>
    <row r="1034" spans="2:37" x14ac:dyDescent="0.25">
      <c r="B1034" s="1"/>
      <c r="E1034" s="2"/>
      <c r="F1034" s="3"/>
      <c r="G1034" s="3"/>
      <c r="H1034" s="3"/>
      <c r="I1034" s="3"/>
      <c r="K1034" s="3"/>
      <c r="L1034" s="3"/>
      <c r="X1034" s="4"/>
      <c r="AA1034" s="3"/>
      <c r="AE1034" s="3"/>
      <c r="AK1034" s="5"/>
    </row>
    <row r="1035" spans="2:37" x14ac:dyDescent="0.25">
      <c r="B1035" s="1"/>
      <c r="E1035" s="2"/>
      <c r="G1035" s="3"/>
      <c r="H1035" s="3"/>
      <c r="I1035" s="3"/>
      <c r="K1035" s="3"/>
      <c r="L1035" s="3"/>
      <c r="X1035" s="4"/>
    </row>
    <row r="1036" spans="2:37" x14ac:dyDescent="0.25">
      <c r="B1036" s="3"/>
      <c r="E1036" s="2"/>
      <c r="F1036" s="3"/>
      <c r="G1036" s="3"/>
      <c r="H1036" s="3"/>
      <c r="I1036" s="3"/>
      <c r="K1036" s="3"/>
      <c r="L1036" s="3"/>
      <c r="X1036" s="4"/>
      <c r="AB1036" s="3"/>
      <c r="AE1036" s="3"/>
      <c r="AK1036" s="5"/>
    </row>
    <row r="1037" spans="2:37" x14ac:dyDescent="0.25">
      <c r="B1037" s="1"/>
      <c r="E1037" s="2"/>
      <c r="H1037" s="3"/>
      <c r="I1037" s="3"/>
      <c r="K1037" s="3"/>
      <c r="L1037" s="3"/>
      <c r="X1037" s="4"/>
      <c r="AB1037" s="3"/>
      <c r="AE1037" s="3"/>
      <c r="AK1037" s="5"/>
    </row>
    <row r="1038" spans="2:37" x14ac:dyDescent="0.25">
      <c r="B1038" s="3"/>
      <c r="E1038" s="2"/>
      <c r="F1038" s="3"/>
      <c r="G1038" s="3"/>
      <c r="H1038" s="3"/>
      <c r="I1038" s="3"/>
      <c r="K1038" s="3"/>
      <c r="L1038" s="3"/>
      <c r="X1038" s="4"/>
      <c r="AB1038" s="3"/>
      <c r="AE1038" s="3"/>
      <c r="AK1038" s="5"/>
    </row>
    <row r="1039" spans="2:37" x14ac:dyDescent="0.25">
      <c r="B1039" s="1"/>
      <c r="E1039" s="2"/>
      <c r="H1039" s="3"/>
      <c r="I1039" s="3"/>
      <c r="K1039" s="3"/>
      <c r="L1039" s="3"/>
      <c r="X1039" s="4"/>
      <c r="AB1039" s="3"/>
      <c r="AE1039" s="3"/>
      <c r="AK1039" s="5"/>
    </row>
    <row r="1040" spans="2:37" x14ac:dyDescent="0.25">
      <c r="B1040" s="1"/>
      <c r="E1040" s="2"/>
      <c r="F1040" s="3"/>
      <c r="G1040" s="3"/>
      <c r="H1040" s="3"/>
      <c r="I1040" s="3"/>
      <c r="K1040" s="3"/>
      <c r="L1040" s="3"/>
      <c r="X1040" s="4"/>
      <c r="Z1040" s="3"/>
      <c r="AE1040" s="3"/>
      <c r="AK1040" s="5"/>
    </row>
    <row r="1041" spans="2:37" x14ac:dyDescent="0.25">
      <c r="B1041" s="1"/>
      <c r="E1041" s="2"/>
      <c r="H1041" s="3"/>
      <c r="I1041" s="3"/>
      <c r="K1041" s="3"/>
      <c r="L1041" s="3"/>
      <c r="X1041" s="4"/>
      <c r="Z1041" s="3"/>
      <c r="AE1041" s="3"/>
      <c r="AK1041" s="5"/>
    </row>
    <row r="1042" spans="2:37" x14ac:dyDescent="0.25"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2:37" x14ac:dyDescent="0.25">
      <c r="B1043" s="1"/>
      <c r="E1043" s="2"/>
      <c r="H1043" s="3"/>
      <c r="I1043" s="3"/>
      <c r="K1043" s="3"/>
      <c r="L1043" s="3"/>
      <c r="X1043" s="4"/>
    </row>
    <row r="1044" spans="2:37" x14ac:dyDescent="0.25">
      <c r="D1044" s="3"/>
      <c r="G1044" s="3"/>
    </row>
    <row r="1045" spans="2:37" x14ac:dyDescent="0.25">
      <c r="B1045" s="1"/>
      <c r="E1045" s="2"/>
      <c r="H1045" s="3"/>
      <c r="I1045" s="3"/>
      <c r="K1045" s="3"/>
      <c r="L1045" s="3"/>
      <c r="X1045" s="4"/>
    </row>
    <row r="1046" spans="2:37" x14ac:dyDescent="0.25">
      <c r="B1046" s="3"/>
      <c r="F1046" s="3"/>
      <c r="G1046" s="3"/>
    </row>
    <row r="1047" spans="2:37" x14ac:dyDescent="0.25">
      <c r="B1047" s="1"/>
      <c r="E1047" s="2"/>
      <c r="H1047" s="3"/>
      <c r="I1047" s="3"/>
      <c r="K1047" s="3"/>
      <c r="L1047" s="3"/>
      <c r="X1047" s="4"/>
      <c r="AB1047" s="3"/>
      <c r="AK1047" s="5"/>
    </row>
    <row r="1048" spans="2:37" x14ac:dyDescent="0.25">
      <c r="B1048" s="1"/>
      <c r="E1048" s="2"/>
      <c r="F1048" s="3"/>
      <c r="G1048" s="3"/>
      <c r="H1048" s="3"/>
      <c r="I1048" s="3"/>
      <c r="K1048" s="3"/>
      <c r="L1048" s="3"/>
      <c r="X1048" s="4"/>
      <c r="AB1048" s="3"/>
      <c r="AK1048" s="5"/>
    </row>
    <row r="1049" spans="2:37" x14ac:dyDescent="0.25">
      <c r="B1049" s="1"/>
      <c r="E1049" s="2"/>
      <c r="H1049" s="3"/>
      <c r="I1049" s="3"/>
      <c r="K1049" s="3"/>
      <c r="L1049" s="3"/>
      <c r="X1049" s="4"/>
      <c r="AE1049" s="3"/>
      <c r="AK1049" s="5"/>
    </row>
    <row r="1050" spans="2:37" x14ac:dyDescent="0.25">
      <c r="B1050" s="1"/>
      <c r="E1050" s="2"/>
      <c r="F1050" s="3"/>
      <c r="G1050" s="3"/>
      <c r="H1050" s="3"/>
      <c r="I1050" s="3"/>
      <c r="K1050" s="3"/>
      <c r="L1050" s="3"/>
      <c r="X1050" s="4"/>
      <c r="AD1050" s="3"/>
      <c r="AE1050" s="3"/>
      <c r="AK1050" s="5"/>
    </row>
    <row r="1051" spans="2:37" x14ac:dyDescent="0.25">
      <c r="B1051" s="1"/>
      <c r="E1051" s="2"/>
      <c r="H1051" s="3"/>
      <c r="I1051" s="3"/>
      <c r="K1051" s="3"/>
      <c r="L1051" s="3"/>
      <c r="X1051" s="4"/>
      <c r="Z1051" s="3"/>
      <c r="AD1051" s="3"/>
      <c r="AE1051" s="3"/>
      <c r="AK1051" s="5"/>
    </row>
    <row r="1052" spans="2:37" x14ac:dyDescent="0.25">
      <c r="B1052" s="1"/>
      <c r="D1052" s="3"/>
      <c r="E1052" s="2"/>
      <c r="G1052" s="3"/>
      <c r="H1052" s="3"/>
      <c r="I1052" s="3"/>
      <c r="K1052" s="3"/>
      <c r="L1052" s="3"/>
      <c r="X1052" s="4"/>
      <c r="Z1052" s="3"/>
      <c r="AD1052" s="3"/>
      <c r="AE1052" s="3"/>
      <c r="AK1052" s="5"/>
    </row>
    <row r="1053" spans="2:37" x14ac:dyDescent="0.25">
      <c r="B1053" s="1"/>
      <c r="E1053" s="2"/>
      <c r="H1053" s="3"/>
      <c r="I1053" s="3"/>
      <c r="K1053" s="3"/>
      <c r="L1053" s="3"/>
      <c r="X1053" s="4"/>
      <c r="AB1053" s="3"/>
      <c r="AD1053" s="3"/>
      <c r="AE1053" s="3"/>
      <c r="AK1053" s="5"/>
    </row>
    <row r="1054" spans="2:37" x14ac:dyDescent="0.25">
      <c r="B1054" s="1"/>
      <c r="D1054" s="3"/>
      <c r="E1054" s="2"/>
      <c r="G1054" s="3"/>
      <c r="H1054" s="3"/>
      <c r="I1054" s="3"/>
      <c r="K1054" s="3"/>
      <c r="L1054" s="3"/>
      <c r="X1054" s="4"/>
      <c r="AD1054" s="3"/>
      <c r="AE1054" s="3"/>
      <c r="AK1054" s="5"/>
    </row>
    <row r="1055" spans="2:37" x14ac:dyDescent="0.25">
      <c r="B1055" s="3"/>
      <c r="E1055" s="2"/>
      <c r="G1055" s="3"/>
      <c r="H1055" s="3"/>
      <c r="I1055" s="3"/>
      <c r="K1055" s="3"/>
      <c r="L1055" s="3"/>
      <c r="X1055" s="4"/>
      <c r="AD1055" s="3"/>
      <c r="AK1055" s="5"/>
    </row>
    <row r="1056" spans="2:37" x14ac:dyDescent="0.25">
      <c r="B1056" s="1"/>
      <c r="D1056" s="3"/>
      <c r="E1056" s="2"/>
      <c r="G1056" s="3"/>
      <c r="H1056" s="3"/>
      <c r="I1056" s="3"/>
      <c r="K1056" s="3"/>
      <c r="L1056" s="3"/>
      <c r="X1056" s="4"/>
      <c r="Z1056" s="3"/>
      <c r="AE1056" s="3"/>
      <c r="AK1056" s="5"/>
    </row>
    <row r="1057" spans="2:37" x14ac:dyDescent="0.25">
      <c r="B1057" s="1"/>
      <c r="E1057" s="2"/>
      <c r="H1057" s="3"/>
      <c r="I1057" s="3"/>
      <c r="K1057" s="3"/>
      <c r="L1057" s="3"/>
      <c r="X1057" s="4"/>
      <c r="AE1057" s="3"/>
      <c r="AK1057" s="5"/>
    </row>
    <row r="1058" spans="2:37" x14ac:dyDescent="0.25">
      <c r="B1058" s="1"/>
      <c r="D1058" s="3"/>
      <c r="E1058" s="2"/>
      <c r="G1058" s="3"/>
      <c r="H1058" s="3"/>
      <c r="I1058" s="3"/>
      <c r="K1058" s="3"/>
      <c r="L1058" s="3"/>
      <c r="X1058" s="4"/>
      <c r="Z1058" s="3"/>
      <c r="AE1058" s="3"/>
      <c r="AK1058" s="5"/>
    </row>
    <row r="1059" spans="2:37" x14ac:dyDescent="0.25">
      <c r="B1059" s="1"/>
      <c r="E1059" s="2"/>
      <c r="H1059" s="3"/>
      <c r="I1059" s="3"/>
      <c r="K1059" s="3"/>
      <c r="L1059" s="3"/>
      <c r="X1059" s="4"/>
    </row>
    <row r="1060" spans="2:37" x14ac:dyDescent="0.25">
      <c r="B1060" s="3"/>
      <c r="D1060" s="3"/>
      <c r="G1060" s="3"/>
    </row>
    <row r="1061" spans="2:37" x14ac:dyDescent="0.25">
      <c r="B1061" s="1"/>
      <c r="E1061" s="2"/>
      <c r="H1061" s="3"/>
      <c r="I1061" s="3"/>
      <c r="K1061" s="3"/>
      <c r="L1061" s="3"/>
      <c r="X1061" s="4"/>
      <c r="Z1061" s="3"/>
      <c r="AE1061" s="3"/>
      <c r="AK1061" s="5"/>
    </row>
    <row r="1062" spans="2:37" x14ac:dyDescent="0.25">
      <c r="B1062" s="1"/>
      <c r="D1062" s="3"/>
      <c r="E1062" s="2"/>
      <c r="G1062" s="3"/>
      <c r="H1062" s="3"/>
      <c r="I1062" s="3"/>
      <c r="K1062" s="3"/>
      <c r="X1062" s="4"/>
      <c r="AE1062" s="3"/>
      <c r="AK1062" s="5"/>
    </row>
    <row r="1063" spans="2:37" x14ac:dyDescent="0.25">
      <c r="B1063" s="1"/>
      <c r="E1063" s="2"/>
      <c r="H1063" s="3"/>
      <c r="I1063" s="3"/>
      <c r="K1063" s="3"/>
      <c r="L1063" s="3"/>
      <c r="X1063" s="4"/>
      <c r="AB1063" s="3"/>
      <c r="AE1063" s="3"/>
      <c r="AK1063" s="5"/>
    </row>
    <row r="1064" spans="2:37" x14ac:dyDescent="0.25">
      <c r="B1064" s="1"/>
      <c r="D1064" s="3"/>
      <c r="E1064" s="2"/>
      <c r="G1064" s="3"/>
      <c r="H1064" s="3"/>
      <c r="I1064" s="3"/>
      <c r="K1064" s="3"/>
      <c r="X1064" s="4"/>
    </row>
    <row r="1065" spans="2:37" x14ac:dyDescent="0.25">
      <c r="B1065" s="1"/>
      <c r="E1065" s="2"/>
      <c r="H1065" s="3"/>
      <c r="I1065" s="3"/>
      <c r="K1065" s="3"/>
      <c r="L1065" s="3"/>
      <c r="X1065" s="4"/>
      <c r="Z1065" s="3"/>
      <c r="AB1065" s="3"/>
      <c r="AE1065" s="3"/>
      <c r="AK1065" s="5"/>
    </row>
    <row r="1066" spans="2:37" x14ac:dyDescent="0.25">
      <c r="B1066" s="1"/>
      <c r="D1066" s="3"/>
      <c r="E1066" s="2"/>
      <c r="G1066" s="3"/>
      <c r="H1066" s="3"/>
      <c r="I1066" s="3"/>
      <c r="K1066" s="3"/>
      <c r="X1066" s="4"/>
      <c r="AE1066" s="3"/>
      <c r="AK1066" s="5"/>
    </row>
    <row r="1067" spans="2:37" x14ac:dyDescent="0.25">
      <c r="B1067" s="1"/>
      <c r="E1067" s="2"/>
      <c r="H1067" s="3"/>
      <c r="I1067" s="3"/>
      <c r="K1067" s="3"/>
      <c r="L1067" s="3"/>
      <c r="X1067" s="4"/>
      <c r="Z1067" s="3"/>
      <c r="AE1067" s="3"/>
      <c r="AK1067" s="5"/>
    </row>
    <row r="1068" spans="2:37" x14ac:dyDescent="0.25">
      <c r="D1068" s="3"/>
      <c r="G1068" s="3"/>
    </row>
    <row r="1069" spans="2:37" x14ac:dyDescent="0.25">
      <c r="B1069" s="1"/>
      <c r="E1069" s="2"/>
      <c r="H1069" s="3"/>
      <c r="I1069" s="3"/>
      <c r="K1069" s="3"/>
      <c r="L1069" s="3"/>
      <c r="X1069" s="4"/>
      <c r="Z1069" s="3"/>
      <c r="AD1069" s="3"/>
      <c r="AE1069" s="3"/>
      <c r="AK1069" s="5"/>
    </row>
    <row r="1070" spans="2:37" x14ac:dyDescent="0.25">
      <c r="B1070" s="1"/>
      <c r="D1070" s="3"/>
      <c r="E1070" s="2"/>
      <c r="G1070" s="3"/>
      <c r="H1070" s="3"/>
      <c r="I1070" s="3"/>
      <c r="K1070" s="3"/>
      <c r="L1070" s="3"/>
      <c r="X1070" s="4"/>
      <c r="Z1070" s="3"/>
      <c r="AE1070" s="3"/>
      <c r="AK1070" s="5"/>
    </row>
    <row r="1071" spans="2:37" x14ac:dyDescent="0.25">
      <c r="B1071" s="1"/>
      <c r="E1071" s="2"/>
      <c r="H1071" s="3"/>
      <c r="I1071" s="3"/>
      <c r="K1071" s="3"/>
      <c r="L1071" s="3"/>
      <c r="X1071" s="4"/>
      <c r="Z1071" s="3"/>
      <c r="AE1071" s="3"/>
      <c r="AK1071" s="5"/>
    </row>
    <row r="1072" spans="2:37" x14ac:dyDescent="0.25">
      <c r="B1072" s="1"/>
      <c r="E1072" s="2"/>
      <c r="G1072" s="3"/>
      <c r="H1072" s="3"/>
      <c r="I1072" s="3"/>
      <c r="K1072" s="3"/>
      <c r="L1072" s="3"/>
      <c r="X1072" s="4"/>
      <c r="Z1072" s="3"/>
      <c r="AE1072" s="3"/>
      <c r="AK1072" s="5"/>
    </row>
    <row r="1073" spans="2:37" x14ac:dyDescent="0.25">
      <c r="B1073" s="1"/>
      <c r="E1073" s="2"/>
      <c r="H1073" s="3"/>
      <c r="I1073" s="3"/>
      <c r="K1073" s="3"/>
      <c r="L1073" s="3"/>
      <c r="X1073" s="4"/>
      <c r="Z1073" s="3"/>
      <c r="AE1073" s="3"/>
      <c r="AK1073" s="5"/>
    </row>
    <row r="1074" spans="2:37" x14ac:dyDescent="0.25">
      <c r="B1074" s="1"/>
      <c r="E1074" s="2"/>
      <c r="H1074" s="3"/>
      <c r="I1074" s="3"/>
      <c r="K1074" s="3"/>
      <c r="L1074" s="3"/>
      <c r="X1074" s="4"/>
      <c r="Z1074" s="3"/>
      <c r="AE1074" s="3"/>
      <c r="AK1074" s="5"/>
    </row>
    <row r="1075" spans="2:37" x14ac:dyDescent="0.25">
      <c r="B1075" s="1"/>
      <c r="E1075" s="2"/>
      <c r="F1075" s="3"/>
      <c r="G1075" s="3"/>
      <c r="H1075" s="3"/>
      <c r="I1075" s="3"/>
      <c r="K1075" s="3"/>
      <c r="X1075" s="4"/>
    </row>
    <row r="1076" spans="2:37" x14ac:dyDescent="0.25">
      <c r="B1076" s="1"/>
      <c r="E1076" s="2"/>
      <c r="H1076" s="3"/>
      <c r="I1076" s="3"/>
      <c r="K1076" s="3"/>
      <c r="L1076" s="3"/>
      <c r="X1076" s="4"/>
    </row>
    <row r="1077" spans="2:37" x14ac:dyDescent="0.25">
      <c r="B1077" s="1"/>
      <c r="E1077" s="2"/>
      <c r="F1077" s="3"/>
      <c r="G1077" s="3"/>
      <c r="H1077" s="3"/>
      <c r="I1077" s="3"/>
      <c r="K1077" s="3"/>
      <c r="X1077" s="4"/>
      <c r="AE1077" s="3"/>
      <c r="AK1077" s="5"/>
    </row>
    <row r="1078" spans="2:37" x14ac:dyDescent="0.25">
      <c r="B1078" s="1"/>
      <c r="E1078" s="2"/>
      <c r="H1078" s="3"/>
      <c r="I1078" s="3"/>
      <c r="K1078" s="3"/>
      <c r="L1078" s="3"/>
      <c r="X1078" s="4"/>
    </row>
    <row r="1079" spans="2:37" x14ac:dyDescent="0.25">
      <c r="B1079" s="1"/>
      <c r="E1079" s="2"/>
      <c r="F1079" s="3"/>
      <c r="G1079" s="3"/>
      <c r="H1079" s="3"/>
      <c r="I1079" s="3"/>
      <c r="K1079" s="3"/>
      <c r="L1079" s="3"/>
      <c r="X1079" s="4"/>
      <c r="AB1079" s="3"/>
      <c r="AE1079" s="3"/>
      <c r="AK1079" s="5"/>
    </row>
    <row r="1080" spans="2:37" x14ac:dyDescent="0.25">
      <c r="B1080" s="1"/>
      <c r="E1080" s="2"/>
      <c r="H1080" s="3"/>
      <c r="I1080" s="3"/>
      <c r="K1080" s="3"/>
      <c r="L1080" s="3"/>
      <c r="X1080" s="4"/>
      <c r="AB1080" s="3"/>
      <c r="AE1080" s="3"/>
      <c r="AK1080" s="5"/>
    </row>
    <row r="1081" spans="2:37" x14ac:dyDescent="0.25">
      <c r="B1081" s="1"/>
      <c r="E1081" s="2"/>
      <c r="F1081" s="3"/>
      <c r="G1081" s="3"/>
      <c r="H1081" s="3"/>
      <c r="I1081" s="3"/>
      <c r="K1081" s="3"/>
      <c r="L1081" s="3"/>
      <c r="AB1081" s="3"/>
      <c r="AE1081" s="3"/>
      <c r="AK1081" s="5"/>
    </row>
    <row r="1082" spans="2:37" x14ac:dyDescent="0.25">
      <c r="B1082" s="1"/>
      <c r="E1082" s="2"/>
      <c r="H1082" s="3"/>
      <c r="I1082" s="3"/>
      <c r="K1082" s="3"/>
      <c r="L1082" s="3"/>
      <c r="X1082" s="4"/>
      <c r="Z1082" s="3"/>
      <c r="AB1082" s="3"/>
      <c r="AE1082" s="3"/>
      <c r="AK1082" s="5"/>
    </row>
    <row r="1083" spans="2:37" x14ac:dyDescent="0.25">
      <c r="B1083" s="1"/>
      <c r="E1083" s="2"/>
      <c r="F1083" s="3"/>
      <c r="G1083" s="3"/>
      <c r="H1083" s="3"/>
      <c r="I1083" s="3"/>
      <c r="K1083" s="3"/>
      <c r="L1083" s="3"/>
      <c r="X1083" s="4"/>
      <c r="AB1083" s="3"/>
      <c r="AE1083" s="3"/>
      <c r="AK1083" s="5"/>
    </row>
    <row r="1084" spans="2:37" x14ac:dyDescent="0.25">
      <c r="B1084" s="1"/>
      <c r="E1084" s="2"/>
      <c r="H1084" s="3"/>
      <c r="I1084" s="3"/>
      <c r="K1084" s="3"/>
      <c r="L1084" s="3"/>
      <c r="X1084" s="4"/>
      <c r="AB1084" s="3"/>
      <c r="AE1084" s="3"/>
      <c r="AK1084" s="5"/>
    </row>
    <row r="1085" spans="2:37" x14ac:dyDescent="0.25">
      <c r="B1085" s="1"/>
      <c r="E1085" s="2"/>
      <c r="H1085" s="3"/>
      <c r="I1085" s="3"/>
      <c r="K1085" s="3"/>
      <c r="L1085" s="3"/>
      <c r="X1085" s="4"/>
      <c r="AB1085" s="3"/>
      <c r="AE1085" s="3"/>
      <c r="AK1085" s="5"/>
    </row>
    <row r="1086" spans="2:37" x14ac:dyDescent="0.25">
      <c r="B1086" s="1"/>
      <c r="D1086" s="3"/>
      <c r="E1086" s="2"/>
      <c r="G1086" s="3"/>
      <c r="H1086" s="3"/>
      <c r="I1086" s="3"/>
      <c r="K1086" s="3"/>
      <c r="X1086" s="4"/>
      <c r="AE1086" s="3"/>
      <c r="AK1086" s="5"/>
    </row>
    <row r="1087" spans="2:37" x14ac:dyDescent="0.25">
      <c r="B1087" s="1"/>
      <c r="E1087" s="2"/>
      <c r="H1087" s="3"/>
      <c r="I1087" s="3"/>
      <c r="K1087" s="3"/>
      <c r="L1087" s="3"/>
      <c r="X1087" s="4"/>
      <c r="AA1087" s="3"/>
      <c r="AB1087" s="3"/>
      <c r="AD1087" s="3"/>
      <c r="AE1087" s="3"/>
      <c r="AK1087" s="5"/>
    </row>
    <row r="1088" spans="2:37" x14ac:dyDescent="0.25">
      <c r="B1088" s="1"/>
      <c r="E1088" s="2"/>
      <c r="H1088" s="3"/>
      <c r="I1088" s="3"/>
      <c r="K1088" s="3"/>
      <c r="L1088" s="3"/>
      <c r="X1088" s="4"/>
      <c r="AA1088" s="3"/>
      <c r="AE1088" s="3"/>
      <c r="AK1088" s="5"/>
    </row>
    <row r="1089" spans="2:37" x14ac:dyDescent="0.25">
      <c r="B1089" s="1"/>
      <c r="E1089" s="2"/>
      <c r="G1089" s="3"/>
      <c r="H1089" s="3"/>
      <c r="I1089" s="3"/>
      <c r="K1089" s="3"/>
      <c r="L1089" s="3"/>
      <c r="X1089" s="4"/>
      <c r="Z1089" s="3"/>
      <c r="AE1089" s="3"/>
      <c r="AK1089" s="5"/>
    </row>
    <row r="1090" spans="2:37" x14ac:dyDescent="0.25">
      <c r="B1090" s="1"/>
      <c r="E1090" s="2"/>
      <c r="H1090" s="3"/>
      <c r="I1090" s="3"/>
      <c r="K1090" s="3"/>
      <c r="L1090" s="3"/>
      <c r="X1090" s="4"/>
      <c r="AE1090" s="3"/>
      <c r="AK1090" s="5"/>
    </row>
    <row r="1091" spans="2:37" x14ac:dyDescent="0.25">
      <c r="B1091" s="3"/>
      <c r="E1091" s="2"/>
      <c r="G1091" s="3"/>
      <c r="H1091" s="3"/>
      <c r="I1091" s="3"/>
      <c r="K1091" s="3"/>
      <c r="X1091" s="4"/>
      <c r="AE1091" s="3"/>
      <c r="AK1091" s="5"/>
    </row>
    <row r="1092" spans="2:37" x14ac:dyDescent="0.25">
      <c r="B1092" s="1"/>
      <c r="E1092" s="2"/>
      <c r="H1092" s="3"/>
      <c r="I1092" s="3"/>
      <c r="K1092" s="3"/>
      <c r="X1092" s="4"/>
      <c r="AE1092" s="3"/>
      <c r="AK1092" s="5"/>
    </row>
    <row r="1093" spans="2:37" x14ac:dyDescent="0.25">
      <c r="B1093" s="1"/>
      <c r="E1093" s="2"/>
      <c r="H1093" s="3"/>
      <c r="I1093" s="3"/>
      <c r="K1093" s="3"/>
      <c r="L1093" s="3"/>
      <c r="X1093" s="4"/>
      <c r="Z1093" s="3"/>
      <c r="AE1093" s="3"/>
      <c r="AK1093" s="5"/>
    </row>
    <row r="1094" spans="2:37" x14ac:dyDescent="0.25">
      <c r="B1094" s="1"/>
      <c r="E1094" s="2"/>
      <c r="G1094" s="3"/>
      <c r="H1094" s="3"/>
      <c r="I1094" s="3"/>
      <c r="K1094" s="3"/>
      <c r="L1094" s="3"/>
      <c r="X1094" s="4"/>
      <c r="AK1094" s="5"/>
    </row>
    <row r="1095" spans="2:37" x14ac:dyDescent="0.25">
      <c r="B1095" s="1"/>
      <c r="E1095" s="2"/>
      <c r="G1095" s="3"/>
      <c r="H1095" s="3"/>
      <c r="I1095" s="3"/>
      <c r="K1095" s="3"/>
      <c r="X1095" s="4"/>
      <c r="AE1095" s="3"/>
      <c r="AK1095" s="5"/>
    </row>
    <row r="1096" spans="2:37" x14ac:dyDescent="0.25">
      <c r="B1096" s="1"/>
      <c r="E1096" s="2"/>
      <c r="H1096" s="3"/>
      <c r="I1096" s="3"/>
      <c r="K1096" s="3"/>
      <c r="L1096" s="3"/>
      <c r="X1096" s="4"/>
      <c r="AD1096" s="3"/>
      <c r="AE1096" s="3"/>
      <c r="AK1096" s="5"/>
    </row>
    <row r="1097" spans="2:37" x14ac:dyDescent="0.25">
      <c r="B1097" s="1"/>
      <c r="E1097" s="2"/>
      <c r="H1097" s="3"/>
      <c r="I1097" s="3"/>
      <c r="K1097" s="3"/>
      <c r="L1097" s="3"/>
      <c r="X1097" s="4"/>
      <c r="AB1097" s="3"/>
      <c r="AE1097" s="3"/>
      <c r="AK1097" s="5"/>
    </row>
    <row r="1098" spans="2:37" x14ac:dyDescent="0.25">
      <c r="B1098" s="1"/>
      <c r="E1098" s="2"/>
      <c r="H1098" s="3"/>
      <c r="I1098" s="3"/>
      <c r="K1098" s="3"/>
      <c r="L1098" s="3"/>
      <c r="X1098" s="4"/>
      <c r="AK1098" s="5"/>
    </row>
    <row r="1099" spans="2:37" x14ac:dyDescent="0.25">
      <c r="B1099" s="1"/>
      <c r="D1099" s="3"/>
      <c r="E1099" s="2"/>
      <c r="G1099" s="3"/>
      <c r="H1099" s="3"/>
      <c r="I1099" s="3"/>
      <c r="K1099" s="3"/>
      <c r="L1099" s="3"/>
      <c r="X1099" s="4"/>
      <c r="AB1099" s="3"/>
      <c r="AE1099" s="3"/>
      <c r="AK1099" s="5"/>
    </row>
    <row r="1100" spans="2:37" x14ac:dyDescent="0.25">
      <c r="B1100" s="1"/>
      <c r="E1100" s="2"/>
      <c r="H1100" s="3"/>
      <c r="I1100" s="3"/>
      <c r="K1100" s="3"/>
      <c r="L1100" s="3"/>
      <c r="X1100" s="4"/>
      <c r="AB1100" s="3"/>
      <c r="AD1100" s="3"/>
      <c r="AE1100" s="3"/>
      <c r="AK1100" s="5"/>
    </row>
    <row r="1101" spans="2:37" x14ac:dyDescent="0.25">
      <c r="B1101" s="1"/>
      <c r="E1101" s="2"/>
      <c r="G1101" s="3"/>
      <c r="H1101" s="3"/>
      <c r="I1101" s="3"/>
      <c r="K1101" s="3"/>
      <c r="L1101" s="3"/>
      <c r="X1101" s="4"/>
      <c r="AB1101" s="3"/>
      <c r="AE1101" s="3"/>
      <c r="AK1101" s="5"/>
    </row>
    <row r="1102" spans="2:37" x14ac:dyDescent="0.25">
      <c r="B1102" s="1"/>
      <c r="E1102" s="2"/>
      <c r="H1102" s="3"/>
      <c r="I1102" s="3"/>
      <c r="K1102" s="3"/>
      <c r="L1102" s="3"/>
      <c r="X1102" s="4"/>
      <c r="AK1102" s="5"/>
    </row>
    <row r="1103" spans="2:37" x14ac:dyDescent="0.25">
      <c r="B1103" s="3"/>
      <c r="E1103" s="2"/>
      <c r="F1103" s="3"/>
      <c r="G1103" s="3"/>
      <c r="H1103" s="3"/>
      <c r="I1103" s="3"/>
      <c r="K1103" s="3"/>
      <c r="X1103" s="4"/>
      <c r="AK1103" s="5"/>
    </row>
    <row r="1104" spans="2:37" x14ac:dyDescent="0.25">
      <c r="B1104" s="1"/>
      <c r="E1104" s="2"/>
      <c r="H1104" s="3"/>
      <c r="I1104" s="3"/>
      <c r="K1104" s="3"/>
      <c r="L1104" s="3"/>
      <c r="X1104" s="4"/>
      <c r="AK1104" s="5"/>
    </row>
    <row r="1105" spans="2:37" x14ac:dyDescent="0.25">
      <c r="B1105" s="3"/>
      <c r="E1105" s="2"/>
      <c r="F1105" s="3"/>
      <c r="G1105" s="3"/>
      <c r="H1105" s="3"/>
      <c r="I1105" s="3"/>
      <c r="K1105" s="3"/>
      <c r="X1105" s="4"/>
      <c r="AK1105" s="5"/>
    </row>
    <row r="1106" spans="2:37" x14ac:dyDescent="0.25">
      <c r="B1106" s="1"/>
      <c r="E1106" s="2"/>
      <c r="H1106" s="3"/>
      <c r="I1106" s="3"/>
      <c r="K1106" s="3"/>
      <c r="L1106" s="3"/>
      <c r="X1106" s="4"/>
      <c r="AK1106" s="5"/>
    </row>
    <row r="1107" spans="2:37" x14ac:dyDescent="0.25">
      <c r="B1107" s="3"/>
      <c r="E1107" s="2"/>
      <c r="F1107" s="3"/>
      <c r="G1107" s="3"/>
      <c r="H1107" s="3"/>
      <c r="I1107" s="3"/>
      <c r="K1107" s="3"/>
      <c r="X1107" s="4"/>
      <c r="AE1107" s="3"/>
      <c r="AK1107" s="5"/>
    </row>
    <row r="1108" spans="2:37" x14ac:dyDescent="0.25">
      <c r="B1108" s="1"/>
      <c r="E1108" s="2"/>
      <c r="H1108" s="3"/>
      <c r="I1108" s="3"/>
      <c r="K1108" s="3"/>
      <c r="L1108" s="3"/>
      <c r="X1108" s="4"/>
      <c r="Z1108" s="3"/>
      <c r="AD1108" s="3"/>
      <c r="AE1108" s="3"/>
      <c r="AK1108" s="5"/>
    </row>
    <row r="1109" spans="2:37" x14ac:dyDescent="0.25">
      <c r="B1109" s="1"/>
      <c r="E1109" s="2"/>
      <c r="G1109" s="3"/>
      <c r="H1109" s="3"/>
      <c r="I1109" s="3"/>
      <c r="K1109" s="3"/>
      <c r="L1109" s="3"/>
      <c r="X1109" s="4"/>
      <c r="AD1109" s="3"/>
      <c r="AE1109" s="3"/>
      <c r="AK1109" s="5"/>
    </row>
    <row r="1110" spans="2:37" x14ac:dyDescent="0.25">
      <c r="B1110" s="1"/>
      <c r="E1110" s="2"/>
      <c r="H1110" s="3"/>
      <c r="I1110" s="3"/>
      <c r="K1110" s="3"/>
      <c r="L1110" s="3"/>
      <c r="X1110" s="4"/>
      <c r="AK1110" s="5"/>
    </row>
    <row r="1111" spans="2:37" x14ac:dyDescent="0.25">
      <c r="B1111" s="1"/>
      <c r="E1111" s="2"/>
      <c r="F1111" s="3"/>
      <c r="G1111" s="3"/>
      <c r="H1111" s="3"/>
      <c r="I1111" s="3"/>
      <c r="K1111" s="3"/>
      <c r="L1111" s="3"/>
      <c r="X1111" s="4"/>
      <c r="AK1111" s="5"/>
    </row>
    <row r="1112" spans="2:37" x14ac:dyDescent="0.25">
      <c r="B1112" s="3"/>
      <c r="E1112" s="2"/>
      <c r="G1112" s="3"/>
      <c r="H1112" s="3"/>
      <c r="I1112" s="3"/>
      <c r="K1112" s="3"/>
      <c r="L1112" s="3"/>
      <c r="X1112" s="4"/>
      <c r="AK1112" s="5"/>
    </row>
    <row r="1113" spans="2:37" x14ac:dyDescent="0.25">
      <c r="B1113" s="1"/>
      <c r="E1113" s="2"/>
      <c r="F1113" s="3"/>
      <c r="G1113" s="3"/>
      <c r="H1113" s="3"/>
      <c r="I1113" s="3"/>
      <c r="K1113" s="3"/>
      <c r="X1113" s="4"/>
      <c r="AK1113" s="5"/>
    </row>
    <row r="1114" spans="2:37" x14ac:dyDescent="0.25">
      <c r="B1114" s="1"/>
      <c r="E1114" s="2"/>
      <c r="H1114" s="3"/>
      <c r="I1114" s="3"/>
      <c r="K1114" s="3"/>
      <c r="X1114" s="4"/>
      <c r="AK1114" s="5"/>
    </row>
    <row r="1115" spans="2:37" x14ac:dyDescent="0.25">
      <c r="B1115" s="1"/>
      <c r="E1115" s="2"/>
      <c r="H1115" s="3"/>
      <c r="I1115" s="3"/>
      <c r="K1115" s="3"/>
      <c r="X1115" s="4"/>
      <c r="AK1115" s="5"/>
    </row>
    <row r="1116" spans="2:37" x14ac:dyDescent="0.25">
      <c r="B1116" s="1"/>
      <c r="E1116" s="2"/>
      <c r="H1116" s="3"/>
      <c r="I1116" s="3"/>
      <c r="K1116" s="3"/>
      <c r="L1116" s="3"/>
      <c r="X1116" s="4"/>
      <c r="AK1116" s="5"/>
    </row>
    <row r="1117" spans="2:37" x14ac:dyDescent="0.25">
      <c r="B1117" s="1"/>
      <c r="D1117" s="3"/>
      <c r="E1117" s="2"/>
      <c r="F1117" s="3"/>
      <c r="G1117" s="3"/>
      <c r="H1117" s="3"/>
      <c r="I1117" s="3"/>
      <c r="K1117" s="3"/>
      <c r="L1117" s="3"/>
      <c r="X1117" s="4"/>
    </row>
    <row r="1118" spans="2:37" x14ac:dyDescent="0.25">
      <c r="B1118" s="3"/>
      <c r="E1118" s="2"/>
      <c r="G1118" s="3"/>
      <c r="H1118" s="3"/>
      <c r="I1118" s="3"/>
      <c r="K1118" s="3"/>
      <c r="L1118" s="3"/>
      <c r="X1118" s="4"/>
      <c r="AD1118" s="3"/>
      <c r="AE1118" s="3"/>
      <c r="AK1118" s="5"/>
    </row>
    <row r="1119" spans="2:37" x14ac:dyDescent="0.25">
      <c r="B1119" s="1"/>
      <c r="E1119" s="2"/>
      <c r="F1119" s="3"/>
      <c r="G1119" s="3"/>
      <c r="H1119" s="3"/>
      <c r="I1119" s="3"/>
      <c r="K1119" s="3"/>
      <c r="L1119" s="3"/>
      <c r="X1119" s="4"/>
      <c r="AB1119" s="3"/>
      <c r="AD1119" s="3"/>
      <c r="AE1119" s="3"/>
      <c r="AK1119" s="5"/>
    </row>
    <row r="1120" spans="2:37" x14ac:dyDescent="0.25">
      <c r="B1120" s="1"/>
      <c r="E1120" s="2"/>
      <c r="H1120" s="3"/>
      <c r="I1120" s="3"/>
      <c r="K1120" s="3"/>
      <c r="L1120" s="3"/>
      <c r="X1120" s="4"/>
      <c r="AD1120" s="3"/>
      <c r="AE1120" s="3"/>
      <c r="AK1120" s="5"/>
    </row>
    <row r="1121" spans="2:37" x14ac:dyDescent="0.25">
      <c r="B1121" s="1"/>
      <c r="E1121" s="2"/>
      <c r="F1121" s="3"/>
      <c r="G1121" s="3"/>
      <c r="H1121" s="3"/>
      <c r="I1121" s="3"/>
      <c r="K1121" s="3"/>
      <c r="L1121" s="3"/>
      <c r="X1121" s="4"/>
      <c r="AD1121" s="3"/>
      <c r="AE1121" s="3"/>
      <c r="AK1121" s="5"/>
    </row>
    <row r="1122" spans="2:37" x14ac:dyDescent="0.25">
      <c r="B1122" s="1"/>
      <c r="E1122" s="2"/>
      <c r="H1122" s="3"/>
      <c r="I1122" s="3"/>
      <c r="K1122" s="3"/>
      <c r="L1122" s="3"/>
      <c r="X1122" s="4"/>
      <c r="AB1122" s="3"/>
      <c r="AD1122" s="3"/>
      <c r="AE1122" s="3"/>
      <c r="AK1122" s="5"/>
    </row>
    <row r="1123" spans="2:37" x14ac:dyDescent="0.25">
      <c r="B1123" s="1"/>
      <c r="E1123" s="2"/>
      <c r="H1123" s="3"/>
      <c r="I1123" s="3"/>
      <c r="K1123" s="3"/>
      <c r="L1123" s="3"/>
      <c r="X1123" s="4"/>
      <c r="Z1123" s="3"/>
      <c r="AD1123" s="3"/>
      <c r="AE1123" s="3"/>
      <c r="AK1123" s="5"/>
    </row>
    <row r="1124" spans="2:37" x14ac:dyDescent="0.25">
      <c r="B1124" s="1"/>
      <c r="E1124" s="2"/>
      <c r="H1124" s="3"/>
      <c r="I1124" s="3"/>
      <c r="K1124" s="3"/>
      <c r="L1124" s="3"/>
      <c r="X1124" s="4"/>
      <c r="AD1124" s="3"/>
      <c r="AE1124" s="3"/>
      <c r="AK1124" s="5"/>
    </row>
    <row r="1125" spans="2:37" x14ac:dyDescent="0.25">
      <c r="B1125" s="1"/>
      <c r="E1125" s="2"/>
      <c r="H1125" s="3"/>
      <c r="I1125" s="3"/>
      <c r="K1125" s="3"/>
      <c r="L1125" s="3"/>
      <c r="X1125" s="4"/>
      <c r="Z1125" s="3"/>
      <c r="AE1125" s="3"/>
      <c r="AK1125" s="5"/>
    </row>
    <row r="1126" spans="2:37" x14ac:dyDescent="0.25">
      <c r="B1126" s="1"/>
      <c r="E1126" s="2"/>
      <c r="H1126" s="3"/>
      <c r="I1126" s="3"/>
      <c r="K1126" s="3"/>
      <c r="L1126" s="3"/>
      <c r="X1126" s="4"/>
      <c r="AK1126" s="5"/>
    </row>
    <row r="1127" spans="2:37" x14ac:dyDescent="0.25">
      <c r="B1127" s="1"/>
      <c r="D1127" s="3"/>
      <c r="E1127" s="2"/>
      <c r="H1127" s="3"/>
      <c r="I1127" s="3"/>
      <c r="K1127" s="3"/>
      <c r="X1127" s="4"/>
      <c r="AE1127" s="3"/>
      <c r="AK1127" s="5"/>
    </row>
    <row r="1128" spans="2:37" x14ac:dyDescent="0.25">
      <c r="B1128" s="1"/>
      <c r="E1128" s="2"/>
      <c r="H1128" s="3"/>
      <c r="I1128" s="3"/>
      <c r="K1128" s="3"/>
      <c r="X1128" s="4"/>
      <c r="AK1128" s="5"/>
    </row>
    <row r="1129" spans="2:37" x14ac:dyDescent="0.25">
      <c r="B1129" s="1"/>
      <c r="E1129" s="2"/>
      <c r="H1129" s="3"/>
      <c r="I1129" s="3"/>
      <c r="K1129" s="3"/>
      <c r="L1129" s="3"/>
      <c r="X1129" s="4"/>
      <c r="Z1129" s="3"/>
      <c r="AE1129" s="3"/>
      <c r="AK1129" s="5"/>
    </row>
    <row r="1130" spans="2:37" x14ac:dyDescent="0.25">
      <c r="B1130" s="1"/>
      <c r="E1130" s="2"/>
      <c r="H1130" s="3"/>
      <c r="I1130" s="3"/>
      <c r="K1130" s="3"/>
      <c r="L1130" s="3"/>
      <c r="X1130" s="4"/>
    </row>
    <row r="1131" spans="2:37" x14ac:dyDescent="0.25">
      <c r="D1131" s="3"/>
      <c r="G1131" s="3"/>
    </row>
    <row r="1132" spans="2:37" x14ac:dyDescent="0.25">
      <c r="B1132" s="1"/>
      <c r="E1132" s="2"/>
      <c r="H1132" s="3"/>
      <c r="I1132" s="3"/>
      <c r="K1132" s="3"/>
      <c r="L1132" s="3"/>
      <c r="X1132" s="4"/>
      <c r="AB1132" s="3"/>
      <c r="AK1132" s="5"/>
    </row>
    <row r="1133" spans="2:37" x14ac:dyDescent="0.25">
      <c r="B1133" s="1"/>
      <c r="E1133" s="2"/>
      <c r="H1133" s="3"/>
      <c r="I1133" s="3"/>
      <c r="K1133" s="3"/>
      <c r="L1133" s="3"/>
      <c r="X1133" s="4"/>
      <c r="AB1133" s="3"/>
      <c r="AK1133" s="5"/>
    </row>
    <row r="1134" spans="2:37" x14ac:dyDescent="0.25">
      <c r="B1134" s="1"/>
      <c r="E1134" s="2"/>
      <c r="H1134" s="3"/>
      <c r="I1134" s="3"/>
      <c r="K1134" s="3"/>
      <c r="L1134" s="3"/>
      <c r="X1134" s="4"/>
      <c r="AB1134" s="3"/>
      <c r="AK1134" s="5"/>
    </row>
    <row r="1135" spans="2:37" x14ac:dyDescent="0.25">
      <c r="B1135" s="1"/>
      <c r="E1135" s="2"/>
      <c r="G1135" s="3"/>
      <c r="H1135" s="3"/>
      <c r="I1135" s="3"/>
      <c r="K1135" s="3"/>
      <c r="L1135" s="3"/>
      <c r="X1135" s="4"/>
      <c r="AB1135" s="3"/>
      <c r="AK1135" s="5"/>
    </row>
    <row r="1136" spans="2:37" x14ac:dyDescent="0.25">
      <c r="B1136" s="1"/>
      <c r="E1136" s="2"/>
      <c r="H1136" s="3"/>
      <c r="I1136" s="3"/>
      <c r="K1136" s="3"/>
      <c r="L1136" s="3"/>
      <c r="X1136" s="4"/>
      <c r="AB1136" s="3"/>
      <c r="AK1136" s="5"/>
    </row>
    <row r="1137" spans="2:37" x14ac:dyDescent="0.25">
      <c r="B1137" s="1"/>
      <c r="E1137" s="2"/>
      <c r="H1137" s="3"/>
      <c r="I1137" s="3"/>
      <c r="K1137" s="3"/>
      <c r="L1137" s="3"/>
      <c r="X1137" s="4"/>
    </row>
    <row r="1138" spans="2:37" x14ac:dyDescent="0.25">
      <c r="B1138" s="1"/>
      <c r="D1138" s="3"/>
      <c r="E1138" s="2"/>
      <c r="G1138" s="3"/>
      <c r="H1138" s="3"/>
      <c r="I1138" s="3"/>
      <c r="K1138" s="3"/>
      <c r="L1138" s="3"/>
      <c r="X1138" s="4"/>
      <c r="AD1138" s="3"/>
      <c r="AK1138" s="5"/>
    </row>
    <row r="1139" spans="2:37" x14ac:dyDescent="0.25">
      <c r="B1139" s="1"/>
      <c r="E1139" s="2"/>
      <c r="H1139" s="3"/>
      <c r="I1139" s="3"/>
      <c r="K1139" s="3"/>
      <c r="L1139" s="3"/>
      <c r="X1139" s="4"/>
      <c r="AB1139" s="3"/>
      <c r="AE1139" s="3"/>
      <c r="AK1139" s="5"/>
    </row>
    <row r="1140" spans="2:37" x14ac:dyDescent="0.25">
      <c r="B1140" s="1"/>
      <c r="E1140" s="2"/>
      <c r="H1140" s="3"/>
      <c r="I1140" s="3"/>
      <c r="K1140" s="3"/>
      <c r="L1140" s="3"/>
      <c r="X1140" s="4"/>
      <c r="Z1140" s="3"/>
      <c r="AB1140" s="3"/>
      <c r="AE1140" s="3"/>
      <c r="AK1140" s="5"/>
    </row>
    <row r="1141" spans="2:37" x14ac:dyDescent="0.25">
      <c r="B1141" s="1"/>
      <c r="D1141" s="3"/>
      <c r="E1141" s="2"/>
      <c r="G1141" s="3"/>
      <c r="H1141" s="3"/>
      <c r="I1141" s="3"/>
      <c r="K1141" s="3"/>
      <c r="L1141" s="3"/>
      <c r="X1141" s="4"/>
    </row>
    <row r="1142" spans="2:37" x14ac:dyDescent="0.25">
      <c r="B1142" s="3"/>
      <c r="E1142" s="2"/>
      <c r="G1142" s="3"/>
      <c r="H1142" s="3"/>
      <c r="I1142" s="3"/>
      <c r="K1142" s="3"/>
      <c r="X1142" s="4"/>
    </row>
    <row r="1143" spans="2:37" x14ac:dyDescent="0.25">
      <c r="B1143" s="1"/>
      <c r="E1143" s="2"/>
      <c r="H1143" s="3"/>
      <c r="I1143" s="3"/>
      <c r="K1143" s="3"/>
      <c r="L1143" s="3"/>
      <c r="X1143" s="4"/>
      <c r="AB1143" s="3"/>
      <c r="AE1143" s="3"/>
      <c r="AK1143" s="5"/>
    </row>
    <row r="1144" spans="2:37" x14ac:dyDescent="0.25">
      <c r="B1144" s="1"/>
      <c r="D1144" s="3"/>
      <c r="E1144" s="2"/>
      <c r="G1144" s="3"/>
      <c r="H1144" s="3"/>
      <c r="I1144" s="3"/>
      <c r="K1144" s="3"/>
      <c r="L1144" s="3"/>
      <c r="X1144" s="4"/>
    </row>
    <row r="1145" spans="2:37" x14ac:dyDescent="0.25">
      <c r="B1145" s="3"/>
      <c r="D1145" s="3"/>
      <c r="E1145" s="2"/>
      <c r="G1145" s="3"/>
      <c r="H1145" s="3"/>
      <c r="I1145" s="3"/>
      <c r="K1145" s="3"/>
      <c r="L1145" s="3"/>
      <c r="X1145" s="4"/>
    </row>
    <row r="1146" spans="2:37" x14ac:dyDescent="0.25">
      <c r="B1146" s="1"/>
      <c r="E1146" s="2"/>
      <c r="F1146" s="3"/>
      <c r="G1146" s="3"/>
      <c r="H1146" s="3"/>
      <c r="I1146" s="3"/>
      <c r="K1146" s="3"/>
      <c r="L1146" s="3"/>
      <c r="X1146" s="4"/>
    </row>
    <row r="1147" spans="2:37" x14ac:dyDescent="0.25">
      <c r="B1147" s="3"/>
      <c r="D1147" s="3"/>
      <c r="E1147" s="2"/>
      <c r="G1147" s="3"/>
      <c r="H1147" s="3"/>
      <c r="I1147" s="3"/>
      <c r="K1147" s="3"/>
      <c r="X1147" s="4"/>
      <c r="AK1147" s="5"/>
    </row>
    <row r="1148" spans="2:37" x14ac:dyDescent="0.25">
      <c r="B1148" s="1"/>
      <c r="E1148" s="2"/>
      <c r="H1148" s="3"/>
      <c r="I1148" s="3"/>
      <c r="K1148" s="3"/>
      <c r="L1148" s="3"/>
      <c r="X1148" s="4"/>
      <c r="AK1148" s="5"/>
    </row>
    <row r="1149" spans="2:37" x14ac:dyDescent="0.25">
      <c r="B1149" s="1"/>
      <c r="D1149" s="3"/>
      <c r="E1149" s="2"/>
      <c r="G1149" s="3"/>
      <c r="H1149" s="3"/>
      <c r="I1149" s="3"/>
      <c r="K1149" s="3"/>
      <c r="X1149" s="4"/>
    </row>
    <row r="1150" spans="2:37" x14ac:dyDescent="0.25">
      <c r="B1150" s="1"/>
      <c r="E1150" s="2"/>
      <c r="H1150" s="3"/>
      <c r="I1150" s="3"/>
      <c r="K1150" s="3"/>
      <c r="L1150" s="3"/>
      <c r="X1150" s="4"/>
    </row>
    <row r="1151" spans="2:37" x14ac:dyDescent="0.25">
      <c r="B1151" s="3"/>
      <c r="E1151" s="2"/>
      <c r="G1151" s="3"/>
      <c r="H1151" s="3"/>
      <c r="I1151" s="3"/>
      <c r="K1151" s="3"/>
      <c r="X1151" s="4"/>
      <c r="AK1151" s="5"/>
    </row>
    <row r="1152" spans="2:37" x14ac:dyDescent="0.25">
      <c r="B1152" s="1"/>
      <c r="E1152" s="2"/>
      <c r="H1152" s="3"/>
      <c r="I1152" s="3"/>
      <c r="K1152" s="3"/>
      <c r="L1152" s="3"/>
      <c r="X1152" s="4"/>
      <c r="AD1152" s="3"/>
      <c r="AE1152" s="3"/>
      <c r="AK1152" s="5"/>
    </row>
    <row r="1153" spans="2:37" x14ac:dyDescent="0.25">
      <c r="B1153" s="1"/>
      <c r="E1153" s="2"/>
      <c r="H1153" s="3"/>
      <c r="I1153" s="3"/>
      <c r="K1153" s="3"/>
      <c r="X1153" s="4"/>
    </row>
    <row r="1154" spans="2:37" x14ac:dyDescent="0.25">
      <c r="B1154" s="1"/>
      <c r="E1154" s="2"/>
      <c r="H1154" s="3"/>
      <c r="I1154" s="3"/>
      <c r="K1154" s="3"/>
      <c r="L1154" s="3"/>
      <c r="X1154" s="4"/>
    </row>
    <row r="1155" spans="2:37" x14ac:dyDescent="0.25">
      <c r="B1155" s="1"/>
      <c r="E1155" s="2"/>
      <c r="G1155" s="3"/>
      <c r="H1155" s="3"/>
      <c r="I1155" s="3"/>
      <c r="K1155" s="3"/>
      <c r="L1155" s="3"/>
      <c r="X1155" s="4"/>
    </row>
    <row r="1156" spans="2:37" x14ac:dyDescent="0.25">
      <c r="B1156" s="3"/>
      <c r="E1156" s="2"/>
      <c r="G1156" s="3"/>
      <c r="H1156" s="3"/>
      <c r="I1156" s="3"/>
      <c r="K1156" s="3"/>
      <c r="X1156" s="4"/>
    </row>
    <row r="1157" spans="2:37" x14ac:dyDescent="0.25">
      <c r="B1157" s="1"/>
      <c r="E1157" s="2"/>
      <c r="H1157" s="3"/>
      <c r="I1157" s="3"/>
      <c r="K1157" s="3"/>
      <c r="X1157" s="4"/>
    </row>
    <row r="1158" spans="2:37" x14ac:dyDescent="0.25">
      <c r="B1158" s="1"/>
      <c r="E1158" s="2"/>
      <c r="X1158" s="4"/>
    </row>
    <row r="1159" spans="2:37" x14ac:dyDescent="0.25">
      <c r="B1159" s="1"/>
      <c r="E1159" s="2"/>
      <c r="H1159" s="3"/>
      <c r="I1159" s="3"/>
      <c r="K1159" s="3"/>
      <c r="X1159" s="4"/>
      <c r="AE1159" s="3"/>
      <c r="AK1159" s="5"/>
    </row>
    <row r="1160" spans="2:37" x14ac:dyDescent="0.25">
      <c r="B1160" s="1"/>
      <c r="E1160" s="2"/>
      <c r="H1160" s="3"/>
      <c r="I1160" s="3"/>
      <c r="K1160" s="3"/>
      <c r="L1160" s="3"/>
      <c r="X1160" s="4"/>
      <c r="AB1160" s="3"/>
      <c r="AE1160" s="3"/>
      <c r="AK1160" s="5"/>
    </row>
    <row r="1161" spans="2:37" x14ac:dyDescent="0.25">
      <c r="B1161" s="1"/>
      <c r="E1161" s="2"/>
      <c r="H1161" s="3"/>
      <c r="I1161" s="3"/>
      <c r="K1161" s="3"/>
      <c r="L1161" s="3"/>
      <c r="X1161" s="4"/>
      <c r="Z1161" s="3"/>
      <c r="AE1161" s="3"/>
      <c r="AK1161" s="5"/>
    </row>
    <row r="1162" spans="2:37" x14ac:dyDescent="0.25">
      <c r="B1162" s="1"/>
      <c r="E1162" s="2"/>
      <c r="H1162" s="3"/>
      <c r="I1162" s="3"/>
      <c r="K1162" s="3"/>
      <c r="L1162" s="3"/>
      <c r="X1162" s="4"/>
      <c r="Z1162" s="3"/>
      <c r="AE1162" s="3"/>
      <c r="AK1162" s="5"/>
    </row>
    <row r="1163" spans="2:37" x14ac:dyDescent="0.25">
      <c r="B1163" s="1"/>
      <c r="D1163" s="3"/>
      <c r="E1163" s="2"/>
      <c r="H1163" s="3"/>
      <c r="I1163" s="3"/>
      <c r="K1163" s="3"/>
      <c r="X1163" s="4"/>
      <c r="AK1163" s="5"/>
    </row>
    <row r="1164" spans="2:37" x14ac:dyDescent="0.25">
      <c r="B1164" s="1"/>
      <c r="E1164" s="2"/>
      <c r="H1164" s="3"/>
      <c r="I1164" s="3"/>
      <c r="K1164" s="3"/>
      <c r="L1164" s="3"/>
      <c r="X1164" s="4"/>
      <c r="AB1164" s="3"/>
      <c r="AD1164" s="3"/>
      <c r="AE1164" s="3"/>
      <c r="AK1164" s="5"/>
    </row>
    <row r="1165" spans="2:37" x14ac:dyDescent="0.25">
      <c r="B1165" s="1"/>
      <c r="E1165" s="2"/>
      <c r="H1165" s="3"/>
      <c r="I1165" s="3"/>
      <c r="K1165" s="3"/>
      <c r="X1165" s="4"/>
    </row>
    <row r="1166" spans="2:37" x14ac:dyDescent="0.25">
      <c r="B1166" s="1"/>
      <c r="E1166" s="2"/>
      <c r="H1166" s="3"/>
      <c r="I1166" s="3"/>
      <c r="K1166" s="3"/>
      <c r="X1166" s="4"/>
    </row>
    <row r="1167" spans="2:37" x14ac:dyDescent="0.25">
      <c r="B1167" s="1"/>
      <c r="E1167" s="2"/>
      <c r="G1167" s="3"/>
      <c r="H1167" s="3"/>
      <c r="I1167" s="3"/>
      <c r="K1167" s="3"/>
      <c r="X1167" s="4"/>
    </row>
    <row r="1168" spans="2:37" x14ac:dyDescent="0.25">
      <c r="B1168" s="1"/>
      <c r="E1168" s="2"/>
      <c r="H1168" s="3"/>
      <c r="I1168" s="3"/>
      <c r="K1168" s="3"/>
      <c r="X1168" s="4"/>
    </row>
    <row r="1169" spans="2:37" x14ac:dyDescent="0.25">
      <c r="B1169" s="1"/>
      <c r="E1169" s="2"/>
      <c r="G1169" s="3"/>
      <c r="H1169" s="3"/>
      <c r="I1169" s="3"/>
      <c r="K1169" s="3"/>
      <c r="L1169" s="3"/>
      <c r="X1169" s="4"/>
      <c r="AD1169" s="3"/>
      <c r="AE1169" s="3"/>
      <c r="AK1169" s="5"/>
    </row>
    <row r="1170" spans="2:37" x14ac:dyDescent="0.25">
      <c r="B1170" s="1"/>
      <c r="E1170" s="2"/>
      <c r="H1170" s="3"/>
      <c r="I1170" s="3"/>
      <c r="K1170" s="3"/>
      <c r="L1170" s="3"/>
      <c r="X1170" s="4"/>
      <c r="Z1170" s="3"/>
      <c r="AD1170" s="3"/>
      <c r="AE1170" s="3"/>
      <c r="AK1170" s="5"/>
    </row>
    <row r="1171" spans="2:37" x14ac:dyDescent="0.25">
      <c r="B1171" s="1"/>
      <c r="E1171" s="2"/>
      <c r="H1171" s="3"/>
      <c r="I1171" s="3"/>
      <c r="K1171" s="3"/>
      <c r="L1171" s="3"/>
      <c r="X1171" s="4"/>
    </row>
    <row r="1172" spans="2:37" x14ac:dyDescent="0.25">
      <c r="B1172" s="3"/>
      <c r="E1172" s="2"/>
      <c r="G1172" s="3"/>
      <c r="K1172" s="3"/>
      <c r="X1172" s="4"/>
    </row>
    <row r="1173" spans="2:37" x14ac:dyDescent="0.25">
      <c r="B1173" s="1"/>
      <c r="E1173" s="2"/>
      <c r="H1173" s="3"/>
      <c r="I1173" s="3"/>
      <c r="K1173" s="3"/>
      <c r="X1173" s="4"/>
      <c r="AE1173" s="3"/>
      <c r="AK1173" s="5"/>
    </row>
    <row r="1174" spans="2:37" x14ac:dyDescent="0.25">
      <c r="B1174" s="1"/>
      <c r="E1174" s="2"/>
      <c r="X1174" s="4"/>
      <c r="AK1174" s="5"/>
    </row>
    <row r="1175" spans="2:37" x14ac:dyDescent="0.25">
      <c r="B1175" s="1"/>
      <c r="E1175" s="2"/>
      <c r="H1175" s="3"/>
      <c r="I1175" s="3"/>
      <c r="K1175" s="3"/>
      <c r="L1175" s="3"/>
      <c r="X1175" s="4"/>
      <c r="AD1175" s="3"/>
      <c r="AE1175" s="3"/>
      <c r="AK1175" s="5"/>
    </row>
    <row r="1176" spans="2:37" x14ac:dyDescent="0.25">
      <c r="B1176" s="1"/>
      <c r="E1176" s="2"/>
      <c r="H1176" s="3"/>
      <c r="I1176" s="3"/>
      <c r="K1176" s="3"/>
      <c r="L1176" s="3"/>
      <c r="X1176" s="4"/>
      <c r="Z1176" s="3"/>
      <c r="AE1176" s="3"/>
      <c r="AK1176" s="5"/>
    </row>
    <row r="1177" spans="2:37" x14ac:dyDescent="0.25">
      <c r="B1177" s="1"/>
      <c r="E1177" s="2"/>
      <c r="H1177" s="3"/>
      <c r="I1177" s="3"/>
      <c r="K1177" s="3"/>
      <c r="L1177" s="3"/>
      <c r="X1177" s="4"/>
      <c r="AD1177" s="3"/>
      <c r="AE1177" s="3"/>
      <c r="AK1177" s="5"/>
    </row>
    <row r="1178" spans="2:37" x14ac:dyDescent="0.25">
      <c r="B1178" s="1"/>
      <c r="E1178" s="2"/>
      <c r="G1178" s="3"/>
      <c r="H1178" s="3"/>
      <c r="I1178" s="3"/>
      <c r="K1178" s="3"/>
      <c r="X1178" s="4"/>
      <c r="AK1178" s="5"/>
    </row>
    <row r="1179" spans="2:37" x14ac:dyDescent="0.25">
      <c r="B1179" s="1"/>
      <c r="E1179" s="2"/>
      <c r="H1179" s="3"/>
      <c r="I1179" s="3"/>
      <c r="K1179" s="3"/>
      <c r="L1179" s="3"/>
      <c r="X1179" s="4"/>
      <c r="AD1179" s="3"/>
      <c r="AE1179" s="3"/>
      <c r="AK1179" s="5"/>
    </row>
    <row r="1180" spans="2:37" x14ac:dyDescent="0.25">
      <c r="B1180" s="1"/>
      <c r="D1180" s="3"/>
      <c r="E1180" s="2"/>
      <c r="G1180" s="3"/>
      <c r="H1180" s="3"/>
      <c r="I1180" s="3"/>
      <c r="K1180" s="3"/>
      <c r="L1180" s="3"/>
      <c r="X1180" s="4"/>
      <c r="AE1180" s="3"/>
      <c r="AK1180" s="5"/>
    </row>
    <row r="1181" spans="2:37" x14ac:dyDescent="0.25">
      <c r="B1181" s="1"/>
      <c r="E1181" s="2"/>
      <c r="G1181" s="3"/>
      <c r="H1181" s="3"/>
      <c r="I1181" s="3"/>
      <c r="K1181" s="3"/>
      <c r="X1181" s="4"/>
      <c r="AE1181" s="3"/>
      <c r="AK1181" s="5"/>
    </row>
    <row r="1182" spans="2:37" x14ac:dyDescent="0.25">
      <c r="B1182" s="1"/>
      <c r="E1182" s="2"/>
      <c r="H1182" s="3"/>
      <c r="I1182" s="3"/>
      <c r="K1182" s="3"/>
      <c r="L1182" s="3"/>
      <c r="X1182" s="4"/>
      <c r="Z1182" s="3"/>
      <c r="AB1182" s="3"/>
      <c r="AE1182" s="3"/>
      <c r="AK1182" s="5"/>
    </row>
    <row r="1183" spans="2:37" x14ac:dyDescent="0.25">
      <c r="B1183" s="1"/>
      <c r="E1183" s="2"/>
      <c r="H1183" s="3"/>
      <c r="I1183" s="3"/>
      <c r="K1183" s="3"/>
      <c r="L1183" s="3"/>
      <c r="X1183" s="4"/>
      <c r="AK1183" s="5"/>
    </row>
    <row r="1184" spans="2:37" x14ac:dyDescent="0.25">
      <c r="B1184" s="1"/>
      <c r="E1184" s="2"/>
      <c r="G1184" s="3"/>
      <c r="H1184" s="3"/>
      <c r="I1184" s="3"/>
      <c r="K1184" s="3"/>
      <c r="X1184" s="4"/>
      <c r="AE1184" s="3"/>
      <c r="AK1184" s="5"/>
    </row>
    <row r="1185" spans="2:37" x14ac:dyDescent="0.25">
      <c r="B1185" s="1"/>
      <c r="E1185" s="2"/>
      <c r="H1185" s="3"/>
      <c r="I1185" s="3"/>
      <c r="K1185" s="3"/>
      <c r="L1185" s="3"/>
      <c r="X1185" s="4"/>
      <c r="Z1185" s="3"/>
      <c r="AE1185" s="3"/>
      <c r="AK1185" s="5"/>
    </row>
    <row r="1186" spans="2:37" x14ac:dyDescent="0.25">
      <c r="B1186" s="1"/>
      <c r="E1186" s="2"/>
      <c r="H1186" s="3"/>
      <c r="I1186" s="3"/>
      <c r="K1186" s="3"/>
      <c r="X1186" s="4"/>
      <c r="AE1186" s="3"/>
      <c r="AK1186" s="5"/>
    </row>
    <row r="1187" spans="2:37" x14ac:dyDescent="0.25">
      <c r="B1187" s="1"/>
      <c r="E1187" s="2"/>
      <c r="H1187" s="3"/>
      <c r="I1187" s="3"/>
      <c r="K1187" s="3"/>
      <c r="L1187" s="3"/>
      <c r="X1187" s="4"/>
      <c r="AE1187" s="3"/>
      <c r="AK1187" s="5"/>
    </row>
    <row r="1188" spans="2:37" x14ac:dyDescent="0.25">
      <c r="B1188" s="1"/>
      <c r="E1188" s="2"/>
      <c r="G1188" s="3"/>
      <c r="H1188" s="3"/>
      <c r="I1188" s="3"/>
      <c r="K1188" s="3"/>
      <c r="X1188" s="4"/>
      <c r="AE1188" s="3"/>
      <c r="AK1188" s="5"/>
    </row>
    <row r="1189" spans="2:37" x14ac:dyDescent="0.25">
      <c r="B1189" s="1"/>
      <c r="E1189" s="2"/>
      <c r="H1189" s="3"/>
      <c r="I1189" s="3"/>
      <c r="K1189" s="3"/>
      <c r="L1189" s="3"/>
      <c r="X1189" s="4"/>
      <c r="AK1189" s="5"/>
    </row>
    <row r="1190" spans="2:37" x14ac:dyDescent="0.25">
      <c r="B1190" s="1"/>
      <c r="E1190" s="2"/>
      <c r="F1190" s="3"/>
      <c r="G1190" s="3"/>
      <c r="H1190" s="3"/>
      <c r="I1190" s="3"/>
      <c r="K1190" s="3"/>
      <c r="X1190" s="4"/>
      <c r="AK1190" s="5"/>
    </row>
    <row r="1191" spans="2:37" x14ac:dyDescent="0.25">
      <c r="B1191" s="1"/>
      <c r="E1191" s="2"/>
      <c r="H1191" s="3"/>
      <c r="I1191" s="3"/>
      <c r="K1191" s="3"/>
      <c r="L1191" s="3"/>
      <c r="X1191" s="4"/>
      <c r="AK1191" s="5"/>
    </row>
    <row r="1192" spans="2:37" x14ac:dyDescent="0.25">
      <c r="B1192" s="1"/>
      <c r="E1192" s="2"/>
      <c r="F1192" s="3"/>
      <c r="G1192" s="3"/>
      <c r="H1192" s="3"/>
      <c r="I1192" s="3"/>
      <c r="K1192" s="3"/>
      <c r="X1192" s="4"/>
      <c r="AE1192" s="3"/>
      <c r="AK1192" s="5"/>
    </row>
    <row r="1193" spans="2:37" x14ac:dyDescent="0.25">
      <c r="B1193" s="1"/>
      <c r="E1193" s="2"/>
      <c r="H1193" s="3"/>
      <c r="I1193" s="3"/>
      <c r="K1193" s="3"/>
      <c r="L1193" s="3"/>
      <c r="X1193" s="4"/>
      <c r="AD1193" s="3"/>
      <c r="AE1193" s="3"/>
      <c r="AK1193" s="5"/>
    </row>
    <row r="1194" spans="2:37" x14ac:dyDescent="0.25">
      <c r="B1194" s="1"/>
      <c r="D1194" s="3"/>
      <c r="E1194" s="2"/>
      <c r="G1194" s="3"/>
      <c r="X1194" s="4"/>
      <c r="AK1194" s="5"/>
    </row>
    <row r="1195" spans="2:37" x14ac:dyDescent="0.25">
      <c r="B1195" s="1"/>
      <c r="E1195" s="2"/>
      <c r="H1195" s="3"/>
      <c r="I1195" s="3"/>
      <c r="K1195" s="3"/>
      <c r="L1195" s="3"/>
      <c r="X1195" s="4"/>
      <c r="AK1195" s="5"/>
    </row>
    <row r="1196" spans="2:37" x14ac:dyDescent="0.25">
      <c r="B1196" s="1"/>
      <c r="E1196" s="2"/>
      <c r="G1196" s="3"/>
      <c r="X1196" s="4"/>
      <c r="AK1196" s="5"/>
    </row>
    <row r="1197" spans="2:37" x14ac:dyDescent="0.25">
      <c r="B1197" s="1"/>
      <c r="E1197" s="2"/>
      <c r="H1197" s="3"/>
      <c r="I1197" s="3"/>
      <c r="K1197" s="3"/>
      <c r="L1197" s="3"/>
      <c r="X1197" s="4"/>
      <c r="AB1197" s="3"/>
      <c r="AE1197" s="3"/>
      <c r="AK1197" s="5"/>
    </row>
    <row r="1198" spans="2:37" x14ac:dyDescent="0.25">
      <c r="B1198" s="1"/>
      <c r="E1198" s="2"/>
      <c r="H1198" s="3"/>
      <c r="I1198" s="3"/>
      <c r="K1198" s="3"/>
      <c r="L1198" s="3"/>
      <c r="X1198" s="4"/>
      <c r="AK1198" s="5"/>
    </row>
    <row r="1199" spans="2:37" x14ac:dyDescent="0.25">
      <c r="B1199" s="1"/>
      <c r="D1199" s="3"/>
      <c r="E1199" s="2"/>
      <c r="G1199" s="3"/>
      <c r="X1199" s="4"/>
      <c r="AK1199" s="5"/>
    </row>
    <row r="1200" spans="2:37" x14ac:dyDescent="0.25">
      <c r="B1200" s="1"/>
      <c r="E1200" s="2"/>
      <c r="H1200" s="3"/>
      <c r="I1200" s="3"/>
      <c r="K1200" s="3"/>
      <c r="L1200" s="3"/>
      <c r="X1200" s="4"/>
      <c r="Z1200" s="3"/>
      <c r="AK1200" s="5"/>
    </row>
    <row r="1201" spans="2:37" x14ac:dyDescent="0.25">
      <c r="B1201" s="1"/>
      <c r="E1201" s="2"/>
      <c r="H1201" s="3"/>
      <c r="I1201" s="3"/>
      <c r="K1201" s="3"/>
      <c r="L1201" s="3"/>
      <c r="X1201" s="4"/>
      <c r="AK1201" s="5"/>
    </row>
    <row r="1202" spans="2:37" x14ac:dyDescent="0.25">
      <c r="B1202" s="1"/>
      <c r="E1202" s="2"/>
      <c r="F1202" s="3"/>
      <c r="G1202" s="3"/>
      <c r="H1202" s="3"/>
      <c r="I1202" s="3"/>
      <c r="K1202" s="3"/>
      <c r="X1202" s="4"/>
      <c r="AE1202" s="3"/>
      <c r="AK1202" s="5"/>
    </row>
    <row r="1203" spans="2:37" x14ac:dyDescent="0.25">
      <c r="B1203" s="1"/>
      <c r="E1203" s="2"/>
      <c r="H1203" s="3"/>
      <c r="I1203" s="3"/>
      <c r="K1203" s="3"/>
      <c r="L1203" s="3"/>
      <c r="X1203" s="4"/>
      <c r="AK1203" s="5"/>
    </row>
    <row r="1204" spans="2:37" x14ac:dyDescent="0.25">
      <c r="B1204" s="1"/>
      <c r="E1204" s="2"/>
      <c r="G1204" s="3"/>
      <c r="H1204" s="3"/>
      <c r="I1204" s="3"/>
      <c r="K1204" s="3"/>
      <c r="X1204" s="4"/>
      <c r="AK1204" s="5"/>
    </row>
    <row r="1205" spans="2:37" x14ac:dyDescent="0.25">
      <c r="B1205" s="1"/>
      <c r="E1205" s="2"/>
      <c r="H1205" s="3"/>
      <c r="I1205" s="3"/>
      <c r="K1205" s="3"/>
      <c r="L1205" s="3"/>
      <c r="X1205" s="4"/>
      <c r="AB1205" s="3"/>
      <c r="AK1205" s="5"/>
    </row>
    <row r="1206" spans="2:37" x14ac:dyDescent="0.25">
      <c r="B1206" s="3"/>
      <c r="E1206" s="2"/>
      <c r="G1206" s="3"/>
      <c r="H1206" s="3"/>
      <c r="I1206" s="3"/>
      <c r="K1206" s="3"/>
      <c r="L1206" s="3"/>
      <c r="X1206" s="4"/>
      <c r="AB1206" s="3"/>
      <c r="AK1206" s="5"/>
    </row>
    <row r="1207" spans="2:37" x14ac:dyDescent="0.25">
      <c r="B1207" s="1"/>
      <c r="E1207" s="2"/>
      <c r="H1207" s="3"/>
      <c r="I1207" s="3"/>
      <c r="K1207" s="3"/>
      <c r="L1207" s="3"/>
      <c r="X1207" s="4"/>
      <c r="AB1207" s="3"/>
      <c r="AK1207" s="5"/>
    </row>
    <row r="1208" spans="2:37" x14ac:dyDescent="0.25">
      <c r="B1208" s="1"/>
      <c r="E1208" s="2"/>
      <c r="H1208" s="3"/>
      <c r="I1208" s="3"/>
      <c r="K1208" s="3"/>
      <c r="L1208" s="3"/>
      <c r="X1208" s="4"/>
      <c r="AB1208" s="3"/>
      <c r="AK1208" s="5"/>
    </row>
    <row r="1209" spans="2:37" x14ac:dyDescent="0.25">
      <c r="B1209" s="1"/>
      <c r="E1209" s="2"/>
      <c r="H1209" s="3"/>
      <c r="I1209" s="3"/>
      <c r="K1209" s="3"/>
      <c r="L1209" s="3"/>
      <c r="X1209" s="4"/>
      <c r="AK1209" s="5"/>
    </row>
    <row r="1210" spans="2:37" x14ac:dyDescent="0.25">
      <c r="B1210" s="1"/>
      <c r="E1210" s="2"/>
      <c r="G1210" s="3"/>
      <c r="H1210" s="3"/>
      <c r="I1210" s="3"/>
      <c r="K1210" s="3"/>
      <c r="X1210" s="4"/>
      <c r="AE1210" s="3"/>
      <c r="AK1210" s="5"/>
    </row>
    <row r="1211" spans="2:37" x14ac:dyDescent="0.25">
      <c r="B1211" s="1"/>
      <c r="E1211" s="2"/>
      <c r="H1211" s="3"/>
      <c r="I1211" s="3"/>
      <c r="K1211" s="3"/>
      <c r="L1211" s="3"/>
      <c r="X1211" s="4"/>
      <c r="AB1211" s="3"/>
      <c r="AE1211" s="3"/>
      <c r="AK1211" s="5"/>
    </row>
    <row r="1212" spans="2:37" x14ac:dyDescent="0.25">
      <c r="B1212" s="1"/>
      <c r="E1212" s="2"/>
      <c r="H1212" s="3"/>
      <c r="I1212" s="3"/>
      <c r="K1212" s="3"/>
      <c r="L1212" s="3"/>
      <c r="X1212" s="4"/>
      <c r="AK1212" s="5"/>
    </row>
    <row r="1213" spans="2:37" x14ac:dyDescent="0.25">
      <c r="B1213" s="1"/>
      <c r="E1213" s="2"/>
      <c r="G1213" s="3"/>
      <c r="H1213" s="3"/>
      <c r="I1213" s="3"/>
      <c r="K1213" s="3"/>
      <c r="L1213" s="3"/>
      <c r="X1213" s="4"/>
      <c r="AD1213" s="3"/>
      <c r="AE1213" s="3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AD1214" s="3"/>
      <c r="AE1214" s="3"/>
      <c r="AK1214" s="5"/>
    </row>
    <row r="1215" spans="2:37" x14ac:dyDescent="0.25">
      <c r="B1215" s="1"/>
      <c r="E1215" s="2"/>
      <c r="G1215" s="3"/>
      <c r="H1215" s="3"/>
      <c r="I1215" s="3"/>
      <c r="K1215" s="3"/>
      <c r="X1215" s="4"/>
      <c r="AK1215" s="5"/>
    </row>
    <row r="1216" spans="2:37" x14ac:dyDescent="0.25">
      <c r="B1216" s="1"/>
      <c r="E1216" s="2"/>
      <c r="H1216" s="3"/>
      <c r="I1216" s="3"/>
      <c r="K1216" s="3"/>
      <c r="L1216" s="3"/>
      <c r="X1216" s="4"/>
      <c r="Z1216" s="3"/>
      <c r="AE1216" s="3"/>
      <c r="AK1216" s="5"/>
    </row>
    <row r="1217" spans="2:37" x14ac:dyDescent="0.25">
      <c r="B1217" s="1"/>
      <c r="E1217" s="2"/>
      <c r="H1217" s="3"/>
      <c r="I1217" s="3"/>
      <c r="K1217" s="3"/>
      <c r="L1217" s="3"/>
      <c r="X1217" s="4"/>
      <c r="Z1217" s="3"/>
      <c r="AE1217" s="3"/>
      <c r="AK1217" s="5"/>
    </row>
    <row r="1218" spans="2:37" x14ac:dyDescent="0.25">
      <c r="B1218" s="3"/>
      <c r="E1218" s="2"/>
      <c r="G1218" s="3"/>
      <c r="H1218" s="3"/>
      <c r="I1218" s="3"/>
      <c r="K1218" s="3"/>
      <c r="L1218" s="3"/>
      <c r="X1218" s="4"/>
      <c r="Z1218" s="3"/>
      <c r="AB1218" s="3"/>
      <c r="AE1218" s="3"/>
      <c r="AK1218" s="5"/>
    </row>
    <row r="1219" spans="2:37" x14ac:dyDescent="0.25">
      <c r="B1219" s="1"/>
      <c r="E1219" s="2"/>
      <c r="H1219" s="3"/>
      <c r="I1219" s="3"/>
      <c r="K1219" s="3"/>
      <c r="L1219" s="3"/>
      <c r="X1219" s="4"/>
      <c r="Z1219" s="3"/>
      <c r="AB1219" s="3"/>
      <c r="AE1219" s="3"/>
      <c r="AK1219" s="5"/>
    </row>
    <row r="1220" spans="2:37" x14ac:dyDescent="0.25">
      <c r="B1220" s="1"/>
      <c r="E1220" s="2"/>
      <c r="H1220" s="3"/>
      <c r="I1220" s="3"/>
      <c r="K1220" s="3"/>
      <c r="L1220" s="3"/>
      <c r="X1220" s="4"/>
      <c r="AD1220" s="3"/>
      <c r="AE1220" s="3"/>
      <c r="AK1220" s="5"/>
    </row>
    <row r="1221" spans="2:37" x14ac:dyDescent="0.25">
      <c r="B1221" s="1"/>
      <c r="E1221" s="2"/>
      <c r="H1221" s="3"/>
      <c r="I1221" s="3"/>
      <c r="K1221" s="3"/>
      <c r="L1221" s="3"/>
      <c r="X1221" s="4"/>
      <c r="AE1221" s="3"/>
      <c r="AK1221" s="5"/>
    </row>
    <row r="1222" spans="2:37" x14ac:dyDescent="0.25">
      <c r="B1222" s="1"/>
      <c r="E1222" s="2"/>
      <c r="G1222" s="3"/>
      <c r="H1222" s="3"/>
      <c r="I1222" s="3"/>
      <c r="K1222" s="3"/>
      <c r="X1222" s="4"/>
      <c r="AK1222" s="5"/>
    </row>
    <row r="1223" spans="2:37" x14ac:dyDescent="0.25">
      <c r="B1223" s="1"/>
      <c r="E1223" s="2"/>
      <c r="H1223" s="3"/>
      <c r="I1223" s="3"/>
      <c r="K1223" s="3"/>
      <c r="L1223" s="3"/>
      <c r="X1223" s="4"/>
      <c r="Z1223" s="3"/>
      <c r="AE1223" s="3"/>
      <c r="AK1223" s="5"/>
    </row>
    <row r="1224" spans="2:37" x14ac:dyDescent="0.25">
      <c r="B1224" s="1"/>
      <c r="E1224" s="2"/>
      <c r="H1224" s="3"/>
      <c r="I1224" s="3"/>
      <c r="K1224" s="3"/>
      <c r="X1224" s="4"/>
      <c r="AK1224" s="5"/>
    </row>
    <row r="1225" spans="2:37" x14ac:dyDescent="0.25">
      <c r="B1225" s="1"/>
      <c r="E1225" s="2"/>
      <c r="G1225" s="3"/>
      <c r="H1225" s="3"/>
      <c r="I1225" s="3"/>
      <c r="K1225" s="3"/>
      <c r="L1225" s="3"/>
      <c r="X1225" s="4"/>
      <c r="AB1225" s="3"/>
      <c r="AK1225" s="5"/>
    </row>
    <row r="1226" spans="2:37" x14ac:dyDescent="0.25">
      <c r="B1226" s="1"/>
      <c r="E1226" s="2"/>
      <c r="H1226" s="3"/>
      <c r="I1226" s="3"/>
      <c r="K1226" s="3"/>
      <c r="L1226" s="3"/>
      <c r="X1226" s="4"/>
      <c r="AD1226" s="3"/>
      <c r="AE1226" s="3"/>
      <c r="AK1226" s="5"/>
    </row>
    <row r="1227" spans="2:37" x14ac:dyDescent="0.25">
      <c r="B1227" s="1"/>
      <c r="E1227" s="2"/>
      <c r="H1227" s="3"/>
      <c r="I1227" s="3"/>
      <c r="K1227" s="3"/>
      <c r="L1227" s="3"/>
      <c r="X1227" s="4"/>
      <c r="Z1227" s="3"/>
      <c r="AE1227" s="3"/>
      <c r="AK1227" s="5"/>
    </row>
    <row r="1228" spans="2:37" x14ac:dyDescent="0.25">
      <c r="B1228" s="1"/>
      <c r="E1228" s="2"/>
      <c r="H1228" s="3"/>
      <c r="I1228" s="3"/>
      <c r="K1228" s="3"/>
      <c r="L1228" s="3"/>
      <c r="X1228" s="4"/>
      <c r="AB1228" s="3"/>
      <c r="AE1228" s="3"/>
      <c r="AK1228" s="5"/>
    </row>
    <row r="1229" spans="2:37" x14ac:dyDescent="0.25">
      <c r="B1229" s="1"/>
      <c r="E1229" s="2"/>
      <c r="F1229" s="3"/>
      <c r="H1229" s="3"/>
      <c r="I1229" s="3"/>
      <c r="K1229" s="3"/>
      <c r="L1229" s="3"/>
      <c r="X1229" s="4"/>
      <c r="AB1229" s="3"/>
      <c r="AE1229" s="3"/>
      <c r="AK1229" s="5"/>
    </row>
    <row r="1230" spans="2:37" x14ac:dyDescent="0.25">
      <c r="B1230" s="1"/>
      <c r="E1230" s="2"/>
      <c r="H1230" s="3"/>
      <c r="I1230" s="3"/>
      <c r="K1230" s="3"/>
      <c r="L1230" s="3"/>
      <c r="X1230" s="4"/>
      <c r="AD1230" s="3"/>
      <c r="AE1230" s="3"/>
      <c r="AK1230" s="5"/>
    </row>
    <row r="1231" spans="2:37" x14ac:dyDescent="0.25">
      <c r="B1231" s="3"/>
      <c r="E1231" s="2"/>
      <c r="G1231" s="3"/>
      <c r="H1231" s="3"/>
      <c r="I1231" s="3"/>
      <c r="K1231" s="3"/>
      <c r="X1231" s="4"/>
      <c r="AK1231" s="5"/>
    </row>
    <row r="1232" spans="2:37" x14ac:dyDescent="0.25">
      <c r="B1232" s="1"/>
      <c r="E1232" s="2"/>
      <c r="H1232" s="3"/>
      <c r="I1232" s="3"/>
      <c r="K1232" s="3"/>
      <c r="L1232" s="3"/>
      <c r="X1232" s="4"/>
      <c r="AK1232" s="5"/>
    </row>
    <row r="1233" spans="2:37" x14ac:dyDescent="0.25">
      <c r="B1233" s="1"/>
      <c r="E1233" s="2"/>
      <c r="F1233" s="3"/>
      <c r="G1233" s="3"/>
      <c r="H1233" s="3"/>
      <c r="I1233" s="3"/>
      <c r="K1233" s="3"/>
      <c r="L1233" s="3"/>
      <c r="X1233" s="4"/>
      <c r="AB1233" s="3"/>
      <c r="AE1233" s="3"/>
      <c r="AK1233" s="5"/>
    </row>
    <row r="1234" spans="2:37" x14ac:dyDescent="0.25">
      <c r="B1234" s="1"/>
      <c r="E1234" s="2"/>
      <c r="H1234" s="3"/>
      <c r="I1234" s="3"/>
      <c r="K1234" s="3"/>
      <c r="L1234" s="3"/>
      <c r="X1234" s="4"/>
      <c r="Z1234" s="3"/>
      <c r="AB1234" s="3"/>
      <c r="AE1234" s="3"/>
      <c r="AK1234" s="5"/>
    </row>
    <row r="1235" spans="2:37" x14ac:dyDescent="0.25">
      <c r="B1235" s="1"/>
      <c r="E1235" s="2"/>
      <c r="F1235" s="3"/>
      <c r="G1235" s="3"/>
      <c r="H1235" s="3"/>
      <c r="I1235" s="3"/>
      <c r="K1235" s="3"/>
      <c r="L1235" s="3"/>
      <c r="X1235" s="4"/>
      <c r="AE1235" s="3"/>
      <c r="AK1235" s="5"/>
    </row>
    <row r="1236" spans="2:37" x14ac:dyDescent="0.25">
      <c r="B1236" s="1"/>
      <c r="E1236" s="2"/>
      <c r="H1236" s="3"/>
      <c r="I1236" s="3"/>
      <c r="K1236" s="3"/>
      <c r="L1236" s="3"/>
      <c r="X1236" s="4"/>
      <c r="AK1236" s="5"/>
    </row>
    <row r="1237" spans="2:37" x14ac:dyDescent="0.25">
      <c r="B1237" s="3"/>
      <c r="E1237" s="2"/>
      <c r="G1237" s="3"/>
      <c r="H1237" s="3"/>
      <c r="I1237" s="3"/>
      <c r="K1237" s="3"/>
      <c r="L1237" s="3"/>
      <c r="X1237" s="4"/>
      <c r="AK1237" s="5"/>
    </row>
    <row r="1238" spans="2:37" x14ac:dyDescent="0.25">
      <c r="B1238" s="1"/>
      <c r="D1238" s="3"/>
      <c r="E1238" s="2"/>
      <c r="G1238" s="3"/>
      <c r="H1238" s="3"/>
      <c r="I1238" s="3"/>
      <c r="K1238" s="3"/>
      <c r="L1238" s="3"/>
      <c r="X1238" s="4"/>
      <c r="AK1238" s="5"/>
    </row>
    <row r="1239" spans="2:37" x14ac:dyDescent="0.25">
      <c r="B1239" s="1"/>
      <c r="E1239" s="2"/>
      <c r="F1239" s="3"/>
      <c r="G1239" s="3"/>
      <c r="H1239" s="3"/>
      <c r="I1239" s="3"/>
      <c r="K1239" s="3"/>
      <c r="L1239" s="3"/>
      <c r="X1239" s="4"/>
      <c r="AK1239" s="5"/>
    </row>
    <row r="1240" spans="2:37" x14ac:dyDescent="0.25">
      <c r="B1240" s="1"/>
      <c r="D1240" s="3"/>
      <c r="E1240" s="2"/>
      <c r="G1240" s="3"/>
      <c r="H1240" s="3"/>
      <c r="I1240" s="3"/>
      <c r="K1240" s="3"/>
      <c r="X1240" s="4"/>
      <c r="AK1240" s="5"/>
    </row>
    <row r="1241" spans="2:37" x14ac:dyDescent="0.25">
      <c r="B1241" s="1"/>
      <c r="E1241" s="2"/>
      <c r="H1241" s="3"/>
      <c r="I1241" s="3"/>
      <c r="K1241" s="3"/>
      <c r="L1241" s="3"/>
      <c r="X1241" s="4"/>
      <c r="AK1241" s="5"/>
    </row>
    <row r="1242" spans="2:37" x14ac:dyDescent="0.25">
      <c r="B1242" s="3"/>
      <c r="E1242" s="2"/>
      <c r="G1242" s="3"/>
      <c r="H1242" s="3"/>
      <c r="I1242" s="3"/>
      <c r="K1242" s="3"/>
      <c r="L1242" s="3"/>
      <c r="X1242" s="4"/>
      <c r="AE1242" s="3"/>
      <c r="AK1242" s="5"/>
    </row>
    <row r="1243" spans="2:37" x14ac:dyDescent="0.25">
      <c r="B1243" s="1"/>
      <c r="E1243" s="2"/>
      <c r="H1243" s="3"/>
      <c r="I1243" s="3"/>
      <c r="K1243" s="3"/>
      <c r="L1243" s="3"/>
      <c r="X1243" s="4"/>
      <c r="AK1243" s="5"/>
    </row>
    <row r="1244" spans="2:37" x14ac:dyDescent="0.25">
      <c r="B1244" s="1"/>
      <c r="D1244" s="3"/>
      <c r="E1244" s="2"/>
      <c r="G1244" s="3"/>
      <c r="H1244" s="3"/>
      <c r="I1244" s="3"/>
      <c r="K1244" s="3"/>
      <c r="X1244" s="4"/>
      <c r="AK1244" s="5"/>
    </row>
    <row r="1245" spans="2:37" x14ac:dyDescent="0.25">
      <c r="B1245" s="1"/>
      <c r="E1245" s="2"/>
      <c r="H1245" s="3"/>
      <c r="I1245" s="3"/>
      <c r="K1245" s="3"/>
      <c r="L1245" s="3"/>
      <c r="X1245" s="4"/>
      <c r="AE1245" s="3"/>
      <c r="AK1245" s="5"/>
    </row>
    <row r="1246" spans="2:37" x14ac:dyDescent="0.25">
      <c r="B1246" s="1"/>
      <c r="E1246" s="2"/>
      <c r="G1246" s="3"/>
      <c r="H1246" s="3"/>
      <c r="I1246" s="3"/>
      <c r="K1246" s="3"/>
      <c r="L1246" s="3"/>
      <c r="X1246" s="4"/>
      <c r="AD1246" s="3"/>
      <c r="AE1246" s="3"/>
      <c r="AK1246" s="5"/>
    </row>
    <row r="1247" spans="2:37" x14ac:dyDescent="0.25">
      <c r="B1247" s="1"/>
      <c r="E1247" s="2"/>
      <c r="H1247" s="3"/>
      <c r="I1247" s="3"/>
      <c r="K1247" s="3"/>
      <c r="L1247" s="3"/>
      <c r="X1247" s="4"/>
      <c r="Z1247" s="3"/>
      <c r="AB1247" s="3"/>
      <c r="AE1247" s="3"/>
      <c r="AK1247" s="5"/>
    </row>
    <row r="1248" spans="2:37" x14ac:dyDescent="0.25">
      <c r="B1248" s="1"/>
      <c r="E1248" s="2"/>
      <c r="H1248" s="3"/>
      <c r="I1248" s="3"/>
      <c r="K1248" s="3"/>
      <c r="L1248" s="3"/>
      <c r="X1248" s="4"/>
      <c r="Z1248" s="3"/>
      <c r="AE1248" s="3"/>
      <c r="AK1248" s="5"/>
    </row>
    <row r="1249" spans="2:37" x14ac:dyDescent="0.25">
      <c r="B1249" s="1"/>
      <c r="E1249" s="2"/>
      <c r="H1249" s="3"/>
      <c r="I1249" s="3"/>
      <c r="K1249" s="3"/>
      <c r="L1249" s="3"/>
      <c r="X1249" s="4"/>
      <c r="Z1249" s="3"/>
      <c r="AE1249" s="3"/>
      <c r="AK1249" s="5"/>
    </row>
    <row r="1250" spans="2:37" x14ac:dyDescent="0.25">
      <c r="B1250" s="1"/>
      <c r="E1250" s="2"/>
      <c r="H1250" s="3"/>
      <c r="I1250" s="3"/>
      <c r="K1250" s="3"/>
      <c r="X1250" s="4"/>
      <c r="AK1250" s="5"/>
    </row>
    <row r="1251" spans="2:37" x14ac:dyDescent="0.25">
      <c r="B1251" s="1"/>
      <c r="E1251" s="2"/>
      <c r="H1251" s="3"/>
      <c r="I1251" s="3"/>
      <c r="K1251" s="3"/>
      <c r="L1251" s="3"/>
      <c r="X1251" s="4"/>
      <c r="AE1251" s="3"/>
      <c r="AK1251" s="5"/>
    </row>
    <row r="1252" spans="2:37" x14ac:dyDescent="0.25">
      <c r="B1252" s="3"/>
      <c r="E1252" s="2"/>
      <c r="G1252" s="3"/>
      <c r="H1252" s="3"/>
      <c r="I1252" s="3"/>
      <c r="K1252" s="3"/>
      <c r="X1252" s="4"/>
      <c r="AK1252" s="5"/>
    </row>
    <row r="1253" spans="2:37" x14ac:dyDescent="0.25">
      <c r="B1253" s="1"/>
      <c r="E1253" s="2"/>
      <c r="H1253" s="3"/>
      <c r="I1253" s="3"/>
      <c r="K1253" s="3"/>
      <c r="L1253" s="3"/>
      <c r="X1253" s="4"/>
      <c r="AK1253" s="5"/>
    </row>
    <row r="1254" spans="2:37" x14ac:dyDescent="0.25">
      <c r="B1254" s="1"/>
      <c r="E1254" s="2"/>
      <c r="G1254" s="3"/>
      <c r="H1254" s="3"/>
      <c r="I1254" s="3"/>
      <c r="K1254" s="3"/>
      <c r="X1254" s="4"/>
      <c r="AK1254" s="5"/>
    </row>
    <row r="1255" spans="2:37" x14ac:dyDescent="0.25">
      <c r="B1255" s="1"/>
      <c r="E1255" s="2"/>
      <c r="H1255" s="3"/>
      <c r="I1255" s="3"/>
      <c r="K1255" s="3"/>
      <c r="L1255" s="3"/>
      <c r="X1255" s="4"/>
      <c r="AD1255" s="3"/>
      <c r="AE1255" s="3"/>
      <c r="AK1255" s="5"/>
    </row>
    <row r="1256" spans="2:37" x14ac:dyDescent="0.25">
      <c r="B1256" s="1"/>
      <c r="E1256" s="2"/>
      <c r="H1256" s="3"/>
      <c r="I1256" s="3"/>
      <c r="K1256" s="3"/>
      <c r="L1256" s="3"/>
      <c r="X1256" s="4"/>
      <c r="AB1256" s="3"/>
      <c r="AE1256" s="3"/>
      <c r="AK1256" s="5"/>
    </row>
    <row r="1257" spans="2:37" x14ac:dyDescent="0.25">
      <c r="B1257" s="1"/>
      <c r="D1257" s="3"/>
      <c r="E1257" s="2"/>
      <c r="G1257" s="3"/>
      <c r="H1257" s="3"/>
      <c r="I1257" s="3"/>
      <c r="K1257" s="3"/>
      <c r="L1257" s="3"/>
      <c r="X1257" s="4"/>
      <c r="Z1257" s="3"/>
      <c r="AE1257" s="3"/>
      <c r="AK1257" s="5"/>
    </row>
    <row r="1258" spans="2:37" x14ac:dyDescent="0.25">
      <c r="B1258" s="1"/>
      <c r="E1258" s="2"/>
      <c r="G1258" s="3"/>
      <c r="H1258" s="3"/>
      <c r="I1258" s="3"/>
      <c r="K1258" s="3"/>
      <c r="L1258" s="3"/>
      <c r="X1258" s="4"/>
      <c r="Z1258" s="3"/>
      <c r="AE1258" s="3"/>
      <c r="AK1258" s="5"/>
    </row>
    <row r="1259" spans="2:37" x14ac:dyDescent="0.25">
      <c r="B1259" s="1"/>
      <c r="E1259" s="2"/>
      <c r="H1259" s="3"/>
      <c r="I1259" s="3"/>
      <c r="K1259" s="3"/>
      <c r="L1259" s="3"/>
      <c r="X1259" s="4"/>
      <c r="Z1259" s="3"/>
      <c r="AE1259" s="3"/>
      <c r="AK1259" s="5"/>
    </row>
    <row r="1260" spans="2:37" x14ac:dyDescent="0.25">
      <c r="B1260" s="1"/>
      <c r="E1260" s="2"/>
      <c r="G1260" s="3"/>
      <c r="H1260" s="3"/>
      <c r="I1260" s="3"/>
      <c r="K1260" s="3"/>
      <c r="L1260" s="3"/>
      <c r="X1260" s="4"/>
      <c r="AE1260" s="3"/>
      <c r="AK1260" s="5"/>
    </row>
    <row r="1261" spans="2:37" x14ac:dyDescent="0.25">
      <c r="B1261" s="1"/>
      <c r="D1261" s="3"/>
      <c r="E1261" s="2"/>
      <c r="H1261" s="3"/>
      <c r="I1261" s="3"/>
      <c r="K1261" s="3"/>
      <c r="L1261" s="3"/>
      <c r="X1261" s="4"/>
      <c r="Z1261" s="3"/>
      <c r="AE1261" s="3"/>
      <c r="AK1261" s="5"/>
    </row>
    <row r="1262" spans="2:37" x14ac:dyDescent="0.25">
      <c r="B1262" s="1"/>
      <c r="E1262" s="2"/>
      <c r="H1262" s="3"/>
      <c r="I1262" s="3"/>
      <c r="K1262" s="3"/>
      <c r="L1262" s="3"/>
      <c r="X1262" s="4"/>
      <c r="AK1262" s="5"/>
    </row>
    <row r="1263" spans="2:37" x14ac:dyDescent="0.25">
      <c r="B1263" s="1"/>
      <c r="E1263" s="2"/>
      <c r="F1263" s="3"/>
      <c r="G1263" s="3"/>
      <c r="X1263" s="4"/>
      <c r="AK1263" s="5"/>
    </row>
    <row r="1264" spans="2:37" x14ac:dyDescent="0.25">
      <c r="B1264" s="1"/>
      <c r="E1264" s="2"/>
      <c r="H1264" s="3"/>
      <c r="I1264" s="3"/>
      <c r="K1264" s="3"/>
      <c r="L1264" s="3"/>
      <c r="X1264" s="4"/>
      <c r="Z1264" s="3"/>
      <c r="AE1264" s="3"/>
      <c r="AK1264" s="5"/>
    </row>
    <row r="1265" spans="2:37" x14ac:dyDescent="0.25">
      <c r="B1265" s="1"/>
      <c r="E1265" s="2"/>
      <c r="H1265" s="3"/>
      <c r="I1265" s="3"/>
      <c r="K1265" s="3"/>
      <c r="L1265" s="3"/>
      <c r="X1265" s="4"/>
      <c r="AK1265" s="5"/>
    </row>
    <row r="1266" spans="2:37" x14ac:dyDescent="0.25">
      <c r="B1266" s="3"/>
      <c r="E1266" s="2"/>
      <c r="G1266" s="3"/>
      <c r="H1266" s="3"/>
      <c r="I1266" s="3"/>
      <c r="K1266" s="3"/>
      <c r="L1266" s="3"/>
      <c r="X1266" s="4"/>
      <c r="Z1266" s="3"/>
      <c r="AE1266" s="3"/>
      <c r="AK1266" s="5"/>
    </row>
    <row r="1267" spans="2:37" x14ac:dyDescent="0.25">
      <c r="B1267" s="1"/>
      <c r="E1267" s="2"/>
      <c r="H1267" s="3"/>
      <c r="I1267" s="3"/>
      <c r="K1267" s="3"/>
      <c r="X1267" s="4"/>
      <c r="AE1267" s="3"/>
      <c r="AK1267" s="5"/>
    </row>
    <row r="1268" spans="2:37" x14ac:dyDescent="0.25">
      <c r="B1268" s="1"/>
      <c r="E1268" s="2"/>
      <c r="H1268" s="3"/>
      <c r="I1268" s="3"/>
      <c r="K1268" s="3"/>
      <c r="X1268" s="4"/>
      <c r="AE1268" s="3"/>
      <c r="AK1268" s="5"/>
    </row>
    <row r="1269" spans="2:37" x14ac:dyDescent="0.25">
      <c r="B1269" s="1"/>
      <c r="E1269" s="2"/>
      <c r="H1269" s="3"/>
      <c r="I1269" s="3"/>
      <c r="K1269" s="3"/>
      <c r="L1269" s="3"/>
      <c r="X1269" s="4"/>
      <c r="AE1269" s="3"/>
      <c r="AK1269" s="5"/>
    </row>
    <row r="1270" spans="2:37" x14ac:dyDescent="0.25">
      <c r="B1270" s="1"/>
      <c r="E1270" s="2"/>
      <c r="F1270" s="3"/>
      <c r="G1270" s="3"/>
      <c r="H1270" s="3"/>
      <c r="I1270" s="3"/>
      <c r="K1270" s="3"/>
      <c r="L1270" s="3"/>
      <c r="X1270" s="4"/>
      <c r="AB1270" s="3"/>
      <c r="AE1270" s="3"/>
      <c r="AK1270" s="5"/>
    </row>
    <row r="1271" spans="2:37" x14ac:dyDescent="0.25">
      <c r="B1271" s="1"/>
      <c r="E1271" s="2"/>
      <c r="H1271" s="3"/>
      <c r="I1271" s="3"/>
      <c r="K1271" s="3"/>
      <c r="X1271" s="4"/>
      <c r="AE1271" s="3"/>
      <c r="AK1271" s="5"/>
    </row>
    <row r="1272" spans="2:37" x14ac:dyDescent="0.25">
      <c r="B1272" s="1"/>
      <c r="E1272" s="2"/>
      <c r="G1272" s="3"/>
      <c r="H1272" s="3"/>
      <c r="I1272" s="3"/>
      <c r="K1272" s="3"/>
      <c r="L1272" s="3"/>
      <c r="X1272" s="4"/>
      <c r="AK1272" s="5"/>
    </row>
    <row r="1273" spans="2:37" x14ac:dyDescent="0.25">
      <c r="B1273" s="1"/>
      <c r="D1273" s="3"/>
      <c r="E1273" s="2"/>
      <c r="G1273" s="3"/>
      <c r="H1273" s="3"/>
      <c r="I1273" s="3"/>
      <c r="K1273" s="3"/>
      <c r="L1273" s="3"/>
      <c r="X1273" s="4"/>
      <c r="AK1273" s="5"/>
    </row>
    <row r="1274" spans="2:37" x14ac:dyDescent="0.25">
      <c r="B1274" s="1"/>
      <c r="D1274" s="3"/>
      <c r="E1274" s="2"/>
      <c r="G1274" s="3"/>
      <c r="H1274" s="3"/>
      <c r="I1274" s="3"/>
      <c r="K1274" s="3"/>
      <c r="X1274" s="4"/>
      <c r="AK1274" s="5"/>
    </row>
    <row r="1275" spans="2:37" x14ac:dyDescent="0.25">
      <c r="B1275" s="1"/>
      <c r="E1275" s="2"/>
      <c r="G1275" s="3"/>
      <c r="H1275" s="3"/>
      <c r="I1275" s="3"/>
      <c r="K1275" s="3"/>
      <c r="L1275" s="3"/>
      <c r="X1275" s="4"/>
      <c r="AB1275" s="3"/>
      <c r="AK1275" s="5"/>
    </row>
    <row r="1276" spans="2:37" x14ac:dyDescent="0.25">
      <c r="B1276" s="1"/>
      <c r="D1276" s="3"/>
      <c r="E1276" s="2"/>
      <c r="G1276" s="3"/>
      <c r="H1276" s="3"/>
      <c r="I1276" s="3"/>
      <c r="K1276" s="3"/>
      <c r="L1276" s="3"/>
      <c r="X1276" s="4"/>
      <c r="Z1276" s="3"/>
      <c r="AB1276" s="3"/>
      <c r="AE1276" s="3"/>
      <c r="AK1276" s="5"/>
    </row>
    <row r="1277" spans="2:37" x14ac:dyDescent="0.25">
      <c r="B1277" s="1"/>
      <c r="E1277" s="2"/>
      <c r="H1277" s="3"/>
      <c r="I1277" s="3"/>
      <c r="K1277" s="3"/>
      <c r="L1277" s="3"/>
      <c r="X1277" s="4"/>
      <c r="Z1277" s="3"/>
      <c r="AE1277" s="3"/>
      <c r="AK1277" s="5"/>
    </row>
    <row r="1278" spans="2:37" x14ac:dyDescent="0.25">
      <c r="B1278" s="1"/>
      <c r="E1278" s="2"/>
      <c r="H1278" s="3"/>
      <c r="I1278" s="3"/>
      <c r="K1278" s="3"/>
      <c r="X1278" s="4"/>
      <c r="AK1278" s="5"/>
    </row>
    <row r="1279" spans="2:37" x14ac:dyDescent="0.25">
      <c r="B1279" s="1"/>
      <c r="E1279" s="2"/>
      <c r="H1279" s="3"/>
      <c r="I1279" s="3"/>
      <c r="K1279" s="3"/>
      <c r="L1279" s="3"/>
      <c r="X1279" s="4"/>
    </row>
    <row r="1280" spans="2:37" x14ac:dyDescent="0.25">
      <c r="B1280" s="1"/>
      <c r="D1280" s="3"/>
      <c r="E1280" s="2"/>
      <c r="F1280" s="3"/>
      <c r="G1280" s="3"/>
      <c r="X1280" s="4"/>
    </row>
    <row r="1281" spans="2:37" x14ac:dyDescent="0.25">
      <c r="B1281" s="1"/>
      <c r="E1281" s="2"/>
      <c r="H1281" s="3"/>
      <c r="I1281" s="3"/>
      <c r="K1281" s="3"/>
      <c r="L1281" s="3"/>
      <c r="X1281" s="4"/>
      <c r="AK1281" s="5"/>
    </row>
    <row r="1282" spans="2:37" x14ac:dyDescent="0.25">
      <c r="B1282" s="3"/>
      <c r="E1282" s="2"/>
      <c r="G1282" s="3"/>
      <c r="H1282" s="3"/>
      <c r="I1282" s="3"/>
      <c r="K1282" s="3"/>
      <c r="L1282" s="3"/>
      <c r="X1282" s="4"/>
      <c r="AD1282" s="3"/>
      <c r="AE1282" s="3"/>
      <c r="AK1282" s="5"/>
    </row>
    <row r="1283" spans="2:37" x14ac:dyDescent="0.25">
      <c r="B1283" s="1"/>
      <c r="E1283" s="2"/>
      <c r="H1283" s="3"/>
      <c r="I1283" s="3"/>
      <c r="K1283" s="3"/>
      <c r="L1283" s="3"/>
      <c r="X1283" s="4"/>
      <c r="AD1283" s="3"/>
      <c r="AE1283" s="3"/>
      <c r="AK1283" s="5"/>
    </row>
    <row r="1284" spans="2:37" x14ac:dyDescent="0.25">
      <c r="B1284" s="3"/>
      <c r="E1284" s="2"/>
      <c r="G1284" s="3"/>
      <c r="H1284" s="3"/>
      <c r="I1284" s="3"/>
      <c r="K1284" s="3"/>
      <c r="L1284" s="3"/>
      <c r="X1284" s="4"/>
      <c r="AD1284" s="3"/>
      <c r="AE1284" s="3"/>
      <c r="AK1284" s="5"/>
    </row>
    <row r="1285" spans="2:37" x14ac:dyDescent="0.25">
      <c r="B1285" s="1"/>
      <c r="D1285" s="3"/>
      <c r="E1285" s="2"/>
      <c r="G1285" s="3"/>
      <c r="H1285" s="3"/>
      <c r="I1285" s="3"/>
      <c r="K1285" s="3"/>
      <c r="L1285" s="3"/>
      <c r="X1285" s="4"/>
      <c r="AB1285" s="3"/>
      <c r="AE1285" s="3"/>
      <c r="AK1285" s="5"/>
    </row>
    <row r="1286" spans="2:37" x14ac:dyDescent="0.25">
      <c r="B1286" s="1"/>
      <c r="D1286" s="3"/>
      <c r="E1286" s="2"/>
      <c r="G1286" s="3"/>
      <c r="H1286" s="3"/>
      <c r="I1286" s="3"/>
      <c r="K1286" s="3"/>
      <c r="L1286" s="3"/>
      <c r="X1286" s="4"/>
      <c r="Z1286" s="3"/>
      <c r="AB1286" s="3"/>
      <c r="AE1286" s="3"/>
      <c r="AK1286" s="5"/>
    </row>
    <row r="1287" spans="2:37" x14ac:dyDescent="0.25">
      <c r="B1287" s="1"/>
      <c r="E1287" s="2"/>
      <c r="H1287" s="3"/>
      <c r="I1287" s="3"/>
      <c r="K1287" s="3"/>
      <c r="L1287" s="3"/>
      <c r="X1287" s="4"/>
      <c r="Z1287" s="3"/>
      <c r="AB1287" s="3"/>
      <c r="AE1287" s="3"/>
      <c r="AK1287" s="5"/>
    </row>
    <row r="1288" spans="2:37" x14ac:dyDescent="0.25">
      <c r="B1288" s="1"/>
      <c r="E1288" s="2"/>
      <c r="G1288" s="3"/>
      <c r="H1288" s="3"/>
      <c r="I1288" s="3"/>
      <c r="K1288" s="3"/>
      <c r="L1288" s="3"/>
      <c r="X1288" s="4"/>
      <c r="AB1288" s="3"/>
      <c r="AK1288" s="5"/>
    </row>
    <row r="1289" spans="2:37" x14ac:dyDescent="0.25">
      <c r="B1289" s="1"/>
      <c r="E1289" s="2"/>
      <c r="H1289" s="3"/>
      <c r="I1289" s="3"/>
      <c r="K1289" s="3"/>
      <c r="L1289" s="3"/>
      <c r="X1289" s="4"/>
      <c r="AB1289" s="3"/>
      <c r="AE1289" s="3"/>
      <c r="AK1289" s="5"/>
    </row>
    <row r="1290" spans="2:37" x14ac:dyDescent="0.25">
      <c r="B1290" s="1"/>
      <c r="E1290" s="2"/>
      <c r="H1290" s="3"/>
      <c r="I1290" s="3"/>
      <c r="K1290" s="3"/>
      <c r="L1290" s="3"/>
      <c r="X1290" s="4"/>
      <c r="AB1290" s="3"/>
      <c r="AE1290" s="3"/>
      <c r="AK1290" s="5"/>
    </row>
    <row r="1291" spans="2:37" x14ac:dyDescent="0.25">
      <c r="B1291" s="1"/>
      <c r="E1291" s="2"/>
      <c r="H1291" s="3"/>
      <c r="I1291" s="3"/>
      <c r="K1291" s="3"/>
      <c r="L1291" s="3"/>
      <c r="X1291" s="4"/>
      <c r="AB1291" s="3"/>
      <c r="AE1291" s="3"/>
      <c r="AK1291" s="5"/>
    </row>
    <row r="1292" spans="2:37" x14ac:dyDescent="0.25">
      <c r="B1292" s="1"/>
      <c r="E1292" s="2"/>
      <c r="H1292" s="3"/>
      <c r="I1292" s="3"/>
      <c r="K1292" s="3"/>
      <c r="L1292" s="3"/>
      <c r="X1292" s="4"/>
      <c r="Z1292" s="3"/>
      <c r="AB1292" s="3"/>
      <c r="AE1292" s="3"/>
      <c r="AK1292" s="5"/>
    </row>
    <row r="1293" spans="2:37" x14ac:dyDescent="0.25">
      <c r="B1293" s="1"/>
      <c r="E1293" s="2"/>
      <c r="H1293" s="3"/>
      <c r="I1293" s="3"/>
      <c r="K1293" s="3"/>
      <c r="L1293" s="3"/>
      <c r="X1293" s="4"/>
      <c r="AB1293" s="3"/>
      <c r="AE1293" s="3"/>
      <c r="AK1293" s="5"/>
    </row>
    <row r="1294" spans="2:37" x14ac:dyDescent="0.25">
      <c r="B1294" s="1"/>
      <c r="E1294" s="2"/>
      <c r="H1294" s="3"/>
      <c r="I1294" s="3"/>
      <c r="K1294" s="3"/>
      <c r="L1294" s="3"/>
      <c r="X1294" s="4"/>
      <c r="AB1294" s="3"/>
      <c r="AE1294" s="3"/>
      <c r="AK1294" s="5"/>
    </row>
    <row r="1295" spans="2:37" x14ac:dyDescent="0.25">
      <c r="B1295" s="1"/>
      <c r="E1295" s="2"/>
      <c r="H1295" s="3"/>
      <c r="I1295" s="3"/>
      <c r="K1295" s="3"/>
      <c r="L1295" s="3"/>
      <c r="X1295" s="4"/>
      <c r="AA1295" s="3"/>
      <c r="AB1295" s="3"/>
      <c r="AE1295" s="3"/>
      <c r="AK1295" s="5"/>
    </row>
    <row r="1296" spans="2:37" x14ac:dyDescent="0.25">
      <c r="B1296" s="1"/>
      <c r="E1296" s="2"/>
      <c r="H1296" s="3"/>
      <c r="I1296" s="3"/>
      <c r="K1296" s="3"/>
      <c r="L1296" s="3"/>
      <c r="X1296" s="4"/>
      <c r="AB1296" s="3"/>
      <c r="AE1296" s="3"/>
      <c r="AK1296" s="5"/>
    </row>
    <row r="1297" spans="2:37" x14ac:dyDescent="0.25">
      <c r="B1297" s="3"/>
      <c r="E1297" s="2"/>
      <c r="G1297" s="3"/>
      <c r="H1297" s="3"/>
      <c r="I1297" s="3"/>
      <c r="K1297" s="3"/>
      <c r="L1297" s="3"/>
      <c r="X1297" s="4"/>
      <c r="AB1297" s="3"/>
      <c r="AE1297" s="3"/>
      <c r="AK1297" s="5"/>
    </row>
    <row r="1298" spans="2:37" x14ac:dyDescent="0.25">
      <c r="B1298" s="1"/>
      <c r="E1298" s="2"/>
      <c r="H1298" s="3"/>
      <c r="I1298" s="3"/>
      <c r="K1298" s="3"/>
      <c r="L1298" s="3"/>
      <c r="X1298" s="4"/>
      <c r="AB1298" s="3"/>
      <c r="AE1298" s="3"/>
      <c r="AK1298" s="5"/>
    </row>
    <row r="1299" spans="2:37" x14ac:dyDescent="0.25">
      <c r="B1299" s="3"/>
      <c r="E1299" s="2"/>
      <c r="G1299" s="3"/>
      <c r="H1299" s="3"/>
      <c r="I1299" s="3"/>
      <c r="K1299" s="3"/>
      <c r="L1299" s="3"/>
      <c r="X1299" s="4"/>
      <c r="AB1299" s="3"/>
      <c r="AE1299" s="3"/>
      <c r="AK1299" s="5"/>
    </row>
    <row r="1300" spans="2:37" x14ac:dyDescent="0.25">
      <c r="B1300" s="1"/>
      <c r="E1300" s="2"/>
      <c r="H1300" s="3"/>
      <c r="I1300" s="3"/>
      <c r="K1300" s="3"/>
      <c r="L1300" s="3"/>
      <c r="X1300" s="4"/>
      <c r="AB1300" s="3"/>
      <c r="AE1300" s="3"/>
      <c r="AK1300" s="5"/>
    </row>
    <row r="1301" spans="2:37" x14ac:dyDescent="0.25">
      <c r="B1301" s="3"/>
      <c r="E1301" s="2"/>
      <c r="G1301" s="3"/>
      <c r="H1301" s="3"/>
      <c r="I1301" s="3"/>
      <c r="K1301" s="3"/>
      <c r="L1301" s="3"/>
      <c r="X1301" s="4"/>
      <c r="AB1301" s="3"/>
      <c r="AE1301" s="3"/>
      <c r="AK1301" s="5"/>
    </row>
    <row r="1302" spans="2:37" x14ac:dyDescent="0.25">
      <c r="B1302" s="1"/>
      <c r="E1302" s="2"/>
      <c r="F1302" s="3"/>
      <c r="G1302" s="3"/>
      <c r="H1302" s="3"/>
      <c r="I1302" s="3"/>
      <c r="K1302" s="3"/>
      <c r="L1302" s="3"/>
      <c r="X1302" s="4"/>
      <c r="Z1302" s="3"/>
      <c r="AB1302" s="3"/>
      <c r="AE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1"/>
      <c r="E1304" s="2"/>
      <c r="H1304" s="3"/>
      <c r="I1304" s="3"/>
      <c r="K1304" s="3"/>
      <c r="X1304" s="4"/>
      <c r="AK1304" s="5"/>
    </row>
    <row r="1305" spans="2:37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x14ac:dyDescent="0.25">
      <c r="B1306" s="1"/>
      <c r="E1306" s="2"/>
      <c r="G1306" s="3"/>
      <c r="H1306" s="3"/>
      <c r="I1306" s="3"/>
      <c r="K1306" s="3"/>
      <c r="L1306" s="3"/>
      <c r="X1306" s="4"/>
      <c r="AB1306" s="3"/>
      <c r="AE1306" s="3"/>
      <c r="AK1306" s="5"/>
    </row>
    <row r="1307" spans="2:37" x14ac:dyDescent="0.25">
      <c r="B1307" s="1"/>
      <c r="E1307" s="2"/>
      <c r="H1307" s="3"/>
      <c r="I1307" s="3"/>
      <c r="K1307" s="3"/>
      <c r="L1307" s="3"/>
      <c r="X1307" s="4"/>
      <c r="AB1307" s="3"/>
      <c r="AE1307" s="3"/>
      <c r="AK1307" s="5"/>
    </row>
    <row r="1308" spans="2:37" x14ac:dyDescent="0.25">
      <c r="B1308" s="1"/>
      <c r="D1308" s="3"/>
      <c r="E1308" s="2"/>
      <c r="F1308" s="3"/>
      <c r="G1308" s="3"/>
      <c r="H1308" s="3"/>
      <c r="I1308" s="3"/>
      <c r="K1308" s="3"/>
      <c r="L1308" s="3"/>
      <c r="X1308" s="4"/>
      <c r="AB1308" s="3"/>
      <c r="AK1308" s="5"/>
    </row>
    <row r="1309" spans="2:37" x14ac:dyDescent="0.25">
      <c r="B1309" s="1"/>
      <c r="E1309" s="2"/>
      <c r="H1309" s="3"/>
      <c r="I1309" s="3"/>
      <c r="K1309" s="3"/>
      <c r="L1309" s="3"/>
      <c r="X1309" s="4"/>
      <c r="Z1309" s="3"/>
      <c r="AE1309" s="3"/>
      <c r="AK1309" s="5"/>
    </row>
    <row r="1310" spans="2:37" x14ac:dyDescent="0.25">
      <c r="B1310" s="3"/>
      <c r="E1310" s="2"/>
      <c r="F1310" s="3"/>
      <c r="G1310" s="3"/>
      <c r="H1310" s="3"/>
      <c r="I1310" s="3"/>
      <c r="K1310" s="3"/>
      <c r="L1310" s="3"/>
      <c r="X1310" s="4"/>
      <c r="AA1310" s="3"/>
      <c r="AK1310" s="5"/>
    </row>
    <row r="1311" spans="2:37" x14ac:dyDescent="0.25">
      <c r="B1311" s="1"/>
      <c r="E1311" s="2"/>
      <c r="H1311" s="3"/>
      <c r="I1311" s="3"/>
      <c r="K1311" s="3"/>
      <c r="L1311" s="3"/>
      <c r="X1311" s="4"/>
      <c r="AD1311" s="3"/>
      <c r="AE1311" s="3"/>
      <c r="AK1311" s="5"/>
    </row>
    <row r="1312" spans="2:37" x14ac:dyDescent="0.25">
      <c r="B1312" s="1"/>
      <c r="E1312" s="2"/>
      <c r="F1312" s="3"/>
      <c r="G1312" s="3"/>
      <c r="H1312" s="3"/>
      <c r="I1312" s="3"/>
      <c r="K1312" s="3"/>
      <c r="X1312" s="4"/>
    </row>
    <row r="1313" spans="2:37" x14ac:dyDescent="0.25">
      <c r="B1313" s="1"/>
      <c r="E1313" s="2"/>
      <c r="H1313" s="3"/>
      <c r="I1313" s="3"/>
      <c r="K1313" s="3"/>
      <c r="L1313" s="3"/>
      <c r="X1313" s="4"/>
      <c r="Z1313" s="3"/>
      <c r="AE1313" s="3"/>
      <c r="AK1313" s="5"/>
    </row>
    <row r="1314" spans="2:37" x14ac:dyDescent="0.25">
      <c r="B1314" s="1"/>
      <c r="E1314" s="2"/>
      <c r="F1314" s="3"/>
      <c r="G1314" s="3"/>
      <c r="H1314" s="3"/>
      <c r="I1314" s="3"/>
      <c r="K1314" s="3"/>
      <c r="L1314" s="3"/>
      <c r="X1314" s="4"/>
      <c r="Z1314" s="3"/>
      <c r="AE1314" s="3"/>
      <c r="AK1314" s="5"/>
    </row>
    <row r="1315" spans="2:37" x14ac:dyDescent="0.25">
      <c r="B1315" s="1"/>
      <c r="E1315" s="2"/>
      <c r="G1315" s="3"/>
      <c r="H1315" s="3"/>
      <c r="I1315" s="3"/>
      <c r="K1315" s="3"/>
      <c r="L1315" s="3"/>
      <c r="X1315" s="4"/>
      <c r="AB1315" s="3"/>
      <c r="AK1315" s="5"/>
    </row>
    <row r="1316" spans="2:37" x14ac:dyDescent="0.25">
      <c r="B1316" s="1"/>
      <c r="E1316" s="2"/>
      <c r="F1316" s="3"/>
      <c r="G1316" s="3"/>
      <c r="H1316" s="3"/>
      <c r="I1316" s="3"/>
      <c r="K1316" s="3"/>
      <c r="L1316" s="3"/>
      <c r="X1316" s="4"/>
      <c r="AB1316" s="3"/>
      <c r="AE1316" s="3"/>
      <c r="AK1316" s="5"/>
    </row>
    <row r="1317" spans="2:37" x14ac:dyDescent="0.25">
      <c r="B1317" s="1"/>
      <c r="E1317" s="2"/>
      <c r="G1317" s="3"/>
      <c r="H1317" s="3"/>
      <c r="I1317" s="3"/>
      <c r="K1317" s="3"/>
      <c r="L1317" s="3"/>
      <c r="X1317" s="4"/>
      <c r="Z1317" s="3"/>
      <c r="AE1317" s="3"/>
      <c r="AK1317" s="5"/>
    </row>
    <row r="1318" spans="2:37" x14ac:dyDescent="0.25">
      <c r="B1318" s="1"/>
      <c r="E1318" s="2"/>
      <c r="F1318" s="3"/>
      <c r="G1318" s="3"/>
      <c r="H1318" s="3"/>
      <c r="I1318" s="3"/>
      <c r="K1318" s="3"/>
      <c r="X1318" s="4"/>
      <c r="AK1318" s="5"/>
    </row>
    <row r="1319" spans="2:37" x14ac:dyDescent="0.25">
      <c r="B1319" s="1"/>
      <c r="E1319" s="2"/>
      <c r="H1319" s="3"/>
      <c r="I1319" s="3"/>
      <c r="K1319" s="3"/>
      <c r="L1319" s="3"/>
      <c r="X1319" s="4"/>
      <c r="AD1319" s="3"/>
      <c r="AE1319" s="3"/>
      <c r="AK1319" s="5"/>
    </row>
    <row r="1320" spans="2:37" x14ac:dyDescent="0.25">
      <c r="B1320" s="1"/>
      <c r="E1320" s="2"/>
      <c r="F1320" s="3"/>
      <c r="G1320" s="3"/>
      <c r="H1320" s="3"/>
      <c r="I1320" s="3"/>
      <c r="K1320" s="3"/>
      <c r="L1320" s="3"/>
      <c r="X1320" s="4"/>
      <c r="AE1320" s="3"/>
      <c r="AK1320" s="5"/>
    </row>
    <row r="1321" spans="2:37" x14ac:dyDescent="0.25">
      <c r="B1321" s="3"/>
      <c r="E1321" s="2"/>
      <c r="G1321" s="3"/>
      <c r="H1321" s="3"/>
      <c r="I1321" s="3"/>
      <c r="K1321" s="3"/>
      <c r="L1321" s="3"/>
      <c r="X1321" s="4"/>
      <c r="AE1321" s="3"/>
      <c r="AK1321" s="5"/>
    </row>
    <row r="1322" spans="2:37" x14ac:dyDescent="0.25">
      <c r="B1322" s="1"/>
      <c r="E1322" s="2"/>
      <c r="H1322" s="3"/>
      <c r="I1322" s="3"/>
      <c r="K1322" s="3"/>
      <c r="L1322" s="3"/>
      <c r="X1322" s="4"/>
      <c r="AD1322" s="3"/>
      <c r="AE1322" s="3"/>
      <c r="AK1322" s="5"/>
    </row>
    <row r="1323" spans="2:37" x14ac:dyDescent="0.25">
      <c r="B1323" s="3"/>
      <c r="E1323" s="2"/>
      <c r="G1323" s="3"/>
      <c r="H1323" s="3"/>
      <c r="I1323" s="3"/>
      <c r="K1323" s="3"/>
      <c r="L1323" s="3"/>
      <c r="X1323" s="4"/>
    </row>
    <row r="1324" spans="2:37" x14ac:dyDescent="0.25">
      <c r="B1324" s="1"/>
      <c r="E1324" s="2"/>
      <c r="G1324" s="3"/>
      <c r="H1324" s="3"/>
      <c r="I1324" s="3"/>
      <c r="K1324" s="3"/>
      <c r="L1324" s="3"/>
    </row>
    <row r="1325" spans="2:37" x14ac:dyDescent="0.25">
      <c r="B1325" s="1"/>
      <c r="E1325" s="2"/>
      <c r="F1325" s="3"/>
      <c r="G1325" s="3"/>
      <c r="H1325" s="3"/>
      <c r="I1325" s="3"/>
      <c r="K1325" s="3"/>
      <c r="L1325" s="3"/>
      <c r="X1325" s="4"/>
    </row>
    <row r="1326" spans="2:37" x14ac:dyDescent="0.25">
      <c r="B1326" s="1"/>
      <c r="E1326" s="2"/>
      <c r="G1326" s="3"/>
      <c r="H1326" s="3"/>
      <c r="I1326" s="3"/>
      <c r="K1326" s="3"/>
      <c r="L1326" s="3"/>
      <c r="X1326" s="4"/>
      <c r="AD1326" s="3"/>
      <c r="AE1326" s="3"/>
      <c r="AK1326" s="5"/>
    </row>
    <row r="1327" spans="2:37" x14ac:dyDescent="0.25">
      <c r="B1327" s="1"/>
      <c r="E1327" s="2"/>
      <c r="H1327" s="3"/>
      <c r="I1327" s="3"/>
      <c r="K1327" s="3"/>
      <c r="L1327" s="3"/>
      <c r="X1327" s="4"/>
      <c r="AD1327" s="3"/>
      <c r="AE1327" s="3"/>
      <c r="AK1327" s="5"/>
    </row>
    <row r="1328" spans="2:37" x14ac:dyDescent="0.25">
      <c r="B1328" s="1"/>
      <c r="E1328" s="2"/>
      <c r="H1328" s="3"/>
      <c r="I1328" s="3"/>
      <c r="K1328" s="3"/>
      <c r="L1328" s="3"/>
      <c r="X1328" s="4"/>
      <c r="AE1328" s="3"/>
      <c r="AK1328" s="5"/>
    </row>
    <row r="1329" spans="2:37" x14ac:dyDescent="0.25">
      <c r="B1329" s="1"/>
      <c r="E1329" s="2"/>
      <c r="G1329" s="3"/>
      <c r="H1329" s="3"/>
      <c r="I1329" s="3"/>
      <c r="K1329" s="3"/>
      <c r="L1329" s="3"/>
      <c r="X1329" s="4"/>
      <c r="AD1329" s="3"/>
      <c r="AE1329" s="3"/>
      <c r="AK1329" s="5"/>
    </row>
    <row r="1330" spans="2:37" x14ac:dyDescent="0.25">
      <c r="B1330" s="1"/>
      <c r="E1330" s="2"/>
      <c r="H1330" s="3"/>
      <c r="I1330" s="3"/>
      <c r="K1330" s="3"/>
      <c r="X1330" s="4"/>
      <c r="AE1330" s="3"/>
      <c r="AK1330" s="5"/>
    </row>
    <row r="1331" spans="2:37" x14ac:dyDescent="0.25">
      <c r="B1331" s="1"/>
      <c r="E1331" s="2"/>
      <c r="G1331" s="3"/>
      <c r="H1331" s="3"/>
      <c r="I1331" s="3"/>
      <c r="K1331" s="3"/>
      <c r="L1331" s="3"/>
      <c r="X1331" s="4"/>
      <c r="AB1331" s="3"/>
      <c r="AD1331" s="3"/>
      <c r="AE1331" s="3"/>
      <c r="AK1331" s="5"/>
    </row>
    <row r="1332" spans="2:37" x14ac:dyDescent="0.25">
      <c r="B1332" s="1"/>
      <c r="E1332" s="2"/>
      <c r="H1332" s="3"/>
      <c r="I1332" s="3"/>
      <c r="K1332" s="3"/>
      <c r="L1332" s="3"/>
      <c r="X1332" s="4"/>
      <c r="AD1332" s="3"/>
      <c r="AE1332" s="3"/>
      <c r="AK1332" s="5"/>
    </row>
    <row r="1333" spans="2:37" x14ac:dyDescent="0.25">
      <c r="B1333" s="1"/>
      <c r="E1333" s="2"/>
      <c r="H1333" s="3"/>
      <c r="I1333" s="3"/>
      <c r="K1333" s="3"/>
      <c r="L1333" s="3"/>
      <c r="X1333" s="4"/>
      <c r="Z1333" s="3"/>
      <c r="AD1333" s="3"/>
      <c r="AE1333" s="3"/>
      <c r="AK1333" s="5"/>
    </row>
    <row r="1334" spans="2:37" x14ac:dyDescent="0.25">
      <c r="B1334" s="1"/>
      <c r="E1334" s="2"/>
      <c r="H1334" s="3"/>
      <c r="I1334" s="3"/>
      <c r="K1334" s="3"/>
      <c r="L1334" s="3"/>
      <c r="X1334" s="4"/>
      <c r="AB1334" s="3"/>
      <c r="AD1334" s="3"/>
      <c r="AE1334" s="3"/>
      <c r="AK1334" s="5"/>
    </row>
    <row r="1335" spans="2:37" x14ac:dyDescent="0.25">
      <c r="B1335" s="1"/>
      <c r="E1335" s="2"/>
      <c r="H1335" s="3"/>
      <c r="I1335" s="3"/>
      <c r="K1335" s="3"/>
      <c r="L1335" s="3"/>
      <c r="X1335" s="4"/>
      <c r="AD1335" s="3"/>
      <c r="AE1335" s="3"/>
      <c r="AK1335" s="5"/>
    </row>
    <row r="1336" spans="2:37" x14ac:dyDescent="0.25">
      <c r="B1336" s="1"/>
      <c r="E1336" s="2"/>
      <c r="H1336" s="3"/>
      <c r="I1336" s="3"/>
      <c r="K1336" s="3"/>
      <c r="L1336" s="3"/>
      <c r="X1336" s="4"/>
      <c r="AD1336" s="3"/>
      <c r="AE1336" s="3"/>
      <c r="AK1336" s="5"/>
    </row>
    <row r="1337" spans="2:37" x14ac:dyDescent="0.25">
      <c r="B1337" s="1"/>
      <c r="E1337" s="2"/>
      <c r="H1337" s="3"/>
      <c r="I1337" s="3"/>
      <c r="K1337" s="3"/>
      <c r="L1337" s="3"/>
      <c r="X1337" s="4"/>
      <c r="AD1337" s="3"/>
      <c r="AE1337" s="3"/>
      <c r="AK1337" s="5"/>
    </row>
    <row r="1338" spans="2:37" x14ac:dyDescent="0.25">
      <c r="B1338" s="3"/>
      <c r="E1338" s="2"/>
      <c r="F1338" s="3"/>
      <c r="G1338" s="3"/>
      <c r="H1338" s="3"/>
      <c r="I1338" s="3"/>
      <c r="K1338" s="3"/>
      <c r="L1338" s="3"/>
      <c r="X1338" s="4"/>
      <c r="AD1338" s="3"/>
      <c r="AE1338" s="3"/>
      <c r="AK1338" s="5"/>
    </row>
    <row r="1339" spans="2:37" x14ac:dyDescent="0.25">
      <c r="B1339" s="1"/>
      <c r="E1339" s="2"/>
      <c r="H1339" s="3"/>
      <c r="I1339" s="3"/>
      <c r="K1339" s="3"/>
      <c r="L1339" s="3"/>
      <c r="X1339" s="4"/>
      <c r="AB1339" s="3"/>
      <c r="AD1339" s="3"/>
      <c r="AE1339" s="3"/>
      <c r="AK1339" s="5"/>
    </row>
    <row r="1340" spans="2:37" x14ac:dyDescent="0.25">
      <c r="B1340" s="1"/>
      <c r="E1340" s="2"/>
      <c r="G1340" s="3"/>
      <c r="H1340" s="3"/>
      <c r="I1340" s="3"/>
      <c r="K1340" s="3"/>
      <c r="X1340" s="4"/>
      <c r="AK1340" s="5"/>
    </row>
    <row r="1341" spans="2:37" x14ac:dyDescent="0.25">
      <c r="B1341" s="1"/>
      <c r="E1341" s="2"/>
      <c r="H1341" s="3"/>
      <c r="I1341" s="3"/>
      <c r="K1341" s="3"/>
      <c r="L1341" s="3"/>
      <c r="X1341" s="4"/>
      <c r="AA1341" s="3"/>
      <c r="AD1341" s="3"/>
      <c r="AE1341" s="3"/>
      <c r="AK1341" s="5"/>
    </row>
    <row r="1342" spans="2:37" x14ac:dyDescent="0.25">
      <c r="B1342" s="1"/>
      <c r="E1342" s="2"/>
      <c r="H1342" s="3"/>
      <c r="I1342" s="3"/>
      <c r="K1342" s="3"/>
      <c r="L1342" s="3"/>
      <c r="X1342" s="4"/>
      <c r="Z1342" s="3"/>
      <c r="AD1342" s="3"/>
      <c r="AE1342" s="3"/>
      <c r="AK1342" s="5"/>
    </row>
    <row r="1343" spans="2:37" x14ac:dyDescent="0.25">
      <c r="B1343" s="1"/>
      <c r="E1343" s="2"/>
      <c r="H1343" s="3"/>
      <c r="I1343" s="3"/>
      <c r="K1343" s="3"/>
      <c r="L1343" s="3"/>
      <c r="X1343" s="4"/>
      <c r="Z1343" s="3"/>
      <c r="AB1343" s="3"/>
      <c r="AE1343" s="3"/>
      <c r="AK1343" s="5"/>
    </row>
    <row r="1344" spans="2:37" x14ac:dyDescent="0.25">
      <c r="B1344" s="1"/>
      <c r="E1344" s="2"/>
      <c r="H1344" s="3"/>
      <c r="I1344" s="3"/>
      <c r="K1344" s="3"/>
      <c r="L1344" s="3"/>
      <c r="X1344" s="4"/>
      <c r="Z1344" s="3"/>
      <c r="AE1344" s="3"/>
      <c r="AK1344" s="5"/>
    </row>
    <row r="1345" spans="2:37" x14ac:dyDescent="0.25">
      <c r="B1345" s="1"/>
      <c r="E1345" s="2"/>
      <c r="H1345" s="3"/>
      <c r="I1345" s="3"/>
      <c r="K1345" s="3"/>
      <c r="L1345" s="3"/>
      <c r="X1345" s="4"/>
      <c r="Z1345" s="3"/>
      <c r="AE1345" s="3"/>
      <c r="AK1345" s="5"/>
    </row>
    <row r="1346" spans="2:37" x14ac:dyDescent="0.25">
      <c r="B1346" s="1"/>
      <c r="D1346" s="3"/>
      <c r="E1346" s="2"/>
      <c r="G1346" s="3"/>
      <c r="H1346" s="3"/>
      <c r="I1346" s="3"/>
      <c r="K1346" s="3"/>
      <c r="X1346" s="4"/>
      <c r="AE1346" s="3"/>
      <c r="AK1346" s="5"/>
    </row>
    <row r="1347" spans="2:37" x14ac:dyDescent="0.25">
      <c r="B1347" s="1"/>
      <c r="E1347" s="2"/>
      <c r="H1347" s="3"/>
      <c r="I1347" s="3"/>
      <c r="K1347" s="3"/>
      <c r="L1347" s="3"/>
      <c r="X1347" s="4"/>
      <c r="Z1347" s="3"/>
      <c r="AE1347" s="3"/>
      <c r="AK1347" s="5"/>
    </row>
    <row r="1348" spans="2:37" x14ac:dyDescent="0.25">
      <c r="B1348" s="3"/>
      <c r="E1348" s="2"/>
      <c r="G1348" s="3"/>
      <c r="H1348" s="3"/>
      <c r="I1348" s="3"/>
      <c r="K1348" s="3"/>
      <c r="L1348" s="3"/>
      <c r="X1348" s="4"/>
      <c r="Z1348" s="3"/>
      <c r="AE1348" s="3"/>
      <c r="AK1348" s="5"/>
    </row>
    <row r="1349" spans="2:37" x14ac:dyDescent="0.25">
      <c r="B1349" s="1"/>
      <c r="E1349" s="2"/>
      <c r="H1349" s="3"/>
      <c r="I1349" s="3"/>
      <c r="K1349" s="3"/>
      <c r="L1349" s="3"/>
      <c r="X1349" s="4"/>
      <c r="Z1349" s="3"/>
      <c r="AE1349" s="3"/>
      <c r="AK1349" s="5"/>
    </row>
    <row r="1350" spans="2:37" x14ac:dyDescent="0.25">
      <c r="B1350" s="1"/>
      <c r="E1350" s="2"/>
      <c r="G1350" s="3"/>
      <c r="X1350" s="4"/>
    </row>
    <row r="1351" spans="2:37" x14ac:dyDescent="0.25">
      <c r="B1351" s="1"/>
      <c r="E1351" s="2"/>
      <c r="H1351" s="3"/>
      <c r="I1351" s="3"/>
      <c r="K1351" s="3"/>
      <c r="L1351" s="3"/>
      <c r="X1351" s="4"/>
      <c r="Z1351" s="3"/>
      <c r="AE1351" s="3"/>
      <c r="AK1351" s="5"/>
    </row>
    <row r="1352" spans="2:37" x14ac:dyDescent="0.25">
      <c r="B1352" s="1"/>
      <c r="E1352" s="2"/>
      <c r="H1352" s="3"/>
      <c r="I1352" s="3"/>
      <c r="K1352" s="3"/>
      <c r="L1352" s="3"/>
      <c r="X1352" s="4"/>
    </row>
    <row r="1353" spans="2:37" x14ac:dyDescent="0.25">
      <c r="B1353" s="1"/>
      <c r="D1353" s="3"/>
      <c r="E1353" s="2"/>
      <c r="G1353" s="3"/>
      <c r="H1353" s="3"/>
      <c r="I1353" s="3"/>
      <c r="K1353" s="3"/>
      <c r="L1353" s="3"/>
      <c r="X1353" s="4"/>
    </row>
    <row r="1354" spans="2:37" x14ac:dyDescent="0.25">
      <c r="B1354" s="1"/>
      <c r="E1354" s="2"/>
      <c r="G1354" s="3"/>
      <c r="H1354" s="3"/>
      <c r="I1354" s="3"/>
      <c r="K1354" s="3"/>
      <c r="L1354" s="3"/>
      <c r="X1354" s="4"/>
      <c r="Z1354" s="3"/>
      <c r="AE1354" s="3"/>
      <c r="AK1354" s="5"/>
    </row>
    <row r="1355" spans="2:37" x14ac:dyDescent="0.25">
      <c r="B1355" s="1"/>
      <c r="E1355" s="2"/>
      <c r="H1355" s="3"/>
      <c r="I1355" s="3"/>
      <c r="K1355" s="3"/>
      <c r="L1355" s="3"/>
      <c r="X1355" s="4"/>
      <c r="Z1355" s="3"/>
      <c r="AE1355" s="3"/>
      <c r="AK1355" s="5"/>
    </row>
    <row r="1356" spans="2:37" x14ac:dyDescent="0.25">
      <c r="B1356" s="1"/>
      <c r="E1356" s="2"/>
      <c r="H1356" s="3"/>
      <c r="I1356" s="3"/>
      <c r="K1356" s="3"/>
      <c r="X1356" s="4"/>
      <c r="AK1356" s="5"/>
    </row>
    <row r="1357" spans="2:37" x14ac:dyDescent="0.25">
      <c r="B1357" s="1"/>
      <c r="E1357" s="2"/>
      <c r="H1357" s="3"/>
      <c r="I1357" s="3"/>
      <c r="K1357" s="3"/>
      <c r="X1357" s="4"/>
      <c r="AK1357" s="5"/>
    </row>
    <row r="1358" spans="2:37" x14ac:dyDescent="0.25">
      <c r="B1358" s="1"/>
      <c r="E1358" s="2"/>
      <c r="H1358" s="3"/>
      <c r="I1358" s="3"/>
      <c r="K1358" s="3"/>
      <c r="L1358" s="3"/>
      <c r="X1358" s="4"/>
      <c r="AB1358" s="3"/>
      <c r="AE1358" s="3"/>
      <c r="AK1358" s="5"/>
    </row>
    <row r="1359" spans="2:37" x14ac:dyDescent="0.25">
      <c r="B1359" s="1"/>
      <c r="E1359" s="2"/>
      <c r="G1359" s="3"/>
      <c r="H1359" s="3"/>
      <c r="I1359" s="3"/>
      <c r="K1359" s="3"/>
      <c r="L1359" s="3"/>
      <c r="X1359" s="4"/>
      <c r="Z1359" s="3"/>
      <c r="AE1359" s="3"/>
      <c r="AK1359" s="5"/>
    </row>
    <row r="1360" spans="2:37" x14ac:dyDescent="0.25">
      <c r="B1360" s="1"/>
      <c r="E1360" s="2"/>
      <c r="H1360" s="3"/>
      <c r="I1360" s="3"/>
      <c r="K1360" s="3"/>
      <c r="L1360" s="3"/>
      <c r="X1360" s="4"/>
    </row>
    <row r="1361" spans="2:37" x14ac:dyDescent="0.25">
      <c r="B1361" s="3"/>
      <c r="G1361" s="3"/>
    </row>
    <row r="1362" spans="2:37" x14ac:dyDescent="0.25">
      <c r="B1362" s="1"/>
      <c r="E1362" s="2"/>
      <c r="H1362" s="3"/>
      <c r="I1362" s="3"/>
      <c r="K1362" s="3"/>
      <c r="L1362" s="3"/>
      <c r="X1362" s="4"/>
      <c r="AK1362" s="5"/>
    </row>
    <row r="1363" spans="2:37" x14ac:dyDescent="0.25">
      <c r="B1363" s="1"/>
      <c r="E1363" s="2"/>
      <c r="G1363" s="3"/>
      <c r="H1363" s="3"/>
      <c r="I1363" s="3"/>
      <c r="K1363" s="3"/>
      <c r="X1363" s="4"/>
      <c r="AK1363" s="5"/>
    </row>
    <row r="1364" spans="2:37" x14ac:dyDescent="0.25">
      <c r="B1364" s="1"/>
      <c r="E1364" s="2"/>
      <c r="H1364" s="3"/>
      <c r="I1364" s="3"/>
      <c r="K1364" s="3"/>
      <c r="L1364" s="3"/>
      <c r="X1364" s="4"/>
      <c r="Z1364" s="3"/>
      <c r="AE1364" s="3"/>
      <c r="AK1364" s="5"/>
    </row>
    <row r="1365" spans="2:37" x14ac:dyDescent="0.25">
      <c r="B1365" s="1"/>
      <c r="E1365" s="2"/>
      <c r="G1365" s="3"/>
      <c r="H1365" s="3"/>
      <c r="I1365" s="3"/>
      <c r="K1365" s="3"/>
      <c r="L1365" s="3"/>
      <c r="X1365" s="4"/>
      <c r="AB1365" s="3"/>
      <c r="AE1365" s="3"/>
      <c r="AK1365" s="5"/>
    </row>
    <row r="1366" spans="2:37" x14ac:dyDescent="0.25">
      <c r="B1366" s="1"/>
      <c r="E1366" s="2"/>
      <c r="H1366" s="3"/>
      <c r="I1366" s="3"/>
      <c r="K1366" s="3"/>
      <c r="L1366" s="3"/>
      <c r="X1366" s="4"/>
      <c r="AD1366" s="3"/>
      <c r="AE1366" s="3"/>
      <c r="AK1366" s="5"/>
    </row>
    <row r="1367" spans="2:37" x14ac:dyDescent="0.25">
      <c r="B1367" s="1"/>
      <c r="E1367" s="2"/>
      <c r="G1367" s="3"/>
      <c r="X1367" s="4"/>
    </row>
    <row r="1368" spans="2:37" x14ac:dyDescent="0.25">
      <c r="B1368" s="1"/>
      <c r="E1368" s="2"/>
      <c r="H1368" s="3"/>
      <c r="I1368" s="3"/>
      <c r="K1368" s="3"/>
      <c r="L1368" s="3"/>
      <c r="X1368" s="4"/>
      <c r="Z1368" s="3"/>
      <c r="AE1368" s="3"/>
      <c r="AK1368" s="5"/>
    </row>
    <row r="1369" spans="2:37" x14ac:dyDescent="0.25">
      <c r="B1369" s="1"/>
      <c r="E1369" s="2"/>
      <c r="G1369" s="3"/>
      <c r="H1369" s="3"/>
      <c r="I1369" s="3"/>
      <c r="K1369" s="3"/>
      <c r="L1369" s="3"/>
      <c r="X1369" s="4"/>
      <c r="Z1369" s="3"/>
      <c r="AE1369" s="3"/>
      <c r="AK1369" s="5"/>
    </row>
    <row r="1370" spans="2:37" x14ac:dyDescent="0.25">
      <c r="B1370" s="1"/>
      <c r="E1370" s="2"/>
      <c r="H1370" s="3"/>
      <c r="I1370" s="3"/>
      <c r="K1370" s="3"/>
      <c r="L1370" s="3"/>
      <c r="X1370" s="4"/>
      <c r="AB1370" s="3"/>
      <c r="AE1370" s="3"/>
      <c r="AK1370" s="5"/>
    </row>
    <row r="1371" spans="2:37" x14ac:dyDescent="0.25">
      <c r="B1371" s="1"/>
      <c r="E1371" s="2"/>
      <c r="G1371" s="3"/>
      <c r="H1371" s="3"/>
      <c r="I1371" s="3"/>
      <c r="K1371" s="3"/>
      <c r="L1371" s="3"/>
      <c r="X1371" s="4"/>
      <c r="AB1371" s="3"/>
      <c r="AE1371" s="3"/>
      <c r="AK1371" s="5"/>
    </row>
    <row r="1372" spans="2:37" x14ac:dyDescent="0.25">
      <c r="B1372" s="1"/>
      <c r="E1372" s="2"/>
      <c r="H1372" s="3"/>
      <c r="I1372" s="3"/>
      <c r="K1372" s="3"/>
      <c r="L1372" s="3"/>
      <c r="X1372" s="4"/>
      <c r="AE1372" s="3"/>
      <c r="AK1372" s="5"/>
    </row>
    <row r="1373" spans="2:37" x14ac:dyDescent="0.25">
      <c r="B1373" s="1"/>
      <c r="E1373" s="2"/>
      <c r="H1373" s="3"/>
      <c r="I1373" s="3"/>
      <c r="K1373" s="3"/>
      <c r="X1373" s="4"/>
      <c r="AK1373" s="5"/>
    </row>
    <row r="1374" spans="2:37" x14ac:dyDescent="0.25">
      <c r="B1374" s="1"/>
      <c r="E1374" s="2"/>
      <c r="F1374" s="3"/>
      <c r="G1374" s="3"/>
      <c r="H1374" s="3"/>
      <c r="I1374" s="3"/>
      <c r="K1374" s="3"/>
      <c r="X1374" s="4"/>
      <c r="AK1374" s="5"/>
    </row>
    <row r="1375" spans="2:37" x14ac:dyDescent="0.25">
      <c r="B1375" s="1"/>
      <c r="E1375" s="2"/>
      <c r="H1375" s="3"/>
      <c r="I1375" s="3"/>
      <c r="K1375" s="3"/>
      <c r="X1375" s="4"/>
      <c r="AK1375" s="5"/>
    </row>
    <row r="1376" spans="2:37" x14ac:dyDescent="0.25">
      <c r="B1376" s="1"/>
      <c r="E1376" s="2"/>
      <c r="H1376" s="3"/>
      <c r="I1376" s="3"/>
      <c r="K1376" s="3"/>
      <c r="L1376" s="3"/>
      <c r="X1376" s="4"/>
      <c r="Z1376" s="3"/>
      <c r="AE1376" s="3"/>
      <c r="AK1376" s="5"/>
    </row>
    <row r="1377" spans="2:37" x14ac:dyDescent="0.25">
      <c r="B1377" s="1"/>
      <c r="E1377" s="2"/>
      <c r="H1377" s="3"/>
      <c r="I1377" s="3"/>
      <c r="K1377" s="3"/>
      <c r="L1377" s="3"/>
      <c r="X1377" s="4"/>
      <c r="Z1377" s="3"/>
      <c r="AE1377" s="3"/>
      <c r="AK1377" s="5"/>
    </row>
    <row r="1378" spans="2:37" x14ac:dyDescent="0.25">
      <c r="B1378" s="1"/>
      <c r="E1378" s="2"/>
      <c r="G1378" s="3"/>
      <c r="H1378" s="3"/>
      <c r="I1378" s="3"/>
      <c r="K1378" s="3"/>
      <c r="L1378" s="3"/>
      <c r="X1378" s="4"/>
      <c r="AB1378" s="3"/>
      <c r="AE1378" s="3"/>
      <c r="AK1378" s="5"/>
    </row>
    <row r="1379" spans="2:37" x14ac:dyDescent="0.25">
      <c r="B1379" s="1"/>
      <c r="E1379" s="2"/>
      <c r="H1379" s="3"/>
      <c r="I1379" s="3"/>
      <c r="K1379" s="3"/>
      <c r="L1379" s="3"/>
      <c r="X1379" s="4"/>
    </row>
    <row r="1380" spans="2:37" x14ac:dyDescent="0.25">
      <c r="B1380" s="3"/>
      <c r="E1380" s="2"/>
      <c r="G1380" s="3"/>
      <c r="H1380" s="3"/>
      <c r="I1380" s="3"/>
      <c r="K1380" s="3"/>
      <c r="X1380" s="4"/>
      <c r="AK1380" s="5"/>
    </row>
    <row r="1381" spans="2:37" x14ac:dyDescent="0.25">
      <c r="B1381" s="1"/>
      <c r="E1381" s="2"/>
      <c r="H1381" s="3"/>
      <c r="I1381" s="3"/>
      <c r="K1381" s="3"/>
      <c r="L1381" s="3"/>
      <c r="X1381" s="4"/>
      <c r="AA1381" s="3"/>
      <c r="AK1381" s="5"/>
    </row>
    <row r="1382" spans="2:37" x14ac:dyDescent="0.25">
      <c r="B1382" s="1"/>
      <c r="E1382" s="2"/>
      <c r="G1382" s="3"/>
      <c r="H1382" s="3"/>
      <c r="I1382" s="3"/>
      <c r="K1382" s="3"/>
      <c r="X1382" s="4"/>
      <c r="AE1382" s="3"/>
      <c r="AK1382" s="5"/>
    </row>
    <row r="1383" spans="2:37" x14ac:dyDescent="0.25">
      <c r="B1383" s="1"/>
      <c r="E1383" s="2"/>
      <c r="H1383" s="3"/>
      <c r="I1383" s="3"/>
      <c r="K1383" s="3"/>
      <c r="L1383" s="3"/>
      <c r="X1383" s="4"/>
      <c r="AK1383" s="5"/>
    </row>
    <row r="1384" spans="2:37" x14ac:dyDescent="0.25">
      <c r="B1384" s="1"/>
      <c r="D1384" s="3"/>
      <c r="E1384" s="2"/>
      <c r="G1384" s="3"/>
      <c r="H1384" s="3"/>
      <c r="I1384" s="3"/>
      <c r="K1384" s="3"/>
      <c r="X1384" s="4"/>
      <c r="AK1384" s="5"/>
    </row>
    <row r="1385" spans="2:37" x14ac:dyDescent="0.25">
      <c r="B1385" s="1"/>
      <c r="E1385" s="2"/>
      <c r="H1385" s="3"/>
      <c r="I1385" s="3"/>
      <c r="K1385" s="3"/>
      <c r="L1385" s="3"/>
      <c r="X1385" s="4"/>
      <c r="Z1385" s="3"/>
      <c r="AE1385" s="3"/>
      <c r="AK1385" s="5"/>
    </row>
    <row r="1386" spans="2:37" x14ac:dyDescent="0.25">
      <c r="B1386" s="1"/>
      <c r="E1386" s="2"/>
      <c r="G1386" s="3"/>
      <c r="H1386" s="3"/>
      <c r="I1386" s="3"/>
      <c r="K1386" s="3"/>
      <c r="L1386" s="3"/>
      <c r="X1386" s="4"/>
    </row>
    <row r="1387" spans="2:37" x14ac:dyDescent="0.25">
      <c r="B1387" s="3"/>
      <c r="C1387" s="3"/>
      <c r="E1387" s="2"/>
      <c r="G1387" s="3"/>
      <c r="H1387" s="3"/>
      <c r="I1387" s="3"/>
      <c r="K1387" s="3"/>
      <c r="X1387" s="4"/>
    </row>
    <row r="1388" spans="2:37" x14ac:dyDescent="0.25">
      <c r="B1388" s="1"/>
      <c r="E1388" s="2"/>
      <c r="G1388" s="3"/>
      <c r="H1388" s="3"/>
      <c r="I1388" s="3"/>
      <c r="K1388" s="3"/>
      <c r="L1388" s="3"/>
      <c r="X1388" s="4"/>
      <c r="AD1388" s="3"/>
      <c r="AK1388" s="5"/>
    </row>
    <row r="1389" spans="2:37" x14ac:dyDescent="0.25">
      <c r="B1389" s="1"/>
      <c r="E1389" s="2"/>
      <c r="G1389" s="3"/>
      <c r="H1389" s="3"/>
      <c r="I1389" s="3"/>
      <c r="K1389" s="3"/>
      <c r="L1389" s="3"/>
      <c r="X1389" s="4"/>
      <c r="Z1389" s="3"/>
      <c r="AE1389" s="3"/>
      <c r="AK1389" s="5"/>
    </row>
    <row r="1390" spans="2:37" x14ac:dyDescent="0.25">
      <c r="B1390" s="1"/>
      <c r="E1390" s="2"/>
      <c r="G1390" s="3"/>
      <c r="H1390" s="3"/>
      <c r="I1390" s="3"/>
      <c r="K1390" s="3"/>
      <c r="L1390" s="3"/>
      <c r="X1390" s="4"/>
      <c r="Z1390" s="3"/>
      <c r="AE1390" s="3"/>
      <c r="AK1390" s="5"/>
    </row>
    <row r="1391" spans="2:37" x14ac:dyDescent="0.25">
      <c r="B1391" s="1"/>
      <c r="E1391" s="2"/>
      <c r="G1391" s="3"/>
      <c r="H1391" s="3"/>
      <c r="I1391" s="3"/>
      <c r="K1391" s="3"/>
      <c r="L1391" s="3"/>
      <c r="X1391" s="4"/>
      <c r="Z1391" s="3"/>
      <c r="AE1391" s="3"/>
      <c r="AK1391" s="5"/>
    </row>
    <row r="1392" spans="2:37" x14ac:dyDescent="0.25">
      <c r="B1392" s="1"/>
      <c r="E1392" s="2"/>
      <c r="F1392" s="3"/>
      <c r="G1392" s="3"/>
      <c r="H1392" s="3"/>
      <c r="I1392" s="3"/>
      <c r="K1392" s="3"/>
      <c r="L1392" s="3"/>
      <c r="X1392" s="4"/>
      <c r="Z1392" s="3"/>
      <c r="AE1392" s="3"/>
      <c r="AK1392" s="5"/>
    </row>
    <row r="1393" spans="2:37" x14ac:dyDescent="0.25">
      <c r="B1393" s="1"/>
      <c r="E1393" s="2"/>
      <c r="H1393" s="3"/>
      <c r="I1393" s="3"/>
      <c r="K1393" s="3"/>
      <c r="L1393" s="3"/>
      <c r="X1393" s="4"/>
      <c r="Z1393" s="3"/>
      <c r="AE1393" s="3"/>
      <c r="AK1393" s="5"/>
    </row>
    <row r="1394" spans="2:37" x14ac:dyDescent="0.25">
      <c r="B1394" s="1"/>
      <c r="E1394" s="2"/>
      <c r="H1394" s="3"/>
      <c r="I1394" s="3"/>
      <c r="K1394" s="3"/>
      <c r="L1394" s="3"/>
      <c r="X1394" s="4"/>
      <c r="Z1394" s="3"/>
      <c r="AE1394" s="3"/>
      <c r="AK1394" s="5"/>
    </row>
    <row r="1395" spans="2:37" x14ac:dyDescent="0.25">
      <c r="B1395" s="1"/>
      <c r="E1395" s="2"/>
      <c r="H1395" s="3"/>
      <c r="I1395" s="3"/>
      <c r="K1395" s="3"/>
      <c r="L1395" s="3"/>
      <c r="X1395" s="4"/>
      <c r="Z1395" s="3"/>
      <c r="AE1395" s="3"/>
      <c r="AK1395" s="5"/>
    </row>
    <row r="1396" spans="2:37" x14ac:dyDescent="0.25">
      <c r="B1396" s="1"/>
      <c r="E1396" s="2"/>
      <c r="H1396" s="3"/>
      <c r="I1396" s="3"/>
      <c r="K1396" s="3"/>
      <c r="L1396" s="3"/>
      <c r="X1396" s="4"/>
      <c r="Z1396" s="3"/>
      <c r="AE1396" s="3"/>
      <c r="AK1396" s="5"/>
    </row>
    <row r="1397" spans="2:37" x14ac:dyDescent="0.25">
      <c r="B1397" s="1"/>
      <c r="E1397" s="2"/>
      <c r="H1397" s="3"/>
      <c r="I1397" s="3"/>
      <c r="K1397" s="3"/>
      <c r="X1397" s="4"/>
      <c r="AE1397" s="3"/>
      <c r="AK1397" s="5"/>
    </row>
    <row r="1398" spans="2:37" x14ac:dyDescent="0.25">
      <c r="B1398" s="1"/>
      <c r="E1398" s="2"/>
      <c r="G1398" s="3"/>
      <c r="H1398" s="3"/>
      <c r="I1398" s="3"/>
      <c r="K1398" s="3"/>
      <c r="L1398" s="3"/>
      <c r="X1398" s="4"/>
      <c r="Z1398" s="3"/>
      <c r="AE1398" s="3"/>
      <c r="AK1398" s="5"/>
    </row>
    <row r="1399" spans="2:37" x14ac:dyDescent="0.25">
      <c r="B1399" s="1"/>
      <c r="E1399" s="2"/>
      <c r="H1399" s="3"/>
      <c r="I1399" s="3"/>
      <c r="K1399" s="3"/>
      <c r="L1399" s="3"/>
      <c r="X1399" s="4"/>
      <c r="Z1399" s="3"/>
      <c r="AE1399" s="3"/>
      <c r="AK1399" s="5"/>
    </row>
    <row r="1400" spans="2:37" x14ac:dyDescent="0.25">
      <c r="B1400" s="1"/>
      <c r="E1400" s="2"/>
      <c r="G1400" s="3"/>
      <c r="H1400" s="3"/>
      <c r="I1400" s="3"/>
      <c r="K1400" s="3"/>
      <c r="L1400" s="3"/>
      <c r="X1400" s="4"/>
      <c r="Z1400" s="3"/>
      <c r="AE1400" s="3"/>
      <c r="AK1400" s="5"/>
    </row>
    <row r="1401" spans="2:37" x14ac:dyDescent="0.25">
      <c r="B1401" s="1"/>
      <c r="E1401" s="2"/>
      <c r="H1401" s="3"/>
      <c r="I1401" s="3"/>
      <c r="K1401" s="3"/>
      <c r="L1401" s="3"/>
      <c r="X1401" s="4"/>
      <c r="Z1401" s="3"/>
      <c r="AE1401" s="3"/>
      <c r="AK1401" s="5"/>
    </row>
    <row r="1402" spans="2:37" x14ac:dyDescent="0.25">
      <c r="B1402" s="1"/>
      <c r="E1402" s="2"/>
      <c r="H1402" s="3"/>
      <c r="I1402" s="3"/>
      <c r="K1402" s="3"/>
      <c r="L1402" s="3"/>
      <c r="X1402" s="4"/>
      <c r="AA1402" s="3"/>
      <c r="AD1402" s="3"/>
      <c r="AE1402" s="3"/>
      <c r="AK1402" s="5"/>
    </row>
    <row r="1403" spans="2:37" x14ac:dyDescent="0.25">
      <c r="B1403" s="1"/>
      <c r="E1403" s="2"/>
      <c r="H1403" s="3"/>
      <c r="I1403" s="3"/>
      <c r="K1403" s="3"/>
      <c r="L1403" s="3"/>
      <c r="X1403" s="4"/>
      <c r="Z1403" s="3"/>
      <c r="AA1403" s="3"/>
      <c r="AD1403" s="3"/>
      <c r="AE1403" s="3"/>
      <c r="AK1403" s="5"/>
    </row>
    <row r="1404" spans="2:37" x14ac:dyDescent="0.25">
      <c r="B1404" s="1"/>
      <c r="E1404" s="2"/>
      <c r="H1404" s="3"/>
      <c r="I1404" s="3"/>
      <c r="K1404" s="3"/>
      <c r="L1404" s="3"/>
      <c r="X1404" s="4"/>
      <c r="Z1404" s="3"/>
      <c r="AD1404" s="3"/>
      <c r="AE1404" s="3"/>
      <c r="AK1404" s="5"/>
    </row>
    <row r="1405" spans="2:37" x14ac:dyDescent="0.25">
      <c r="B1405" s="1"/>
      <c r="E1405" s="2"/>
      <c r="H1405" s="3"/>
      <c r="I1405" s="3"/>
      <c r="K1405" s="3"/>
      <c r="L1405" s="3"/>
      <c r="X1405" s="4"/>
      <c r="Z1405" s="3"/>
      <c r="AA1405" s="3"/>
      <c r="AE1405" s="3"/>
      <c r="AK1405" s="5"/>
    </row>
    <row r="1406" spans="2:37" x14ac:dyDescent="0.25">
      <c r="B1406" s="1"/>
      <c r="E1406" s="2"/>
      <c r="G1406" s="3"/>
      <c r="H1406" s="3"/>
      <c r="I1406" s="3"/>
      <c r="K1406" s="3"/>
      <c r="L1406" s="3"/>
      <c r="X1406" s="4"/>
      <c r="Z1406" s="3"/>
      <c r="AE1406" s="3"/>
      <c r="AK1406" s="5"/>
    </row>
    <row r="1407" spans="2:37" x14ac:dyDescent="0.25">
      <c r="B1407" s="1"/>
      <c r="E1407" s="2"/>
      <c r="G1407" s="3"/>
      <c r="H1407" s="3"/>
      <c r="I1407" s="3"/>
      <c r="K1407" s="3"/>
      <c r="L1407" s="3"/>
      <c r="X1407" s="4"/>
      <c r="Z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L1408" s="3"/>
      <c r="X1408" s="4"/>
      <c r="Z1408" s="3"/>
      <c r="AB1408" s="3"/>
      <c r="AE1408" s="3"/>
      <c r="AK1408" s="5"/>
    </row>
    <row r="1409" spans="2:37" x14ac:dyDescent="0.25">
      <c r="B1409" s="1"/>
      <c r="E1409" s="2"/>
      <c r="H1409" s="3"/>
      <c r="I1409" s="3"/>
      <c r="K1409" s="3"/>
      <c r="L1409" s="3"/>
      <c r="X1409" s="4"/>
      <c r="Z1409" s="3"/>
      <c r="AB1409" s="3"/>
      <c r="AE1409" s="3"/>
      <c r="AK1409" s="5"/>
    </row>
    <row r="1410" spans="2:37" x14ac:dyDescent="0.25">
      <c r="B1410" s="3"/>
      <c r="E1410" s="2"/>
      <c r="G1410" s="3"/>
      <c r="H1410" s="3"/>
      <c r="I1410" s="3"/>
      <c r="K1410" s="3"/>
      <c r="L1410" s="3"/>
      <c r="X1410" s="4"/>
      <c r="Z1410" s="3"/>
      <c r="AE1410" s="3"/>
      <c r="AK1410" s="5"/>
    </row>
    <row r="1411" spans="2:37" x14ac:dyDescent="0.25">
      <c r="B1411" s="1"/>
      <c r="E1411" s="2"/>
      <c r="H1411" s="3"/>
      <c r="I1411" s="3"/>
      <c r="K1411" s="3"/>
      <c r="L1411" s="3"/>
      <c r="X1411" s="4"/>
      <c r="Z1411" s="3"/>
      <c r="AE1411" s="3"/>
      <c r="AK1411" s="5"/>
    </row>
    <row r="1412" spans="2:37" x14ac:dyDescent="0.25">
      <c r="B1412" s="1"/>
      <c r="E1412" s="2"/>
      <c r="H1412" s="3"/>
      <c r="I1412" s="3"/>
      <c r="K1412" s="3"/>
      <c r="L1412" s="3"/>
      <c r="X1412" s="4"/>
      <c r="Z1412" s="3"/>
      <c r="AB1412" s="3"/>
      <c r="AE1412" s="3"/>
      <c r="AK1412" s="5"/>
    </row>
    <row r="1413" spans="2:37" x14ac:dyDescent="0.25">
      <c r="B1413" s="1"/>
      <c r="E1413" s="2"/>
      <c r="H1413" s="3"/>
      <c r="I1413" s="3"/>
      <c r="K1413" s="3"/>
      <c r="L1413" s="3"/>
      <c r="X1413" s="4"/>
      <c r="Z1413" s="3"/>
      <c r="AE1413" s="3"/>
      <c r="AK1413" s="5"/>
    </row>
    <row r="1414" spans="2:37" x14ac:dyDescent="0.25">
      <c r="B1414" s="1"/>
      <c r="E1414" s="2"/>
      <c r="G1414" s="3"/>
      <c r="H1414" s="3"/>
      <c r="I1414" s="3"/>
      <c r="K1414" s="3"/>
      <c r="L1414" s="3"/>
      <c r="X1414" s="4"/>
      <c r="Z1414" s="3"/>
      <c r="AE1414" s="3"/>
      <c r="AK1414" s="5"/>
    </row>
    <row r="1415" spans="2:37" x14ac:dyDescent="0.25">
      <c r="B1415" s="1"/>
      <c r="E1415" s="2"/>
      <c r="H1415" s="3"/>
      <c r="I1415" s="3"/>
      <c r="K1415" s="3"/>
      <c r="L1415" s="3"/>
      <c r="X1415" s="4"/>
      <c r="Z1415" s="3"/>
      <c r="AE1415" s="3"/>
      <c r="AK1415" s="5"/>
    </row>
    <row r="1416" spans="2:37" x14ac:dyDescent="0.25">
      <c r="B1416" s="1"/>
      <c r="E1416" s="2"/>
      <c r="H1416" s="3"/>
      <c r="I1416" s="3"/>
      <c r="K1416" s="3"/>
      <c r="L1416" s="3"/>
      <c r="X1416" s="4"/>
      <c r="Z1416" s="3"/>
      <c r="AE1416" s="3"/>
      <c r="AK1416" s="5"/>
    </row>
    <row r="1417" spans="2:37" x14ac:dyDescent="0.25">
      <c r="B1417" s="1"/>
      <c r="E1417" s="2"/>
      <c r="H1417" s="3"/>
      <c r="I1417" s="3"/>
      <c r="K1417" s="3"/>
      <c r="L1417" s="3"/>
      <c r="X1417" s="4"/>
      <c r="Z1417" s="3"/>
      <c r="AE1417" s="3"/>
      <c r="AK1417" s="5"/>
    </row>
    <row r="1418" spans="2:37" x14ac:dyDescent="0.25">
      <c r="B1418" s="1"/>
      <c r="E1418" s="2"/>
      <c r="H1418" s="3"/>
      <c r="I1418" s="3"/>
      <c r="K1418" s="3"/>
      <c r="L1418" s="3"/>
      <c r="X1418" s="4"/>
      <c r="Z1418" s="3"/>
      <c r="AE1418" s="3"/>
      <c r="AK1418" s="5"/>
    </row>
    <row r="1419" spans="2:37" x14ac:dyDescent="0.25">
      <c r="B1419" s="1"/>
      <c r="E1419" s="2"/>
      <c r="G1419" s="3"/>
      <c r="H1419" s="3"/>
      <c r="I1419" s="3"/>
      <c r="K1419" s="3"/>
      <c r="L1419" s="3"/>
      <c r="X1419" s="4"/>
      <c r="Z1419" s="3"/>
      <c r="AB1419" s="3"/>
      <c r="AE1419" s="3"/>
      <c r="AK1419" s="5"/>
    </row>
    <row r="1420" spans="2:37" x14ac:dyDescent="0.25">
      <c r="B1420" s="1"/>
      <c r="E1420" s="2"/>
      <c r="H1420" s="3"/>
      <c r="I1420" s="3"/>
      <c r="K1420" s="3"/>
      <c r="L1420" s="3"/>
      <c r="X1420" s="4"/>
      <c r="Z1420" s="3"/>
      <c r="AB1420" s="3"/>
      <c r="AE1420" s="3"/>
      <c r="AK1420" s="5"/>
    </row>
    <row r="1421" spans="2:37" x14ac:dyDescent="0.25">
      <c r="B1421" s="3"/>
      <c r="E1421" s="2"/>
      <c r="G1421" s="3"/>
      <c r="H1421" s="3"/>
      <c r="I1421" s="3"/>
      <c r="K1421" s="3"/>
      <c r="L1421" s="3"/>
      <c r="X1421" s="4"/>
      <c r="Z1421" s="3"/>
      <c r="AB1421" s="3"/>
      <c r="AE1421" s="3"/>
      <c r="AK1421" s="5"/>
    </row>
    <row r="1422" spans="2:37" x14ac:dyDescent="0.25">
      <c r="B1422" s="1"/>
      <c r="E1422" s="2"/>
      <c r="H1422" s="3"/>
      <c r="I1422" s="3"/>
      <c r="K1422" s="3"/>
      <c r="X1422" s="4"/>
    </row>
    <row r="1423" spans="2:37" x14ac:dyDescent="0.25">
      <c r="B1423" s="1"/>
      <c r="E1423" s="2"/>
      <c r="H1423" s="3"/>
      <c r="I1423" s="3"/>
      <c r="K1423" s="3"/>
      <c r="L1423" s="3"/>
      <c r="X1423" s="4"/>
    </row>
    <row r="1424" spans="2:37" x14ac:dyDescent="0.25">
      <c r="B1424" s="1"/>
      <c r="E1424" s="2"/>
      <c r="G1424" s="3"/>
      <c r="H1424" s="3"/>
      <c r="I1424" s="3"/>
      <c r="K1424" s="3"/>
      <c r="L1424" s="3"/>
      <c r="X1424" s="4"/>
      <c r="Z1424" s="3"/>
      <c r="AB1424" s="3"/>
      <c r="AE1424" s="3"/>
      <c r="AK1424" s="5"/>
    </row>
    <row r="1425" spans="2:37" x14ac:dyDescent="0.25">
      <c r="B1425" s="1"/>
      <c r="E1425" s="2"/>
      <c r="H1425" s="3"/>
      <c r="I1425" s="3"/>
      <c r="K1425" s="3"/>
      <c r="L1425" s="3"/>
      <c r="X1425" s="4"/>
    </row>
    <row r="1426" spans="2:37" x14ac:dyDescent="0.25">
      <c r="B1426" s="1"/>
      <c r="E1426" s="2"/>
      <c r="G1426" s="3"/>
      <c r="H1426" s="3"/>
      <c r="I1426" s="3"/>
      <c r="K1426" s="3"/>
      <c r="X1426" s="4"/>
    </row>
    <row r="1427" spans="2:37" x14ac:dyDescent="0.25">
      <c r="B1427" s="1"/>
      <c r="E1427" s="2"/>
      <c r="H1427" s="3"/>
      <c r="I1427" s="3"/>
      <c r="K1427" s="3"/>
      <c r="L1427" s="3"/>
      <c r="X1427" s="4"/>
      <c r="AB1427" s="3"/>
      <c r="AE1427" s="3"/>
      <c r="AK1427" s="5"/>
    </row>
    <row r="1428" spans="2:37" x14ac:dyDescent="0.25">
      <c r="B1428" s="1"/>
      <c r="E1428" s="2"/>
      <c r="H1428" s="3"/>
      <c r="I1428" s="3"/>
      <c r="K1428" s="3"/>
      <c r="L1428" s="3"/>
      <c r="X1428" s="4"/>
      <c r="AB1428" s="3"/>
      <c r="AE1428" s="3"/>
      <c r="AK1428" s="5"/>
    </row>
    <row r="1429" spans="2:37" x14ac:dyDescent="0.25">
      <c r="B1429" s="3"/>
      <c r="E1429" s="2"/>
      <c r="G1429" s="3"/>
      <c r="H1429" s="3"/>
      <c r="I1429" s="3"/>
      <c r="K1429" s="3"/>
      <c r="L1429" s="3"/>
      <c r="X1429" s="4"/>
      <c r="AB1429" s="3"/>
      <c r="AE1429" s="3"/>
      <c r="AK1429" s="5"/>
    </row>
    <row r="1430" spans="2:37" x14ac:dyDescent="0.25">
      <c r="B1430" s="1"/>
      <c r="E1430" s="2"/>
      <c r="H1430" s="3"/>
      <c r="I1430" s="3"/>
      <c r="K1430" s="3"/>
      <c r="L1430" s="3"/>
      <c r="X1430" s="4"/>
      <c r="AB1430" s="3"/>
      <c r="AE1430" s="3"/>
      <c r="AK1430" s="5"/>
    </row>
    <row r="1431" spans="2:37" x14ac:dyDescent="0.25">
      <c r="B1431" s="3"/>
      <c r="E1431" s="2"/>
      <c r="G1431" s="3"/>
      <c r="H1431" s="3"/>
      <c r="I1431" s="3"/>
      <c r="K1431" s="3"/>
      <c r="L1431" s="3"/>
      <c r="X1431" s="4"/>
      <c r="AA1431" s="3"/>
      <c r="AD1431" s="3"/>
      <c r="AE1431" s="3"/>
      <c r="AK1431" s="5"/>
    </row>
    <row r="1432" spans="2:37" x14ac:dyDescent="0.25">
      <c r="B1432" s="1"/>
      <c r="E1432" s="2"/>
      <c r="H1432" s="3"/>
      <c r="I1432" s="3"/>
      <c r="K1432" s="3"/>
      <c r="L1432" s="3"/>
      <c r="X1432" s="4"/>
      <c r="Z1432" s="3"/>
      <c r="AB1432" s="3"/>
      <c r="AE1432" s="3"/>
      <c r="AK1432" s="5"/>
    </row>
    <row r="1433" spans="2:37" x14ac:dyDescent="0.25">
      <c r="B1433" s="1"/>
      <c r="E1433" s="2"/>
      <c r="H1433" s="3"/>
      <c r="I1433" s="3"/>
      <c r="K1433" s="3"/>
      <c r="L1433" s="3"/>
      <c r="X1433" s="4"/>
      <c r="AB1433" s="3"/>
      <c r="AE1433" s="3"/>
      <c r="AK1433" s="5"/>
    </row>
    <row r="1434" spans="2:37" x14ac:dyDescent="0.25">
      <c r="B1434" s="1"/>
      <c r="E1434" s="2"/>
      <c r="H1434" s="3"/>
      <c r="I1434" s="3"/>
      <c r="K1434" s="3"/>
      <c r="L1434" s="3"/>
      <c r="X1434" s="4"/>
      <c r="AB1434" s="3"/>
      <c r="AD1434" s="3"/>
      <c r="AE1434" s="3"/>
      <c r="AK1434" s="5"/>
    </row>
    <row r="1435" spans="2:37" x14ac:dyDescent="0.25">
      <c r="B1435" s="1"/>
      <c r="D1435" s="3"/>
      <c r="E1435" s="2"/>
      <c r="H1435" s="3"/>
      <c r="I1435" s="3"/>
      <c r="K1435" s="3"/>
      <c r="L1435" s="3"/>
      <c r="X1435" s="4"/>
      <c r="AB1435" s="3"/>
      <c r="AD1435" s="3"/>
      <c r="AE1435" s="3"/>
      <c r="AK1435" s="5"/>
    </row>
    <row r="1436" spans="2:37" x14ac:dyDescent="0.25">
      <c r="B1436" s="1"/>
      <c r="E1436" s="2"/>
      <c r="F1436" s="3"/>
      <c r="G1436" s="3"/>
      <c r="H1436" s="3"/>
      <c r="I1436" s="3"/>
      <c r="K1436" s="3"/>
      <c r="L1436" s="3"/>
      <c r="X1436" s="4"/>
      <c r="AB1436" s="3"/>
      <c r="AD1436" s="3"/>
      <c r="AE1436" s="3"/>
      <c r="AK1436" s="5"/>
    </row>
    <row r="1437" spans="2:37" x14ac:dyDescent="0.25">
      <c r="B1437" s="1"/>
      <c r="D1437" s="3"/>
      <c r="E1437" s="2"/>
      <c r="G1437" s="3"/>
      <c r="H1437" s="3"/>
      <c r="I1437" s="3"/>
      <c r="K1437" s="3"/>
      <c r="L1437" s="3"/>
      <c r="X1437" s="4"/>
      <c r="Z1437" s="3"/>
      <c r="AA1437" s="3"/>
      <c r="AE1437" s="3"/>
      <c r="AK1437" s="5"/>
    </row>
    <row r="1438" spans="2:37" x14ac:dyDescent="0.25">
      <c r="B1438" s="1"/>
      <c r="E1438" s="2"/>
      <c r="G1438" s="3"/>
      <c r="H1438" s="3"/>
      <c r="I1438" s="3"/>
      <c r="K1438" s="3"/>
      <c r="L1438" s="3"/>
      <c r="X1438" s="4"/>
      <c r="AB1438" s="3"/>
      <c r="AE1438" s="3"/>
      <c r="AK1438" s="5"/>
    </row>
    <row r="1439" spans="2:37" x14ac:dyDescent="0.25">
      <c r="B1439" s="1"/>
      <c r="E1439" s="2"/>
      <c r="H1439" s="3"/>
      <c r="I1439" s="3"/>
      <c r="K1439" s="3"/>
      <c r="L1439" s="3"/>
      <c r="X1439" s="4"/>
    </row>
    <row r="1440" spans="2:37" x14ac:dyDescent="0.25">
      <c r="B1440" s="1"/>
      <c r="D1440" s="3"/>
      <c r="E1440" s="2"/>
      <c r="F1440" s="3"/>
      <c r="H1440" s="3"/>
      <c r="I1440" s="3"/>
      <c r="K1440" s="3"/>
      <c r="L1440" s="3"/>
      <c r="X1440" s="4"/>
      <c r="Z1440" s="3"/>
      <c r="AE1440" s="3"/>
      <c r="AK1440" s="5"/>
    </row>
    <row r="1441" spans="2:37" x14ac:dyDescent="0.25">
      <c r="B1441" s="1"/>
      <c r="E1441" s="2"/>
      <c r="H1441" s="3"/>
      <c r="I1441" s="3"/>
      <c r="K1441" s="3"/>
      <c r="L1441" s="3"/>
      <c r="X1441" s="4"/>
      <c r="AB1441" s="3"/>
      <c r="AE1441" s="3"/>
      <c r="AK1441" s="5"/>
    </row>
    <row r="1442" spans="2:37" x14ac:dyDescent="0.25">
      <c r="B1442" s="1"/>
      <c r="E1442" s="2"/>
      <c r="G1442" s="3"/>
      <c r="H1442" s="3"/>
      <c r="I1442" s="3"/>
      <c r="K1442" s="3"/>
      <c r="L1442" s="3"/>
      <c r="X1442" s="4"/>
      <c r="AA1442" s="3"/>
      <c r="AE1442" s="3"/>
      <c r="AK1442" s="5"/>
    </row>
    <row r="1443" spans="2:37" x14ac:dyDescent="0.25">
      <c r="B1443" s="1"/>
      <c r="E1443" s="2"/>
      <c r="H1443" s="3"/>
      <c r="I1443" s="3"/>
      <c r="K1443" s="3"/>
      <c r="L1443" s="3"/>
      <c r="X1443" s="4"/>
      <c r="Z1443" s="3"/>
      <c r="AB1443" s="3"/>
      <c r="AE1443" s="3"/>
      <c r="AK1443" s="5"/>
    </row>
    <row r="1444" spans="2:37" x14ac:dyDescent="0.25">
      <c r="B1444" s="1"/>
      <c r="E1444" s="2"/>
      <c r="G1444" s="3"/>
      <c r="H1444" s="3"/>
      <c r="I1444" s="3"/>
      <c r="K1444" s="3"/>
      <c r="L1444" s="3"/>
      <c r="X1444" s="4"/>
      <c r="Z1444" s="3"/>
      <c r="AB1444" s="3"/>
      <c r="AE1444" s="3"/>
      <c r="AK1444" s="5"/>
    </row>
    <row r="1445" spans="2:37" x14ac:dyDescent="0.25">
      <c r="B1445" s="1"/>
      <c r="D1445" s="3"/>
      <c r="E1445" s="2"/>
      <c r="G1445" s="3"/>
      <c r="H1445" s="3"/>
      <c r="I1445" s="3"/>
      <c r="K1445" s="3"/>
      <c r="L1445" s="3"/>
      <c r="X1445" s="4"/>
      <c r="Z1445" s="3"/>
      <c r="AD1445" s="3"/>
      <c r="AE1445" s="3"/>
      <c r="AK1445" s="5"/>
    </row>
    <row r="1446" spans="2:37" x14ac:dyDescent="0.25">
      <c r="B1446" s="1"/>
      <c r="E1446" s="2"/>
      <c r="G1446" s="3"/>
      <c r="H1446" s="3"/>
      <c r="I1446" s="3"/>
      <c r="K1446" s="3"/>
      <c r="X1446" s="4"/>
      <c r="AK1446" s="5"/>
    </row>
    <row r="1447" spans="2:37" x14ac:dyDescent="0.25">
      <c r="B1447" s="1"/>
      <c r="E1447" s="2"/>
      <c r="H1447" s="3"/>
      <c r="I1447" s="3"/>
      <c r="K1447" s="3"/>
      <c r="L1447" s="3"/>
      <c r="X1447" s="4"/>
    </row>
    <row r="1448" spans="2:37" x14ac:dyDescent="0.25">
      <c r="B1448" s="1"/>
      <c r="E1448" s="2"/>
      <c r="G1448" s="3"/>
      <c r="H1448" s="3"/>
      <c r="I1448" s="3"/>
      <c r="K1448" s="3"/>
      <c r="L1448" s="3"/>
      <c r="X1448" s="4"/>
      <c r="Z1448" s="3"/>
      <c r="AE1448" s="3"/>
      <c r="AK1448" s="5"/>
    </row>
    <row r="1449" spans="2:37" x14ac:dyDescent="0.25">
      <c r="B1449" s="1"/>
      <c r="E1449" s="2"/>
      <c r="F1449" s="3"/>
      <c r="G1449" s="3"/>
      <c r="H1449" s="3"/>
      <c r="I1449" s="3"/>
      <c r="K1449" s="3"/>
      <c r="L1449" s="3"/>
      <c r="X1449" s="4"/>
      <c r="AB1449" s="3"/>
      <c r="AE1449" s="3"/>
      <c r="AK1449" s="5"/>
    </row>
    <row r="1450" spans="2:37" x14ac:dyDescent="0.25">
      <c r="B1450" s="1"/>
      <c r="D1450" s="3"/>
      <c r="E1450" s="2"/>
      <c r="G1450" s="3"/>
      <c r="H1450" s="3"/>
      <c r="I1450" s="3"/>
      <c r="K1450" s="3"/>
      <c r="L1450" s="3"/>
      <c r="X1450" s="4"/>
    </row>
    <row r="1451" spans="2:37" x14ac:dyDescent="0.25">
      <c r="B1451" s="3"/>
      <c r="E1451" s="2"/>
      <c r="F1451" s="3"/>
      <c r="G1451" s="3"/>
      <c r="H1451" s="3"/>
      <c r="I1451" s="3"/>
      <c r="K1451" s="3"/>
      <c r="L1451" s="3"/>
      <c r="X1451" s="4"/>
      <c r="AE1451" s="3"/>
      <c r="AK1451" s="5"/>
    </row>
    <row r="1452" spans="2:37" x14ac:dyDescent="0.25">
      <c r="B1452" s="1"/>
      <c r="D1452" s="3"/>
      <c r="E1452" s="2"/>
      <c r="G1452" s="3"/>
      <c r="H1452" s="3"/>
      <c r="I1452" s="3"/>
      <c r="K1452" s="3"/>
      <c r="L1452" s="3"/>
      <c r="X1452" s="4"/>
      <c r="AD1452" s="3"/>
      <c r="AE1452" s="3"/>
      <c r="AK1452" s="5"/>
    </row>
    <row r="1453" spans="2:37" x14ac:dyDescent="0.25">
      <c r="B1453" s="3"/>
      <c r="E1453" s="2"/>
      <c r="G1453" s="3"/>
      <c r="H1453" s="3"/>
      <c r="I1453" s="3"/>
      <c r="K1453" s="3"/>
      <c r="L1453" s="3"/>
      <c r="X1453" s="4"/>
      <c r="Z1453" s="3"/>
      <c r="AB1453" s="3"/>
      <c r="AD1453" s="3"/>
      <c r="AE1453" s="3"/>
      <c r="AK1453" s="5"/>
    </row>
    <row r="1454" spans="2:37" x14ac:dyDescent="0.25">
      <c r="B1454" s="1"/>
      <c r="E1454" s="2"/>
      <c r="H1454" s="3"/>
      <c r="I1454" s="3"/>
      <c r="K1454" s="3"/>
      <c r="L1454" s="3"/>
      <c r="X1454" s="4"/>
      <c r="AD1454" s="3"/>
      <c r="AE1454" s="3"/>
      <c r="AK1454" s="5"/>
    </row>
    <row r="1455" spans="2:37" x14ac:dyDescent="0.25">
      <c r="B1455" s="1"/>
      <c r="D1455" s="3"/>
      <c r="E1455" s="2"/>
      <c r="G1455" s="3"/>
      <c r="H1455" s="3"/>
      <c r="I1455" s="3"/>
      <c r="K1455" s="3"/>
      <c r="L1455" s="3"/>
      <c r="X1455" s="4"/>
      <c r="AD1455" s="3"/>
      <c r="AE1455" s="3"/>
      <c r="AK1455" s="5"/>
    </row>
    <row r="1456" spans="2:37" x14ac:dyDescent="0.25">
      <c r="B1456" s="1"/>
      <c r="E1456" s="2"/>
      <c r="H1456" s="3"/>
      <c r="I1456" s="3"/>
      <c r="K1456" s="3"/>
      <c r="L1456" s="3"/>
      <c r="X1456" s="4"/>
      <c r="AD1456" s="3"/>
      <c r="AE1456" s="3"/>
      <c r="AK1456" s="5"/>
    </row>
    <row r="1457" spans="2:37" x14ac:dyDescent="0.25">
      <c r="B1457" s="1"/>
      <c r="D1457" s="3"/>
      <c r="E1457" s="2"/>
      <c r="G1457" s="3"/>
      <c r="H1457" s="3"/>
      <c r="I1457" s="3"/>
      <c r="K1457" s="3"/>
      <c r="L1457" s="3"/>
      <c r="X1457" s="4"/>
      <c r="AD1457" s="3"/>
      <c r="AE1457" s="3"/>
      <c r="AK1457" s="5"/>
    </row>
    <row r="1458" spans="2:37" x14ac:dyDescent="0.25">
      <c r="B1458" s="1"/>
      <c r="E1458" s="2"/>
      <c r="G1458" s="3"/>
      <c r="H1458" s="3"/>
      <c r="I1458" s="3"/>
      <c r="K1458" s="3"/>
      <c r="L1458" s="3"/>
      <c r="X1458" s="4"/>
      <c r="Z1458" s="3"/>
      <c r="AB1458" s="3"/>
      <c r="AD1458" s="3"/>
      <c r="AE1458" s="3"/>
      <c r="AK1458" s="5"/>
    </row>
    <row r="1459" spans="2:37" x14ac:dyDescent="0.25">
      <c r="B1459" s="1"/>
      <c r="E1459" s="2"/>
      <c r="G1459" s="3"/>
      <c r="H1459" s="3"/>
      <c r="I1459" s="3"/>
      <c r="K1459" s="3"/>
      <c r="L1459" s="3"/>
      <c r="X1459" s="4"/>
      <c r="AD1459" s="3"/>
      <c r="AE1459" s="3"/>
      <c r="AK1459" s="5"/>
    </row>
    <row r="1460" spans="2:37" x14ac:dyDescent="0.25">
      <c r="B1460" s="1"/>
      <c r="E1460" s="2"/>
      <c r="H1460" s="3"/>
      <c r="I1460" s="3"/>
      <c r="K1460" s="3"/>
      <c r="L1460" s="3"/>
      <c r="X1460" s="4"/>
      <c r="AD1460" s="3"/>
      <c r="AE1460" s="3"/>
      <c r="AK1460" s="5"/>
    </row>
    <row r="1461" spans="2:37" x14ac:dyDescent="0.25">
      <c r="B1461" s="1"/>
      <c r="E1461" s="2"/>
      <c r="G1461" s="3"/>
      <c r="H1461" s="3"/>
      <c r="I1461" s="3"/>
      <c r="K1461" s="3"/>
      <c r="L1461" s="3"/>
      <c r="X1461" s="4"/>
      <c r="AD1461" s="3"/>
      <c r="AE1461" s="3"/>
      <c r="AK1461" s="5"/>
    </row>
    <row r="1462" spans="2:37" x14ac:dyDescent="0.25">
      <c r="B1462" s="1"/>
      <c r="E1462" s="2"/>
      <c r="G1462" s="3"/>
      <c r="H1462" s="3"/>
      <c r="I1462" s="3"/>
      <c r="K1462" s="3"/>
      <c r="L1462" s="3"/>
      <c r="X1462" s="4"/>
      <c r="Z1462" s="3"/>
      <c r="AD1462" s="3"/>
      <c r="AE1462" s="3"/>
      <c r="AK1462" s="5"/>
    </row>
    <row r="1463" spans="2:37" x14ac:dyDescent="0.25">
      <c r="B1463" s="1"/>
      <c r="E1463" s="2"/>
      <c r="H1463" s="3"/>
      <c r="I1463" s="3"/>
      <c r="K1463" s="3"/>
      <c r="L1463" s="3"/>
      <c r="X1463" s="4"/>
      <c r="AD1463" s="3"/>
      <c r="AE1463" s="3"/>
      <c r="AK1463" s="5"/>
    </row>
    <row r="1464" spans="2:37" x14ac:dyDescent="0.25">
      <c r="B1464" s="1"/>
      <c r="E1464" s="2"/>
      <c r="G1464" s="3"/>
      <c r="H1464" s="3"/>
      <c r="I1464" s="3"/>
      <c r="K1464" s="3"/>
      <c r="L1464" s="3"/>
      <c r="X1464" s="4"/>
      <c r="Z1464" s="3"/>
      <c r="AD1464" s="3"/>
      <c r="AE1464" s="3"/>
      <c r="AK1464" s="5"/>
    </row>
    <row r="1465" spans="2:37" x14ac:dyDescent="0.25">
      <c r="B1465" s="1"/>
      <c r="D1465" s="3"/>
      <c r="E1465" s="2"/>
      <c r="G1465" s="3"/>
      <c r="H1465" s="3"/>
      <c r="I1465" s="3"/>
      <c r="K1465" s="3"/>
      <c r="L1465" s="3"/>
      <c r="X1465" s="4"/>
      <c r="AK1465" s="5"/>
    </row>
    <row r="1466" spans="2:37" x14ac:dyDescent="0.25">
      <c r="B1466" s="1"/>
      <c r="E1466" s="2"/>
      <c r="G1466" s="3"/>
      <c r="H1466" s="3"/>
      <c r="I1466" s="3"/>
      <c r="K1466" s="3"/>
      <c r="L1466" s="3"/>
      <c r="X1466" s="4"/>
      <c r="AE1466" s="3"/>
      <c r="AK1466" s="5"/>
    </row>
    <row r="1467" spans="2:37" x14ac:dyDescent="0.25">
      <c r="B1467" s="1"/>
      <c r="E1467" s="2"/>
      <c r="G1467" s="3"/>
      <c r="H1467" s="3"/>
      <c r="I1467" s="3"/>
      <c r="K1467" s="3"/>
      <c r="L1467" s="3"/>
      <c r="X1467" s="4"/>
      <c r="Z1467" s="3"/>
      <c r="AK1467" s="5"/>
    </row>
    <row r="1468" spans="2:37" x14ac:dyDescent="0.25">
      <c r="B1468" s="1"/>
      <c r="E1468" s="2"/>
      <c r="H1468" s="3"/>
      <c r="I1468" s="3"/>
      <c r="K1468" s="3"/>
      <c r="L1468" s="3"/>
      <c r="X1468" s="4"/>
      <c r="AD1468" s="3"/>
      <c r="AE1468" s="3"/>
      <c r="AK1468" s="5"/>
    </row>
    <row r="1469" spans="2:37" x14ac:dyDescent="0.25">
      <c r="B1469" s="1"/>
      <c r="E1469" s="2"/>
      <c r="G1469" s="3"/>
      <c r="H1469" s="3"/>
      <c r="I1469" s="3"/>
      <c r="K1469" s="3"/>
      <c r="L1469" s="3"/>
      <c r="X1469" s="4"/>
    </row>
    <row r="1470" spans="2:37" x14ac:dyDescent="0.25">
      <c r="B1470" s="1"/>
      <c r="D1470" s="3"/>
      <c r="E1470" s="2"/>
      <c r="G1470" s="3"/>
      <c r="X1470" s="4"/>
      <c r="AE1470" s="3"/>
      <c r="AK1470" s="5"/>
    </row>
    <row r="1471" spans="2:37" x14ac:dyDescent="0.25">
      <c r="B1471" s="1"/>
      <c r="E1471" s="2"/>
      <c r="H1471" s="3"/>
      <c r="I1471" s="3"/>
      <c r="K1471" s="3"/>
      <c r="L1471" s="3"/>
      <c r="X1471" s="4"/>
      <c r="AK1471" s="5"/>
    </row>
    <row r="1472" spans="2:37" x14ac:dyDescent="0.25">
      <c r="B1472" s="3"/>
      <c r="D1472" s="3"/>
      <c r="E1472" s="2"/>
      <c r="G1472" s="3"/>
      <c r="H1472" s="3"/>
      <c r="I1472" s="3"/>
      <c r="K1472" s="3"/>
      <c r="X1472" s="4"/>
      <c r="AK1472" s="5"/>
    </row>
    <row r="1473" spans="2:37" x14ac:dyDescent="0.25">
      <c r="B1473" s="1"/>
      <c r="E1473" s="2"/>
      <c r="H1473" s="3"/>
      <c r="I1473" s="3"/>
      <c r="K1473" s="3"/>
      <c r="L1473" s="3"/>
      <c r="X1473" s="4"/>
      <c r="AD1473" s="3"/>
      <c r="AE1473" s="3"/>
      <c r="AK1473" s="5"/>
    </row>
    <row r="1474" spans="2:37" x14ac:dyDescent="0.25">
      <c r="B1474" s="3"/>
      <c r="E1474" s="2"/>
      <c r="G1474" s="3"/>
      <c r="H1474" s="3"/>
      <c r="I1474" s="3"/>
      <c r="K1474" s="3"/>
      <c r="L1474" s="3"/>
      <c r="X1474" s="4"/>
      <c r="Z1474" s="3"/>
      <c r="AE1474" s="3"/>
      <c r="AK1474" s="5"/>
    </row>
    <row r="1475" spans="2:37" x14ac:dyDescent="0.25">
      <c r="B1475" s="1"/>
      <c r="E1475" s="2"/>
      <c r="H1475" s="3"/>
      <c r="I1475" s="3"/>
      <c r="K1475" s="3"/>
      <c r="L1475" s="3"/>
      <c r="X1475" s="4"/>
      <c r="Z1475" s="3"/>
      <c r="AE1475" s="3"/>
      <c r="AK1475" s="5"/>
    </row>
    <row r="1476" spans="2:37" x14ac:dyDescent="0.25">
      <c r="B1476" s="1"/>
      <c r="D1476" s="3"/>
      <c r="E1476" s="2"/>
      <c r="G1476" s="3"/>
      <c r="H1476" s="3"/>
      <c r="I1476" s="3"/>
      <c r="K1476" s="3"/>
      <c r="L1476" s="3"/>
      <c r="X1476" s="4"/>
      <c r="AB1476" s="3"/>
      <c r="AE1476" s="3"/>
      <c r="AK1476" s="5"/>
    </row>
    <row r="1477" spans="2:37" x14ac:dyDescent="0.25">
      <c r="B1477" s="1"/>
      <c r="D1477" s="3"/>
      <c r="E1477" s="2"/>
      <c r="G1477" s="3"/>
      <c r="H1477" s="3"/>
      <c r="I1477" s="3"/>
      <c r="K1477" s="3"/>
      <c r="L1477" s="3"/>
      <c r="X1477" s="4"/>
      <c r="AK1477" s="5"/>
    </row>
    <row r="1478" spans="2:37" x14ac:dyDescent="0.25">
      <c r="B1478" s="1"/>
      <c r="D1478" s="3"/>
      <c r="E1478" s="2"/>
      <c r="G1478" s="3"/>
      <c r="H1478" s="3"/>
      <c r="I1478" s="3"/>
      <c r="K1478" s="3"/>
      <c r="X1478" s="4"/>
      <c r="AE1478" s="3"/>
      <c r="AK1478" s="5"/>
    </row>
    <row r="1479" spans="2:37" x14ac:dyDescent="0.25">
      <c r="B1479" s="1"/>
      <c r="E1479" s="2"/>
      <c r="H1479" s="3"/>
      <c r="I1479" s="3"/>
      <c r="K1479" s="3"/>
      <c r="L1479" s="3"/>
      <c r="X1479" s="4"/>
      <c r="AE1479" s="3"/>
      <c r="AK1479" s="5"/>
    </row>
    <row r="1480" spans="2:37" x14ac:dyDescent="0.25">
      <c r="B1480" s="1"/>
      <c r="D1480" s="3"/>
      <c r="E1480" s="2"/>
      <c r="G1480" s="3"/>
      <c r="H1480" s="3"/>
      <c r="I1480" s="3"/>
      <c r="K1480" s="3"/>
      <c r="L1480" s="3"/>
      <c r="X1480" s="4"/>
      <c r="Z1480" s="3"/>
      <c r="AE1480" s="3"/>
      <c r="AK1480" s="5"/>
    </row>
    <row r="1481" spans="2:37" x14ac:dyDescent="0.25">
      <c r="B1481" s="1"/>
      <c r="D1481" s="3"/>
      <c r="E1481" s="2"/>
      <c r="G1481" s="3"/>
      <c r="H1481" s="3"/>
      <c r="I1481" s="3"/>
      <c r="K1481" s="3"/>
      <c r="L1481" s="3"/>
      <c r="X1481" s="4"/>
      <c r="Z1481" s="3"/>
      <c r="AE1481" s="3"/>
      <c r="AK1481" s="5"/>
    </row>
    <row r="1482" spans="2:37" x14ac:dyDescent="0.25">
      <c r="B1482" s="1"/>
      <c r="E1482" s="2"/>
      <c r="G1482" s="3"/>
      <c r="H1482" s="3"/>
      <c r="I1482" s="3"/>
      <c r="K1482" s="3"/>
      <c r="L1482" s="3"/>
      <c r="X1482" s="4"/>
      <c r="Z1482" s="3"/>
      <c r="AE1482" s="3"/>
      <c r="AK1482" s="5"/>
    </row>
    <row r="1483" spans="2:37" x14ac:dyDescent="0.25">
      <c r="B1483" s="1"/>
      <c r="D1483" s="3"/>
      <c r="E1483" s="2"/>
      <c r="G1483" s="3"/>
      <c r="H1483" s="3"/>
      <c r="I1483" s="3"/>
      <c r="K1483" s="3"/>
      <c r="L1483" s="3"/>
      <c r="X1483" s="4"/>
    </row>
    <row r="1484" spans="2:37" x14ac:dyDescent="0.25">
      <c r="B1484" s="1"/>
      <c r="E1484" s="2"/>
      <c r="G1484" s="3"/>
      <c r="H1484" s="3"/>
      <c r="I1484" s="3"/>
      <c r="K1484" s="3"/>
      <c r="L1484" s="3"/>
      <c r="X1484" s="4"/>
    </row>
    <row r="1485" spans="2:37" x14ac:dyDescent="0.25">
      <c r="B1485" s="1"/>
      <c r="D1485" s="3"/>
      <c r="E1485" s="2"/>
      <c r="G1485" s="3"/>
      <c r="H1485" s="3"/>
      <c r="I1485" s="3"/>
      <c r="K1485" s="3"/>
      <c r="L1485" s="3"/>
      <c r="X1485" s="4"/>
      <c r="AE1485" s="3"/>
      <c r="AK1485" s="5"/>
    </row>
    <row r="1486" spans="2:37" x14ac:dyDescent="0.25">
      <c r="B1486" s="1"/>
      <c r="E1486" s="2"/>
      <c r="G1486" s="3"/>
      <c r="H1486" s="3"/>
      <c r="I1486" s="3"/>
      <c r="K1486" s="3"/>
      <c r="L1486" s="3"/>
      <c r="X1486" s="4"/>
      <c r="Z1486" s="3"/>
      <c r="AE1486" s="3"/>
      <c r="AK1486" s="5"/>
    </row>
    <row r="1487" spans="2:37" x14ac:dyDescent="0.25">
      <c r="B1487" s="1"/>
      <c r="E1487" s="2"/>
      <c r="G1487" s="3"/>
      <c r="H1487" s="3"/>
      <c r="I1487" s="3"/>
      <c r="K1487" s="3"/>
      <c r="L1487" s="3"/>
      <c r="X1487" s="4"/>
      <c r="Z1487" s="3"/>
      <c r="AB1487" s="3"/>
      <c r="AE1487" s="3"/>
      <c r="AK1487" s="5"/>
    </row>
    <row r="1488" spans="2:37" x14ac:dyDescent="0.25">
      <c r="B1488" s="1"/>
      <c r="E1488" s="2"/>
      <c r="G1488" s="3"/>
      <c r="H1488" s="3"/>
      <c r="I1488" s="3"/>
      <c r="K1488" s="3"/>
      <c r="L1488" s="3"/>
      <c r="X1488" s="4"/>
      <c r="Z1488" s="3"/>
      <c r="AB1488" s="3"/>
      <c r="AE1488" s="3"/>
      <c r="AK1488" s="5"/>
    </row>
    <row r="1489" spans="2:37" x14ac:dyDescent="0.25">
      <c r="B1489" s="1"/>
      <c r="E1489" s="2"/>
      <c r="H1489" s="3"/>
      <c r="I1489" s="3"/>
      <c r="K1489" s="3"/>
      <c r="L1489" s="3"/>
      <c r="X1489" s="4"/>
      <c r="AK1489" s="5"/>
    </row>
    <row r="1490" spans="2:37" x14ac:dyDescent="0.25">
      <c r="B1490" s="1"/>
      <c r="E1490" s="2"/>
      <c r="G1490" s="3"/>
      <c r="H1490" s="3"/>
      <c r="I1490" s="3"/>
      <c r="K1490" s="3"/>
      <c r="X1490" s="4"/>
      <c r="AK1490" s="5"/>
    </row>
    <row r="1491" spans="2:37" x14ac:dyDescent="0.25">
      <c r="B1491" s="1"/>
      <c r="E1491" s="2"/>
      <c r="G1491" s="3"/>
      <c r="H1491" s="3"/>
      <c r="I1491" s="3"/>
      <c r="K1491" s="3"/>
      <c r="L1491" s="3"/>
      <c r="X1491" s="4"/>
      <c r="AE1491" s="3"/>
      <c r="AK1491" s="5"/>
    </row>
    <row r="1492" spans="2:37" x14ac:dyDescent="0.25">
      <c r="B1492" s="1"/>
      <c r="D1492" s="3"/>
      <c r="E1492" s="2"/>
      <c r="G1492" s="3"/>
      <c r="H1492" s="3"/>
      <c r="I1492" s="3"/>
      <c r="K1492" s="3"/>
      <c r="X1492" s="4"/>
      <c r="AE1492" s="3"/>
      <c r="AK1492" s="5"/>
    </row>
    <row r="1493" spans="2:37" x14ac:dyDescent="0.25">
      <c r="B1493" s="1"/>
      <c r="E1493" s="2"/>
      <c r="H1493" s="3"/>
      <c r="I1493" s="3"/>
      <c r="K1493" s="3"/>
      <c r="L1493" s="3"/>
      <c r="X1493" s="4"/>
      <c r="AE1493" s="3"/>
      <c r="AK1493" s="5"/>
    </row>
    <row r="1494" spans="2:37" x14ac:dyDescent="0.25">
      <c r="B1494" s="1"/>
      <c r="E1494" s="2"/>
      <c r="F1494" s="3"/>
      <c r="G1494" s="3"/>
      <c r="H1494" s="3"/>
      <c r="I1494" s="3"/>
      <c r="K1494" s="3"/>
      <c r="L1494" s="3"/>
      <c r="X1494" s="4"/>
      <c r="AB1494" s="3"/>
      <c r="AE1494" s="3"/>
      <c r="AK1494" s="5"/>
    </row>
    <row r="1495" spans="2:37" x14ac:dyDescent="0.25">
      <c r="B1495" s="1"/>
      <c r="E1495" s="2"/>
      <c r="H1495" s="3"/>
      <c r="I1495" s="3"/>
      <c r="K1495" s="3"/>
      <c r="L1495" s="3"/>
      <c r="X1495" s="4"/>
      <c r="Z1495" s="3"/>
      <c r="AE1495" s="3"/>
      <c r="AK1495" s="5"/>
    </row>
    <row r="1496" spans="2:37" x14ac:dyDescent="0.25">
      <c r="B1496" s="1"/>
      <c r="E1496" s="2"/>
      <c r="G1496" s="3"/>
      <c r="H1496" s="3"/>
      <c r="I1496" s="3"/>
      <c r="K1496" s="3"/>
      <c r="X1496" s="4"/>
      <c r="AK1496" s="5"/>
    </row>
    <row r="1497" spans="2:37" x14ac:dyDescent="0.25">
      <c r="B1497" s="1"/>
      <c r="E1497" s="2"/>
      <c r="H1497" s="3"/>
      <c r="I1497" s="3"/>
      <c r="K1497" s="3"/>
      <c r="L1497" s="3"/>
      <c r="X1497" s="4"/>
      <c r="AK1497" s="5"/>
    </row>
    <row r="1498" spans="2:37" x14ac:dyDescent="0.25">
      <c r="B1498" s="1"/>
      <c r="E1498" s="2"/>
      <c r="G1498" s="3"/>
      <c r="H1498" s="3"/>
      <c r="I1498" s="3"/>
      <c r="K1498" s="3"/>
      <c r="L1498" s="3"/>
      <c r="X1498" s="4"/>
      <c r="AB1498" s="3"/>
      <c r="AE1498" s="3"/>
      <c r="AK1498" s="5"/>
    </row>
    <row r="1499" spans="2:37" x14ac:dyDescent="0.25">
      <c r="B1499" s="1"/>
      <c r="E1499" s="2"/>
      <c r="H1499" s="3"/>
      <c r="I1499" s="3"/>
      <c r="K1499" s="3"/>
      <c r="L1499" s="3"/>
      <c r="X1499" s="4"/>
      <c r="AB1499" s="3"/>
      <c r="AE1499" s="3"/>
      <c r="AK1499" s="5"/>
    </row>
    <row r="1500" spans="2:37" x14ac:dyDescent="0.25">
      <c r="B1500" s="1"/>
      <c r="E1500" s="2"/>
      <c r="F1500" s="3"/>
      <c r="G1500" s="3"/>
      <c r="H1500" s="3"/>
      <c r="I1500" s="3"/>
      <c r="K1500" s="3"/>
      <c r="X1500" s="4"/>
      <c r="AK1500" s="5"/>
    </row>
    <row r="1501" spans="2:37" x14ac:dyDescent="0.25">
      <c r="B1501" s="1"/>
      <c r="E1501" s="2"/>
      <c r="H1501" s="3"/>
      <c r="I1501" s="3"/>
      <c r="K1501" s="3"/>
      <c r="L1501" s="3"/>
      <c r="X1501" s="4"/>
    </row>
    <row r="1502" spans="2:37" x14ac:dyDescent="0.25">
      <c r="B1502" s="3"/>
      <c r="E1502" s="2"/>
      <c r="F1502" s="3"/>
      <c r="G1502" s="3"/>
      <c r="X1502" s="4"/>
    </row>
    <row r="1503" spans="2:37" x14ac:dyDescent="0.25">
      <c r="B1503" s="1"/>
      <c r="E1503" s="2"/>
      <c r="H1503" s="3"/>
      <c r="I1503" s="3"/>
      <c r="K1503" s="3"/>
      <c r="L1503" s="3"/>
      <c r="X1503" s="4"/>
      <c r="AB1503" s="3"/>
      <c r="AE1503" s="3"/>
      <c r="AK1503" s="5"/>
    </row>
    <row r="1504" spans="2:37" x14ac:dyDescent="0.25">
      <c r="B1504" s="3"/>
      <c r="E1504" s="2"/>
      <c r="G1504" s="3"/>
      <c r="H1504" s="3"/>
      <c r="I1504" s="3"/>
      <c r="K1504" s="3"/>
      <c r="L1504" s="3"/>
      <c r="X1504" s="4"/>
    </row>
    <row r="1505" spans="2:37" x14ac:dyDescent="0.25">
      <c r="B1505" s="1"/>
      <c r="D1505" s="3"/>
      <c r="E1505" s="2"/>
      <c r="G1505" s="3"/>
      <c r="H1505" s="3"/>
      <c r="I1505" s="3"/>
      <c r="K1505" s="3"/>
      <c r="L1505" s="3"/>
      <c r="X1505" s="4"/>
    </row>
    <row r="1506" spans="2:37" x14ac:dyDescent="0.25">
      <c r="B1506" s="3"/>
      <c r="E1506" s="2"/>
      <c r="G1506" s="3"/>
      <c r="H1506" s="3"/>
      <c r="I1506" s="3"/>
      <c r="K1506" s="3"/>
      <c r="L1506" s="3"/>
      <c r="X1506" s="4"/>
      <c r="AB1506" s="3"/>
      <c r="AE1506" s="3"/>
      <c r="AK1506" s="5"/>
    </row>
    <row r="1507" spans="2:37" x14ac:dyDescent="0.25">
      <c r="B1507" s="1"/>
      <c r="D1507" s="3"/>
      <c r="E1507" s="2"/>
      <c r="G1507" s="3"/>
      <c r="H1507" s="3"/>
      <c r="I1507" s="3"/>
      <c r="K1507" s="3"/>
      <c r="L1507" s="3"/>
      <c r="X1507" s="4"/>
    </row>
    <row r="1508" spans="2:37" x14ac:dyDescent="0.25">
      <c r="B1508" s="1"/>
      <c r="E1508" s="2"/>
      <c r="F1508" s="3"/>
      <c r="G1508" s="3"/>
      <c r="H1508" s="3"/>
      <c r="I1508" s="3"/>
      <c r="K1508" s="3"/>
      <c r="L1508" s="3"/>
      <c r="X1508" s="4"/>
      <c r="Z1508" s="3"/>
      <c r="AE1508" s="3"/>
      <c r="AK1508" s="5"/>
    </row>
    <row r="1509" spans="2:37" x14ac:dyDescent="0.25">
      <c r="B1509" s="1"/>
      <c r="E1509" s="2"/>
      <c r="G1509" s="3"/>
      <c r="H1509" s="3"/>
      <c r="I1509" s="3"/>
      <c r="K1509" s="3"/>
      <c r="L1509" s="3"/>
      <c r="X1509" s="4"/>
      <c r="AA1509" s="3"/>
      <c r="AE1509" s="3"/>
      <c r="AK1509" s="5"/>
    </row>
    <row r="1510" spans="2:37" x14ac:dyDescent="0.25">
      <c r="B1510" s="1"/>
      <c r="E1510" s="2"/>
      <c r="F1510" s="3"/>
      <c r="G1510" s="3"/>
      <c r="H1510" s="3"/>
      <c r="I1510" s="3"/>
      <c r="K1510" s="3"/>
      <c r="X1510" s="4"/>
    </row>
    <row r="1511" spans="2:37" x14ac:dyDescent="0.25">
      <c r="B1511" s="1"/>
      <c r="E1511" s="2"/>
      <c r="G1511" s="3"/>
      <c r="H1511" s="3"/>
      <c r="I1511" s="3"/>
      <c r="K1511" s="3"/>
      <c r="L1511" s="3"/>
      <c r="X1511" s="4"/>
      <c r="AB1511" s="3"/>
      <c r="AE1511" s="3"/>
      <c r="AK1511" s="5"/>
    </row>
    <row r="1512" spans="2:37" x14ac:dyDescent="0.25">
      <c r="B1512" s="1"/>
      <c r="E1512" s="2"/>
      <c r="G1512" s="3"/>
      <c r="H1512" s="3"/>
      <c r="I1512" s="3"/>
      <c r="K1512" s="3"/>
      <c r="L1512" s="3"/>
      <c r="X1512" s="4"/>
    </row>
    <row r="1513" spans="2:37" x14ac:dyDescent="0.25">
      <c r="B1513" s="1"/>
      <c r="D1513" s="3"/>
      <c r="E1513" s="2"/>
      <c r="G1513" s="3"/>
      <c r="H1513" s="3"/>
      <c r="I1513" s="3"/>
      <c r="K1513" s="3"/>
      <c r="L1513" s="3"/>
      <c r="X1513" s="4"/>
    </row>
    <row r="1514" spans="2:37" x14ac:dyDescent="0.25">
      <c r="B1514" s="1"/>
      <c r="D1514" s="3"/>
      <c r="E1514" s="2"/>
      <c r="G1514" s="3"/>
      <c r="H1514" s="3"/>
      <c r="I1514" s="3"/>
      <c r="K1514" s="3"/>
      <c r="L1514" s="3"/>
      <c r="X1514" s="4"/>
      <c r="AA1514" s="3"/>
      <c r="AE1514" s="3"/>
      <c r="AK1514" s="5"/>
    </row>
    <row r="1515" spans="2:37" x14ac:dyDescent="0.25">
      <c r="B1515" s="1"/>
      <c r="D1515" s="3"/>
      <c r="E1515" s="2"/>
      <c r="G1515" s="3"/>
      <c r="H1515" s="3"/>
      <c r="I1515" s="3"/>
      <c r="K1515" s="3"/>
      <c r="L1515" s="3"/>
      <c r="X1515" s="4"/>
      <c r="AE1515" s="3"/>
      <c r="AK1515" s="5"/>
    </row>
    <row r="1516" spans="2:37" x14ac:dyDescent="0.25">
      <c r="B1516" s="1"/>
      <c r="E1516" s="2"/>
      <c r="G1516" s="3"/>
      <c r="H1516" s="3"/>
      <c r="I1516" s="3"/>
      <c r="K1516" s="3"/>
      <c r="L1516" s="3"/>
      <c r="X1516" s="4"/>
      <c r="Z1516" s="3"/>
      <c r="AB1516" s="3"/>
      <c r="AE1516" s="3"/>
      <c r="AK1516" s="5"/>
    </row>
    <row r="1517" spans="2:37" x14ac:dyDescent="0.25">
      <c r="B1517" s="1"/>
      <c r="E1517" s="2"/>
      <c r="H1517" s="3"/>
      <c r="I1517" s="3"/>
      <c r="K1517" s="3"/>
      <c r="L1517" s="3"/>
      <c r="X1517" s="4"/>
      <c r="Z1517" s="3"/>
      <c r="AA1517" s="3"/>
      <c r="AE1517" s="3"/>
      <c r="AK1517" s="5"/>
    </row>
    <row r="1518" spans="2:37" x14ac:dyDescent="0.25">
      <c r="B1518" s="1"/>
      <c r="E1518" s="2"/>
      <c r="G1518" s="3"/>
      <c r="H1518" s="3"/>
      <c r="I1518" s="3"/>
      <c r="K1518" s="3"/>
      <c r="L1518" s="3"/>
      <c r="X1518" s="4"/>
    </row>
    <row r="1519" spans="2:37" x14ac:dyDescent="0.25">
      <c r="B1519" s="1"/>
      <c r="E1519" s="2"/>
      <c r="G1519" s="3"/>
      <c r="H1519" s="3"/>
      <c r="I1519" s="3"/>
      <c r="K1519" s="3"/>
      <c r="X1519" s="4"/>
    </row>
    <row r="1520" spans="2:37" x14ac:dyDescent="0.25">
      <c r="B1520" s="1"/>
      <c r="E1520" s="2"/>
      <c r="G1520" s="3"/>
      <c r="H1520" s="3"/>
      <c r="I1520" s="3"/>
      <c r="K1520" s="3"/>
      <c r="L1520" s="3"/>
      <c r="X1520" s="4"/>
      <c r="AA1520" s="3"/>
      <c r="AE1520" s="3"/>
      <c r="AK1520" s="5"/>
    </row>
    <row r="1521" spans="2:37" x14ac:dyDescent="0.25">
      <c r="B1521" s="1"/>
      <c r="E1521" s="2"/>
      <c r="H1521" s="3"/>
      <c r="I1521" s="3"/>
      <c r="K1521" s="3"/>
      <c r="X1521" s="4"/>
      <c r="AK1521" s="5"/>
    </row>
    <row r="1522" spans="2:37" x14ac:dyDescent="0.25">
      <c r="B1522" s="1"/>
      <c r="E1522" s="2"/>
      <c r="G1522" s="3"/>
      <c r="H1522" s="3"/>
      <c r="I1522" s="3"/>
      <c r="K1522" s="3"/>
      <c r="L1522" s="3"/>
      <c r="X1522" s="4"/>
      <c r="Z1522" s="3"/>
      <c r="AA1522" s="3"/>
      <c r="AB1522" s="3"/>
      <c r="AE1522" s="3"/>
      <c r="AK1522" s="5"/>
    </row>
    <row r="1523" spans="2:37" x14ac:dyDescent="0.25">
      <c r="B1523" s="1"/>
      <c r="E1523" s="2"/>
      <c r="H1523" s="3"/>
      <c r="I1523" s="3"/>
      <c r="K1523" s="3"/>
      <c r="L1523" s="3"/>
      <c r="X1523" s="4"/>
      <c r="AD1523" s="3"/>
      <c r="AE1523" s="3"/>
      <c r="AK1523" s="5"/>
    </row>
    <row r="1524" spans="2:37" x14ac:dyDescent="0.25">
      <c r="B1524" s="1"/>
      <c r="E1524" s="2"/>
      <c r="G1524" s="3"/>
      <c r="H1524" s="3"/>
      <c r="I1524" s="3"/>
      <c r="K1524" s="3"/>
      <c r="L1524" s="3"/>
      <c r="X1524" s="4"/>
      <c r="AB1524" s="3"/>
      <c r="AE1524" s="3"/>
      <c r="AK1524" s="5"/>
    </row>
    <row r="1525" spans="2:37" x14ac:dyDescent="0.25">
      <c r="B1525" s="1"/>
      <c r="E1525" s="2"/>
      <c r="H1525" s="3"/>
      <c r="I1525" s="3"/>
      <c r="K1525" s="3"/>
      <c r="L1525" s="3"/>
      <c r="X1525" s="4"/>
      <c r="Z1525" s="3"/>
      <c r="AE1525" s="3"/>
      <c r="AK1525" s="5"/>
    </row>
    <row r="1526" spans="2:37" x14ac:dyDescent="0.25">
      <c r="B1526" s="1"/>
      <c r="E1526" s="2"/>
      <c r="H1526" s="3"/>
      <c r="I1526" s="3"/>
      <c r="K1526" s="3"/>
      <c r="L1526" s="3"/>
      <c r="X1526" s="4"/>
      <c r="Z1526" s="3"/>
      <c r="AE1526" s="3"/>
      <c r="AK1526" s="5"/>
    </row>
    <row r="1527" spans="2:37" x14ac:dyDescent="0.25">
      <c r="B1527" s="1"/>
      <c r="E1527" s="2"/>
      <c r="G1527" s="3"/>
      <c r="H1527" s="3"/>
      <c r="I1527" s="3"/>
      <c r="K1527" s="3"/>
      <c r="L1527" s="3"/>
      <c r="X1527" s="4"/>
      <c r="Z1527" s="3"/>
      <c r="AB1527" s="3"/>
      <c r="AE1527" s="3"/>
      <c r="AK1527" s="5"/>
    </row>
    <row r="1528" spans="2:37" x14ac:dyDescent="0.25">
      <c r="B1528" s="1"/>
      <c r="E1528" s="2"/>
      <c r="H1528" s="3"/>
      <c r="I1528" s="3"/>
      <c r="K1528" s="3"/>
      <c r="L1528" s="3"/>
      <c r="X1528" s="4"/>
      <c r="Z1528" s="3"/>
      <c r="AD1528" s="3"/>
      <c r="AE1528" s="3"/>
      <c r="AK1528" s="5"/>
    </row>
    <row r="1529" spans="2:37" x14ac:dyDescent="0.25">
      <c r="B1529" s="1"/>
      <c r="E1529" s="2"/>
      <c r="H1529" s="3"/>
      <c r="I1529" s="3"/>
      <c r="K1529" s="3"/>
      <c r="L1529" s="3"/>
      <c r="X1529" s="4"/>
      <c r="Z1529" s="3"/>
      <c r="AE1529" s="3"/>
      <c r="AK1529" s="5"/>
    </row>
    <row r="1530" spans="2:37" x14ac:dyDescent="0.25">
      <c r="B1530" s="1"/>
      <c r="D1530" s="3"/>
      <c r="E1530" s="2"/>
      <c r="G1530" s="3"/>
      <c r="H1530" s="3"/>
      <c r="I1530" s="3"/>
      <c r="K1530" s="3"/>
      <c r="L1530" s="3"/>
      <c r="X1530" s="4"/>
      <c r="AB1530" s="3"/>
      <c r="AE1530" s="3"/>
      <c r="AK1530" s="5"/>
    </row>
    <row r="1531" spans="2:37" x14ac:dyDescent="0.25">
      <c r="B1531" s="1"/>
      <c r="E1531" s="2"/>
      <c r="H1531" s="3"/>
      <c r="I1531" s="3"/>
      <c r="K1531" s="3"/>
      <c r="L1531" s="3"/>
      <c r="X1531" s="4"/>
      <c r="Z1531" s="3"/>
      <c r="AD1531" s="3"/>
      <c r="AE1531" s="3"/>
      <c r="AK1531" s="5"/>
    </row>
    <row r="1532" spans="2:37" x14ac:dyDescent="0.25">
      <c r="B1532" s="1"/>
      <c r="E1532" s="2"/>
      <c r="G1532" s="3"/>
      <c r="H1532" s="3"/>
      <c r="I1532" s="3"/>
      <c r="K1532" s="3"/>
      <c r="L1532" s="3"/>
      <c r="X1532" s="4"/>
      <c r="Z1532" s="3"/>
      <c r="AB1532" s="3"/>
      <c r="AE1532" s="3"/>
      <c r="AK1532" s="5"/>
    </row>
    <row r="1533" spans="2:37" x14ac:dyDescent="0.25">
      <c r="B1533" s="1"/>
      <c r="E1533" s="2"/>
      <c r="H1533" s="3"/>
      <c r="I1533" s="3"/>
      <c r="K1533" s="3"/>
      <c r="L1533" s="3"/>
      <c r="X1533" s="4"/>
      <c r="AK1533" s="5"/>
    </row>
    <row r="1534" spans="2:37" x14ac:dyDescent="0.25">
      <c r="B1534" s="1"/>
      <c r="E1534" s="2"/>
      <c r="G1534" s="3"/>
      <c r="H1534" s="3"/>
      <c r="I1534" s="3"/>
      <c r="K1534" s="3"/>
      <c r="L1534" s="3"/>
      <c r="X1534" s="4"/>
      <c r="Z1534" s="3"/>
      <c r="AE1534" s="3"/>
      <c r="AK1534" s="5"/>
    </row>
    <row r="1535" spans="2:37" x14ac:dyDescent="0.25">
      <c r="B1535" s="1"/>
      <c r="E1535" s="2"/>
      <c r="H1535" s="3"/>
      <c r="I1535" s="3"/>
      <c r="K1535" s="3"/>
      <c r="L1535" s="3"/>
      <c r="X1535" s="4"/>
      <c r="Z1535" s="3"/>
      <c r="AE1535" s="3"/>
      <c r="AK1535" s="5"/>
    </row>
    <row r="1536" spans="2:37" x14ac:dyDescent="0.25">
      <c r="B1536" s="1"/>
      <c r="E1536" s="2"/>
      <c r="G1536" s="3"/>
      <c r="H1536" s="3"/>
      <c r="I1536" s="3"/>
      <c r="K1536" s="3"/>
      <c r="L1536" s="3"/>
      <c r="X1536" s="4"/>
      <c r="AD1536" s="3"/>
      <c r="AE1536" s="3"/>
      <c r="AK1536" s="5"/>
    </row>
    <row r="1537" spans="2:37" x14ac:dyDescent="0.25">
      <c r="B1537" s="1"/>
      <c r="E1537" s="2"/>
      <c r="H1537" s="3"/>
      <c r="I1537" s="3"/>
      <c r="K1537" s="3"/>
      <c r="L1537" s="3"/>
      <c r="X1537" s="4"/>
      <c r="Z1537" s="3"/>
      <c r="AB1537" s="3"/>
      <c r="AE1537" s="3"/>
      <c r="AK1537" s="5"/>
    </row>
    <row r="1538" spans="2:37" x14ac:dyDescent="0.25">
      <c r="B1538" s="1"/>
      <c r="D1538" s="3"/>
      <c r="E1538" s="2"/>
      <c r="G1538" s="3"/>
      <c r="H1538" s="3"/>
      <c r="I1538" s="3"/>
      <c r="K1538" s="3"/>
      <c r="L1538" s="3"/>
      <c r="X1538" s="4"/>
      <c r="Z1538" s="3"/>
      <c r="AE1538" s="3"/>
    </row>
    <row r="1539" spans="2:37" x14ac:dyDescent="0.25">
      <c r="B1539" s="1"/>
      <c r="E1539" s="2"/>
      <c r="G1539" s="3"/>
      <c r="H1539" s="3"/>
      <c r="I1539" s="3"/>
      <c r="K1539" s="3"/>
      <c r="X1539" s="4"/>
      <c r="AK1539" s="5"/>
    </row>
    <row r="1540" spans="2:37" x14ac:dyDescent="0.25">
      <c r="B1540" s="1"/>
      <c r="E1540" s="2"/>
      <c r="H1540" s="3"/>
      <c r="I1540" s="3"/>
      <c r="K1540" s="3"/>
      <c r="L1540" s="3"/>
      <c r="X1540" s="4"/>
      <c r="AB1540" s="3"/>
      <c r="AE1540" s="3"/>
      <c r="AK1540" s="5"/>
    </row>
    <row r="1541" spans="2:37" x14ac:dyDescent="0.25">
      <c r="B1541" s="1"/>
      <c r="E1541" s="2"/>
      <c r="G1541" s="3"/>
      <c r="H1541" s="3"/>
      <c r="I1541" s="3"/>
      <c r="K1541" s="3"/>
      <c r="L1541" s="3"/>
      <c r="X1541" s="4"/>
      <c r="Z1541" s="3"/>
      <c r="AB1541" s="3"/>
      <c r="AE1541" s="3"/>
      <c r="AK1541" s="5"/>
    </row>
    <row r="1542" spans="2:37" x14ac:dyDescent="0.25">
      <c r="B1542" s="1"/>
      <c r="E1542" s="2"/>
      <c r="H1542" s="3"/>
      <c r="I1542" s="3"/>
      <c r="K1542" s="3"/>
      <c r="L1542" s="3"/>
      <c r="X1542" s="4"/>
      <c r="Z1542" s="3"/>
      <c r="AB1542" s="3"/>
      <c r="AE1542" s="3"/>
      <c r="AK1542" s="5"/>
    </row>
    <row r="1543" spans="2:37" x14ac:dyDescent="0.25">
      <c r="B1543" s="1"/>
      <c r="E1543" s="2"/>
      <c r="F1543" s="3"/>
      <c r="G1543" s="3"/>
      <c r="H1543" s="3"/>
      <c r="I1543" s="3"/>
      <c r="K1543" s="3"/>
      <c r="L1543" s="3"/>
      <c r="X1543" s="4"/>
      <c r="Z1543" s="3"/>
      <c r="AE1543" s="3"/>
      <c r="AK1543" s="5"/>
    </row>
    <row r="1544" spans="2:37" x14ac:dyDescent="0.25">
      <c r="B1544" s="1"/>
      <c r="E1544" s="2"/>
      <c r="H1544" s="3"/>
      <c r="I1544" s="3"/>
      <c r="K1544" s="3"/>
      <c r="L1544" s="3"/>
      <c r="X1544" s="4"/>
      <c r="Z1544" s="3"/>
      <c r="AB1544" s="3"/>
      <c r="AE1544" s="3"/>
      <c r="AK1544" s="5"/>
    </row>
    <row r="1545" spans="2:37" x14ac:dyDescent="0.25">
      <c r="B1545" s="1"/>
      <c r="C1545" s="3"/>
      <c r="E1545" s="2"/>
      <c r="G1545" s="3"/>
      <c r="H1545" s="3"/>
      <c r="I1545" s="3"/>
      <c r="K1545" s="3"/>
      <c r="L1545" s="3"/>
      <c r="X1545" s="4"/>
      <c r="AB1545" s="3"/>
      <c r="AE1545" s="3"/>
      <c r="AK1545" s="5"/>
    </row>
    <row r="1546" spans="2:37" x14ac:dyDescent="0.25">
      <c r="B1546" s="1"/>
      <c r="C1546" s="3"/>
      <c r="E1546" s="2"/>
      <c r="G1546" s="3"/>
      <c r="H1546" s="3"/>
      <c r="I1546" s="3"/>
      <c r="K1546" s="3"/>
      <c r="L1546" s="3"/>
      <c r="X1546" s="4"/>
      <c r="Z1546" s="3"/>
      <c r="AA1546" s="3"/>
      <c r="AE1546" s="3"/>
      <c r="AK1546" s="5"/>
    </row>
    <row r="1547" spans="2:37" x14ac:dyDescent="0.25">
      <c r="B1547" s="1"/>
      <c r="E1547" s="2"/>
      <c r="H1547" s="3"/>
      <c r="I1547" s="3"/>
      <c r="K1547" s="3"/>
      <c r="L1547" s="3"/>
      <c r="X1547" s="4"/>
      <c r="AA1547" s="3"/>
      <c r="AE1547" s="3"/>
      <c r="AK1547" s="5"/>
    </row>
    <row r="1548" spans="2:37" x14ac:dyDescent="0.25">
      <c r="B1548" s="1"/>
      <c r="E1548" s="2"/>
      <c r="H1548" s="3"/>
      <c r="I1548" s="3"/>
      <c r="K1548" s="3"/>
      <c r="L1548" s="3"/>
      <c r="X1548" s="4"/>
      <c r="AB1548" s="3"/>
      <c r="AE1548" s="3"/>
      <c r="AK1548" s="5"/>
    </row>
    <row r="1549" spans="2:37" x14ac:dyDescent="0.25">
      <c r="B1549" s="1"/>
      <c r="E1549" s="2"/>
      <c r="H1549" s="3"/>
      <c r="I1549" s="3"/>
      <c r="K1549" s="3"/>
      <c r="L1549" s="3"/>
      <c r="X1549" s="4"/>
      <c r="AB1549" s="3"/>
      <c r="AE1549" s="3"/>
      <c r="AK1549" s="5"/>
    </row>
    <row r="1550" spans="2:37" x14ac:dyDescent="0.25">
      <c r="B1550" s="1"/>
      <c r="E1550" s="2"/>
      <c r="H1550" s="3"/>
      <c r="I1550" s="3"/>
      <c r="K1550" s="3"/>
      <c r="L1550" s="3"/>
      <c r="X1550" s="4"/>
      <c r="Z1550" s="3"/>
      <c r="AB1550" s="3"/>
      <c r="AE1550" s="3"/>
      <c r="AK1550" s="5"/>
    </row>
    <row r="1551" spans="2:37" x14ac:dyDescent="0.25">
      <c r="B1551" s="1"/>
      <c r="E1551" s="2"/>
      <c r="G1551" s="3"/>
      <c r="H1551" s="3"/>
      <c r="I1551" s="3"/>
      <c r="K1551" s="3"/>
      <c r="L1551" s="3"/>
      <c r="X1551" s="4"/>
      <c r="Z1551" s="3"/>
      <c r="AB1551" s="3"/>
      <c r="AE1551" s="3"/>
      <c r="AK1551" s="5"/>
    </row>
    <row r="1552" spans="2:37" x14ac:dyDescent="0.25">
      <c r="B1552" s="1"/>
      <c r="E1552" s="2"/>
      <c r="H1552" s="3"/>
      <c r="I1552" s="3"/>
      <c r="K1552" s="3"/>
      <c r="L1552" s="3"/>
      <c r="X1552" s="4"/>
      <c r="Z1552" s="3"/>
      <c r="AB1552" s="3"/>
      <c r="AE1552" s="3"/>
      <c r="AK1552" s="5"/>
    </row>
    <row r="1553" spans="2:37" x14ac:dyDescent="0.25">
      <c r="B1553" s="1"/>
      <c r="C1553" s="3"/>
      <c r="E1553" s="2"/>
      <c r="G1553" s="3"/>
      <c r="H1553" s="3"/>
      <c r="I1553" s="3"/>
      <c r="K1553" s="3"/>
      <c r="L1553" s="3"/>
      <c r="X1553" s="4"/>
      <c r="Z1553" s="3"/>
      <c r="AE1553" s="3"/>
      <c r="AK1553" s="5"/>
    </row>
    <row r="1554" spans="2:37" x14ac:dyDescent="0.25">
      <c r="B1554" s="1"/>
      <c r="C1554" s="3"/>
      <c r="E1554" s="2"/>
      <c r="G1554" s="3"/>
      <c r="H1554" s="3"/>
      <c r="I1554" s="3"/>
      <c r="K1554" s="3"/>
      <c r="L1554" s="3"/>
      <c r="X1554" s="4"/>
      <c r="AA1554" s="3"/>
      <c r="AB1554" s="3"/>
      <c r="AE1554" s="3"/>
      <c r="AK1554" s="5"/>
    </row>
    <row r="1555" spans="2:37" x14ac:dyDescent="0.25">
      <c r="B1555" s="1"/>
      <c r="E1555" s="2"/>
      <c r="F1555" s="3"/>
      <c r="G1555" s="3"/>
      <c r="H1555" s="3"/>
      <c r="I1555" s="3"/>
      <c r="K1555" s="3"/>
      <c r="L1555" s="3"/>
      <c r="X1555" s="4"/>
      <c r="AA1555" s="3"/>
      <c r="AB1555" s="3"/>
      <c r="AE1555" s="3"/>
      <c r="AK1555" s="5"/>
    </row>
    <row r="1556" spans="2:37" x14ac:dyDescent="0.25">
      <c r="B1556" s="1"/>
      <c r="E1556" s="2"/>
      <c r="F1556" s="3"/>
      <c r="G1556" s="3"/>
      <c r="H1556" s="3"/>
      <c r="I1556" s="3"/>
      <c r="K1556" s="3"/>
      <c r="X1556" s="4"/>
      <c r="AK1556" s="5"/>
    </row>
    <row r="1557" spans="2:37" x14ac:dyDescent="0.25">
      <c r="B1557" s="1"/>
      <c r="E1557" s="2"/>
      <c r="H1557" s="3"/>
      <c r="I1557" s="3"/>
      <c r="K1557" s="3"/>
      <c r="L1557" s="3"/>
      <c r="X1557" s="4"/>
      <c r="AB1557" s="3"/>
      <c r="AD1557" s="3"/>
      <c r="AE1557" s="3"/>
      <c r="AK1557" s="5"/>
    </row>
    <row r="1558" spans="2:37" x14ac:dyDescent="0.25">
      <c r="B1558" s="1"/>
      <c r="E1558" s="2"/>
      <c r="H1558" s="3"/>
      <c r="I1558" s="3"/>
      <c r="K1558" s="3"/>
      <c r="L1558" s="3"/>
      <c r="X1558" s="4"/>
      <c r="AB1558" s="3"/>
      <c r="AE1558" s="3"/>
      <c r="AK1558" s="5"/>
    </row>
    <row r="1559" spans="2:37" x14ac:dyDescent="0.25">
      <c r="B1559" s="3"/>
      <c r="E1559" s="2"/>
      <c r="F1559" s="3"/>
      <c r="G1559" s="3"/>
      <c r="H1559" s="3"/>
      <c r="I1559" s="3"/>
      <c r="K1559" s="3"/>
      <c r="L1559" s="3"/>
      <c r="X1559" s="4"/>
      <c r="AE1559" s="3"/>
      <c r="AK1559" s="5"/>
    </row>
    <row r="1560" spans="2:37" x14ac:dyDescent="0.25">
      <c r="B1560" s="1"/>
      <c r="E1560" s="2"/>
      <c r="H1560" s="3"/>
      <c r="I1560" s="3"/>
      <c r="K1560" s="3"/>
      <c r="L1560" s="3"/>
      <c r="X1560" s="4"/>
      <c r="Z1560" s="3"/>
      <c r="AB1560" s="3"/>
      <c r="AD1560" s="3"/>
      <c r="AE1560" s="3"/>
      <c r="AK1560" s="5"/>
    </row>
    <row r="1561" spans="2:37" x14ac:dyDescent="0.25">
      <c r="B1561" s="1"/>
      <c r="E1561" s="2"/>
      <c r="G1561" s="3"/>
      <c r="H1561" s="3"/>
      <c r="I1561" s="3"/>
      <c r="K1561" s="3"/>
      <c r="L1561" s="3"/>
      <c r="X1561" s="4"/>
      <c r="AB1561" s="3"/>
      <c r="AE1561" s="3"/>
      <c r="AK1561" s="5"/>
    </row>
    <row r="1562" spans="2:37" x14ac:dyDescent="0.25">
      <c r="B1562" s="1"/>
      <c r="E1562" s="2"/>
      <c r="H1562" s="3"/>
      <c r="I1562" s="3"/>
      <c r="K1562" s="3"/>
      <c r="L1562" s="3"/>
      <c r="X1562" s="4"/>
      <c r="AK1562" s="5"/>
    </row>
    <row r="1563" spans="2:37" x14ac:dyDescent="0.25">
      <c r="B1563" s="1"/>
      <c r="E1563" s="2"/>
      <c r="F1563" s="3"/>
      <c r="G1563" s="3"/>
      <c r="H1563" s="3"/>
      <c r="I1563" s="3"/>
      <c r="K1563" s="3"/>
      <c r="L1563" s="3"/>
      <c r="X1563" s="4"/>
      <c r="AK1563" s="5"/>
    </row>
    <row r="1564" spans="2:37" x14ac:dyDescent="0.25">
      <c r="B1564" s="1"/>
      <c r="E1564" s="2"/>
      <c r="F1564" s="3"/>
      <c r="G1564" s="3"/>
      <c r="H1564" s="3"/>
      <c r="I1564" s="3"/>
      <c r="K1564" s="3"/>
      <c r="L1564" s="3"/>
      <c r="X1564" s="4"/>
      <c r="AK1564" s="5"/>
    </row>
    <row r="1565" spans="2:37" x14ac:dyDescent="0.25">
      <c r="B1565" s="1"/>
      <c r="E1565" s="2"/>
      <c r="G1565" s="3"/>
      <c r="H1565" s="3"/>
      <c r="I1565" s="3"/>
      <c r="K1565" s="3"/>
      <c r="X1565" s="4"/>
      <c r="AE1565" s="3"/>
      <c r="AK1565" s="5"/>
    </row>
    <row r="1566" spans="2:37" x14ac:dyDescent="0.25">
      <c r="B1566" s="1"/>
      <c r="E1566" s="2"/>
      <c r="H1566" s="3"/>
      <c r="I1566" s="3"/>
      <c r="K1566" s="3"/>
      <c r="L1566" s="3"/>
      <c r="X1566" s="4"/>
      <c r="AE1566" s="3"/>
      <c r="AK1566" s="5"/>
    </row>
    <row r="1567" spans="2:37" x14ac:dyDescent="0.25">
      <c r="B1567" s="1"/>
      <c r="E1567" s="2"/>
      <c r="G1567" s="3"/>
      <c r="H1567" s="3"/>
      <c r="I1567" s="3"/>
      <c r="K1567" s="3"/>
      <c r="L1567" s="3"/>
      <c r="X1567" s="4"/>
      <c r="AE1567" s="3"/>
      <c r="AK1567" s="5"/>
    </row>
    <row r="1568" spans="2:37" x14ac:dyDescent="0.25">
      <c r="B1568" s="1"/>
      <c r="E1568" s="2"/>
      <c r="G1568" s="3"/>
      <c r="H1568" s="3"/>
      <c r="I1568" s="3"/>
      <c r="K1568" s="3"/>
      <c r="L1568" s="3"/>
      <c r="X1568" s="4"/>
      <c r="Z1568" s="3"/>
      <c r="AB1568" s="3"/>
      <c r="AE1568" s="3"/>
      <c r="AK1568" s="5"/>
    </row>
    <row r="1569" spans="2:37" x14ac:dyDescent="0.25">
      <c r="B1569" s="1"/>
      <c r="E1569" s="2"/>
      <c r="G1569" s="3"/>
      <c r="H1569" s="3"/>
      <c r="I1569" s="3"/>
      <c r="K1569" s="3"/>
      <c r="L1569" s="3"/>
      <c r="X1569" s="4"/>
      <c r="Z1569" s="3"/>
      <c r="AB1569" s="3"/>
      <c r="AE1569" s="3"/>
      <c r="AK1569" s="5"/>
    </row>
    <row r="1570" spans="2:37" x14ac:dyDescent="0.25">
      <c r="B1570" s="1"/>
      <c r="E1570" s="2"/>
      <c r="F1570" s="3"/>
      <c r="G1570" s="3"/>
      <c r="H1570" s="3"/>
      <c r="I1570" s="3"/>
      <c r="K1570" s="3"/>
      <c r="L1570" s="3"/>
      <c r="X1570" s="4"/>
      <c r="AE1570" s="3"/>
      <c r="AK1570" s="5"/>
    </row>
    <row r="1571" spans="2:37" x14ac:dyDescent="0.25">
      <c r="B1571" s="1"/>
      <c r="E1571" s="2"/>
      <c r="F1571" s="3"/>
      <c r="G1571" s="3"/>
      <c r="H1571" s="3"/>
      <c r="I1571" s="3"/>
      <c r="K1571" s="3"/>
      <c r="L1571" s="3"/>
      <c r="X1571" s="4"/>
      <c r="AK1571" s="5"/>
    </row>
    <row r="1572" spans="2:37" x14ac:dyDescent="0.25">
      <c r="B1572" s="1"/>
      <c r="E1572" s="2"/>
      <c r="F1572" s="3"/>
      <c r="G1572" s="3"/>
      <c r="H1572" s="3"/>
      <c r="I1572" s="3"/>
      <c r="K1572" s="3"/>
      <c r="L1572" s="3"/>
      <c r="X1572" s="4"/>
      <c r="AE1572" s="3"/>
      <c r="AK1572" s="5"/>
    </row>
    <row r="1573" spans="2:37" x14ac:dyDescent="0.25">
      <c r="B1573" s="3"/>
      <c r="E1573" s="2"/>
      <c r="F1573" s="3"/>
      <c r="G1573" s="3"/>
      <c r="H1573" s="3"/>
      <c r="I1573" s="3"/>
      <c r="K1573" s="3"/>
      <c r="L1573" s="3"/>
      <c r="X1573" s="4"/>
      <c r="AE1573" s="3"/>
      <c r="AK1573" s="5"/>
    </row>
    <row r="1574" spans="2:37" x14ac:dyDescent="0.25">
      <c r="B1574" s="1"/>
      <c r="E1574" s="2"/>
      <c r="H1574" s="3"/>
      <c r="I1574" s="3"/>
      <c r="K1574" s="3"/>
      <c r="L1574" s="3"/>
      <c r="X1574" s="4"/>
      <c r="Z1574" s="3"/>
      <c r="AB1574" s="3"/>
      <c r="AE1574" s="3"/>
      <c r="AK1574" s="5"/>
    </row>
    <row r="1575" spans="2:37" x14ac:dyDescent="0.25">
      <c r="B1575" s="1"/>
      <c r="E1575" s="2"/>
      <c r="F1575" s="3"/>
      <c r="G1575" s="3"/>
      <c r="H1575" s="3"/>
      <c r="I1575" s="3"/>
      <c r="K1575" s="3"/>
      <c r="L1575" s="3"/>
      <c r="X1575" s="4"/>
      <c r="AB1575" s="3"/>
      <c r="AE1575" s="3"/>
      <c r="AK1575" s="5"/>
    </row>
    <row r="1576" spans="2:37" x14ac:dyDescent="0.25">
      <c r="B1576" s="1"/>
      <c r="E1576" s="2"/>
      <c r="G1576" s="3"/>
      <c r="H1576" s="3"/>
      <c r="I1576" s="3"/>
      <c r="K1576" s="3"/>
      <c r="L1576" s="3"/>
      <c r="X1576" s="4"/>
      <c r="AB1576" s="3"/>
      <c r="AE1576" s="3"/>
      <c r="AK1576" s="5"/>
    </row>
    <row r="1577" spans="2:37" x14ac:dyDescent="0.25">
      <c r="B1577" s="1"/>
      <c r="E1577" s="2"/>
      <c r="H1577" s="3"/>
      <c r="I1577" s="3"/>
      <c r="K1577" s="3"/>
      <c r="L1577" s="3"/>
      <c r="X1577" s="4"/>
      <c r="AB1577" s="3"/>
      <c r="AE1577" s="3"/>
      <c r="AK1577" s="5"/>
    </row>
    <row r="1578" spans="2:37" x14ac:dyDescent="0.25">
      <c r="B1578" s="1"/>
      <c r="E1578" s="2"/>
      <c r="F1578" s="3"/>
      <c r="G1578" s="3"/>
      <c r="H1578" s="3"/>
      <c r="I1578" s="3"/>
      <c r="K1578" s="3"/>
      <c r="L1578" s="3"/>
      <c r="X1578" s="4"/>
      <c r="Z1578" s="3"/>
      <c r="AD1578" s="3"/>
      <c r="AE1578" s="3"/>
      <c r="AK1578" s="5"/>
    </row>
    <row r="1579" spans="2:37" x14ac:dyDescent="0.25">
      <c r="B1579" s="3"/>
      <c r="E1579" s="2"/>
      <c r="G1579" s="3"/>
      <c r="H1579" s="3"/>
      <c r="I1579" s="3"/>
      <c r="K1579" s="3"/>
      <c r="L1579" s="3"/>
      <c r="X1579" s="4"/>
      <c r="Z1579" s="3"/>
      <c r="AD1579" s="3"/>
      <c r="AE1579" s="3"/>
      <c r="AK1579" s="5"/>
    </row>
    <row r="1580" spans="2:37" x14ac:dyDescent="0.25">
      <c r="B1580" s="1"/>
      <c r="E1580" s="2"/>
      <c r="F1580" s="3"/>
      <c r="G1580" s="3"/>
      <c r="H1580" s="3"/>
      <c r="I1580" s="3"/>
      <c r="K1580" s="3"/>
      <c r="L1580" s="3"/>
      <c r="X1580" s="4"/>
      <c r="Z1580" s="3"/>
      <c r="AB1580" s="3"/>
      <c r="AE1580" s="3"/>
      <c r="AK1580" s="5"/>
    </row>
    <row r="1581" spans="2:37" x14ac:dyDescent="0.25">
      <c r="B1581" s="1"/>
      <c r="E1581" s="2"/>
      <c r="F1581" s="3"/>
      <c r="G1581" s="3"/>
      <c r="H1581" s="3"/>
      <c r="I1581" s="3"/>
      <c r="K1581" s="3"/>
      <c r="L1581" s="3"/>
      <c r="X1581" s="4"/>
      <c r="AB1581" s="3"/>
      <c r="AK1581" s="5"/>
    </row>
    <row r="1582" spans="2:37" x14ac:dyDescent="0.25">
      <c r="B1582" s="1"/>
      <c r="E1582" s="2"/>
      <c r="F1582" s="3"/>
      <c r="G1582" s="3"/>
      <c r="H1582" s="3"/>
      <c r="I1582" s="3"/>
      <c r="K1582" s="3"/>
      <c r="L1582" s="3"/>
      <c r="X1582" s="4"/>
      <c r="AB1582" s="3"/>
      <c r="AK1582" s="5"/>
    </row>
    <row r="1583" spans="2:37" x14ac:dyDescent="0.25">
      <c r="B1583" s="1"/>
      <c r="E1583" s="2"/>
      <c r="F1583" s="3"/>
      <c r="G1583" s="3"/>
      <c r="H1583" s="3"/>
      <c r="I1583" s="3"/>
      <c r="K1583" s="3"/>
      <c r="X1583" s="4"/>
      <c r="AK1583" s="5"/>
    </row>
    <row r="1584" spans="2:37" x14ac:dyDescent="0.25">
      <c r="B1584" s="1"/>
      <c r="E1584" s="2"/>
      <c r="H1584" s="3"/>
      <c r="I1584" s="3"/>
      <c r="K1584" s="3"/>
      <c r="L1584" s="3"/>
      <c r="X1584" s="4"/>
      <c r="AB1584" s="3"/>
      <c r="AK1584" s="5"/>
    </row>
    <row r="1585" spans="2:37" x14ac:dyDescent="0.25">
      <c r="B1585" s="1"/>
      <c r="D1585" s="3"/>
      <c r="E1585" s="2"/>
      <c r="H1585" s="3"/>
      <c r="I1585" s="3"/>
      <c r="K1585" s="3"/>
      <c r="L1585" s="3"/>
      <c r="X1585" s="4"/>
      <c r="AB1585" s="3"/>
      <c r="AK1585" s="5"/>
    </row>
    <row r="1586" spans="2:37" x14ac:dyDescent="0.25">
      <c r="B1586" s="1"/>
      <c r="E1586" s="2"/>
      <c r="F1586" s="3"/>
      <c r="G1586" s="3"/>
      <c r="H1586" s="3"/>
      <c r="I1586" s="3"/>
      <c r="K1586" s="3"/>
      <c r="L1586" s="3"/>
      <c r="X1586" s="4"/>
      <c r="Z1586" s="3"/>
      <c r="AB1586" s="3"/>
      <c r="AE1586" s="3"/>
      <c r="AK1586" s="5"/>
    </row>
    <row r="1587" spans="2:37" x14ac:dyDescent="0.25">
      <c r="B1587" s="3"/>
      <c r="E1587" s="2"/>
      <c r="G1587" s="3"/>
      <c r="H1587" s="3"/>
      <c r="I1587" s="3"/>
      <c r="K1587" s="3"/>
      <c r="L1587" s="3"/>
      <c r="X1587" s="4"/>
      <c r="Z1587" s="3"/>
      <c r="AE1587" s="3"/>
      <c r="AK1587" s="5"/>
    </row>
    <row r="1588" spans="2:37" x14ac:dyDescent="0.25">
      <c r="B1588" s="1"/>
      <c r="E1588" s="2"/>
      <c r="G1588" s="3"/>
      <c r="H1588" s="3"/>
      <c r="I1588" s="3"/>
      <c r="K1588" s="3"/>
      <c r="L1588" s="3"/>
      <c r="X1588" s="4"/>
      <c r="Z1588" s="3"/>
      <c r="AD1588" s="3"/>
      <c r="AE1588" s="3"/>
      <c r="AK1588" s="5"/>
    </row>
    <row r="1589" spans="2:37" x14ac:dyDescent="0.25">
      <c r="B1589" s="1"/>
      <c r="E1589" s="2"/>
      <c r="G1589" s="3"/>
      <c r="H1589" s="3"/>
      <c r="I1589" s="3"/>
      <c r="K1589" s="3"/>
      <c r="L1589" s="3"/>
      <c r="X1589" s="4"/>
      <c r="Z1589" s="3"/>
      <c r="AD1589" s="3"/>
      <c r="AE1589" s="3"/>
      <c r="AK1589" s="5"/>
    </row>
    <row r="1590" spans="2:37" x14ac:dyDescent="0.25">
      <c r="B1590" s="1"/>
      <c r="E1590" s="2"/>
      <c r="H1590" s="3"/>
      <c r="I1590" s="3"/>
      <c r="K1590" s="3"/>
      <c r="L1590" s="3"/>
      <c r="X1590" s="4"/>
      <c r="Z1590" s="3"/>
      <c r="AB1590" s="3"/>
      <c r="AE1590" s="3"/>
      <c r="AK1590" s="5"/>
    </row>
    <row r="1591" spans="2:37" x14ac:dyDescent="0.25">
      <c r="B1591" s="1"/>
      <c r="E1591" s="2"/>
      <c r="G1591" s="3"/>
      <c r="H1591" s="3"/>
      <c r="I1591" s="3"/>
      <c r="K1591" s="3"/>
      <c r="L1591" s="3"/>
      <c r="X1591" s="4"/>
      <c r="Z1591" s="3"/>
      <c r="AB1591" s="3"/>
      <c r="AK1591" s="5"/>
    </row>
    <row r="1592" spans="2:37" x14ac:dyDescent="0.25">
      <c r="B1592" s="1"/>
      <c r="E1592" s="2"/>
      <c r="H1592" s="3"/>
      <c r="I1592" s="3"/>
      <c r="K1592" s="3"/>
      <c r="L1592" s="3"/>
      <c r="X1592" s="4"/>
      <c r="AB1592" s="3"/>
      <c r="AK1592" s="5"/>
    </row>
    <row r="1593" spans="2:37" x14ac:dyDescent="0.25">
      <c r="B1593" s="1"/>
      <c r="E1593" s="2"/>
      <c r="G1593" s="3"/>
      <c r="H1593" s="3"/>
      <c r="I1593" s="3"/>
      <c r="K1593" s="3"/>
      <c r="L1593" s="3"/>
      <c r="X1593" s="4"/>
      <c r="AD1593" s="3"/>
      <c r="AE1593" s="3"/>
      <c r="AK1593" s="5"/>
    </row>
    <row r="1594" spans="2:37" x14ac:dyDescent="0.25">
      <c r="B1594" s="1"/>
      <c r="E1594" s="2"/>
      <c r="G1594" s="3"/>
      <c r="H1594" s="3"/>
      <c r="I1594" s="3"/>
      <c r="K1594" s="3"/>
      <c r="L1594" s="3"/>
      <c r="X1594" s="4"/>
      <c r="AK1594" s="5"/>
    </row>
    <row r="1595" spans="2:37" x14ac:dyDescent="0.25">
      <c r="B1595" s="1"/>
      <c r="D1595" s="3"/>
      <c r="E1595" s="2"/>
      <c r="G1595" s="3"/>
      <c r="H1595" s="3"/>
      <c r="I1595" s="3"/>
      <c r="K1595" s="3"/>
      <c r="L1595" s="3"/>
      <c r="X1595" s="4"/>
      <c r="AK1595" s="5"/>
    </row>
    <row r="1596" spans="2:37" x14ac:dyDescent="0.25">
      <c r="B1596" s="1"/>
      <c r="E1596" s="2"/>
      <c r="G1596" s="3"/>
      <c r="H1596" s="3"/>
      <c r="I1596" s="3"/>
      <c r="K1596" s="3"/>
      <c r="L1596" s="3"/>
      <c r="X1596" s="4"/>
      <c r="AD1596" s="3"/>
      <c r="AE1596" s="3"/>
      <c r="AK1596" s="5"/>
    </row>
    <row r="1597" spans="2:37" x14ac:dyDescent="0.25">
      <c r="B1597" s="3"/>
      <c r="E1597" s="2"/>
      <c r="G1597" s="3"/>
      <c r="H1597" s="3"/>
      <c r="I1597" s="3"/>
      <c r="K1597" s="3"/>
      <c r="L1597" s="3"/>
      <c r="X1597" s="4"/>
      <c r="Z1597" s="3"/>
      <c r="AD1597" s="3"/>
      <c r="AE1597" s="3"/>
      <c r="AK1597" s="5"/>
    </row>
    <row r="1598" spans="2:37" x14ac:dyDescent="0.25">
      <c r="B1598" s="1"/>
      <c r="E1598" s="2"/>
      <c r="H1598" s="3"/>
      <c r="I1598" s="3"/>
      <c r="K1598" s="3"/>
      <c r="L1598" s="3"/>
      <c r="X1598" s="4"/>
      <c r="Z1598" s="3"/>
      <c r="AB1598" s="3"/>
      <c r="AD1598" s="3"/>
      <c r="AE1598" s="3"/>
      <c r="AK1598" s="5"/>
    </row>
    <row r="1599" spans="2:37" x14ac:dyDescent="0.25">
      <c r="B1599" s="1"/>
      <c r="E1599" s="2"/>
      <c r="G1599" s="3"/>
      <c r="H1599" s="3"/>
      <c r="I1599" s="3"/>
      <c r="K1599" s="3"/>
      <c r="L1599" s="3"/>
      <c r="X1599" s="4"/>
      <c r="Z1599" s="3"/>
      <c r="AB1599" s="3"/>
      <c r="AE1599" s="3"/>
      <c r="AK1599" s="5"/>
    </row>
    <row r="1600" spans="2:37" x14ac:dyDescent="0.25">
      <c r="B1600" s="1"/>
      <c r="E1600" s="2"/>
      <c r="H1600" s="3"/>
      <c r="I1600" s="3"/>
      <c r="K1600" s="3"/>
      <c r="L1600" s="3"/>
      <c r="X1600" s="4"/>
      <c r="Z1600" s="3"/>
      <c r="AE1600" s="3"/>
      <c r="AK1600" s="5"/>
    </row>
    <row r="1601" spans="2:37" x14ac:dyDescent="0.25">
      <c r="B1601" s="1"/>
      <c r="D1601" s="3"/>
      <c r="E1601" s="2"/>
      <c r="G1601" s="3"/>
      <c r="H1601" s="3"/>
      <c r="I1601" s="3"/>
      <c r="K1601" s="3"/>
      <c r="L1601" s="3"/>
      <c r="X1601" s="4"/>
      <c r="Z1601" s="3"/>
      <c r="AB1601" s="3"/>
      <c r="AE1601" s="3"/>
      <c r="AK1601" s="5"/>
    </row>
    <row r="1602" spans="2:37" x14ac:dyDescent="0.25">
      <c r="B1602" s="1"/>
      <c r="E1602" s="2"/>
      <c r="H1602" s="3"/>
      <c r="I1602" s="3"/>
      <c r="K1602" s="3"/>
      <c r="L1602" s="3"/>
      <c r="X1602" s="4"/>
      <c r="Z1602" s="3"/>
      <c r="AB1602" s="3"/>
      <c r="AE1602" s="3"/>
      <c r="AK1602" s="5"/>
    </row>
    <row r="1603" spans="2:37" x14ac:dyDescent="0.25">
      <c r="B1603" s="1"/>
      <c r="D1603" s="3"/>
      <c r="E1603" s="2"/>
      <c r="G1603" s="3"/>
      <c r="H1603" s="3"/>
      <c r="I1603" s="3"/>
      <c r="K1603" s="3"/>
      <c r="L1603" s="3"/>
      <c r="X1603" s="4"/>
      <c r="Z1603" s="3"/>
      <c r="AB1603" s="3"/>
      <c r="AE1603" s="3"/>
      <c r="AK1603" s="5"/>
    </row>
    <row r="1604" spans="2:37" x14ac:dyDescent="0.25">
      <c r="B1604" s="1"/>
      <c r="E1604" s="2"/>
      <c r="G1604" s="3"/>
      <c r="H1604" s="3"/>
      <c r="I1604" s="3"/>
      <c r="K1604" s="3"/>
      <c r="L1604" s="3"/>
      <c r="X1604" s="4"/>
      <c r="Z1604" s="3"/>
      <c r="AB1604" s="3"/>
      <c r="AE1604" s="3"/>
      <c r="AK1604" s="5"/>
    </row>
    <row r="1605" spans="2:37" x14ac:dyDescent="0.25">
      <c r="B1605" s="1"/>
      <c r="E1605" s="2"/>
      <c r="G1605" s="3"/>
      <c r="H1605" s="3"/>
      <c r="I1605" s="3"/>
      <c r="K1605" s="3"/>
      <c r="L1605" s="3"/>
      <c r="X1605" s="4"/>
    </row>
    <row r="1606" spans="2:37" x14ac:dyDescent="0.25">
      <c r="B1606" s="1"/>
      <c r="D1606" s="3"/>
      <c r="E1606" s="2"/>
      <c r="G1606" s="3"/>
      <c r="H1606" s="3"/>
      <c r="I1606" s="3"/>
      <c r="K1606" s="3"/>
      <c r="X1606" s="4"/>
      <c r="AK1606" s="5"/>
    </row>
    <row r="1607" spans="2:37" x14ac:dyDescent="0.25">
      <c r="B1607" s="1"/>
      <c r="E1607" s="2"/>
      <c r="G1607" s="3"/>
      <c r="H1607" s="3"/>
      <c r="I1607" s="3"/>
      <c r="K1607" s="3"/>
      <c r="L1607" s="3"/>
      <c r="X1607" s="4"/>
      <c r="Z1607" s="3"/>
      <c r="AB1607" s="3"/>
      <c r="AE1607" s="3"/>
      <c r="AK1607" s="5"/>
    </row>
    <row r="1608" spans="2:37" x14ac:dyDescent="0.25">
      <c r="B1608" s="1"/>
      <c r="E1608" s="2"/>
      <c r="H1608" s="3"/>
      <c r="I1608" s="3"/>
      <c r="K1608" s="3"/>
      <c r="L1608" s="3"/>
      <c r="X1608" s="4"/>
      <c r="Z1608" s="3"/>
      <c r="AB1608" s="3"/>
      <c r="AE1608" s="3"/>
      <c r="AK1608" s="5"/>
    </row>
    <row r="1609" spans="2:37" x14ac:dyDescent="0.25">
      <c r="B1609" s="1"/>
      <c r="E1609" s="2"/>
      <c r="H1609" s="3"/>
      <c r="I1609" s="3"/>
      <c r="K1609" s="3"/>
      <c r="L1609" s="3"/>
      <c r="X1609" s="4"/>
      <c r="AB1609" s="3"/>
      <c r="AE1609" s="3"/>
      <c r="AK1609" s="5"/>
    </row>
    <row r="1610" spans="2:37" x14ac:dyDescent="0.25">
      <c r="B1610" s="1"/>
      <c r="E1610" s="2"/>
      <c r="G1610" s="3"/>
      <c r="H1610" s="3"/>
      <c r="I1610" s="3"/>
      <c r="K1610" s="3"/>
      <c r="L1610" s="3"/>
      <c r="X1610" s="4"/>
      <c r="Z1610" s="3"/>
      <c r="AE1610" s="3"/>
      <c r="AK1610" s="5"/>
    </row>
    <row r="1611" spans="2:37" x14ac:dyDescent="0.25">
      <c r="B1611" s="1"/>
      <c r="E1611" s="2"/>
      <c r="G1611" s="3"/>
      <c r="H1611" s="3"/>
      <c r="I1611" s="3"/>
      <c r="K1611" s="3"/>
      <c r="L1611" s="3"/>
      <c r="X1611" s="4"/>
      <c r="Z1611" s="3"/>
      <c r="AB1611" s="3"/>
      <c r="AE1611" s="3"/>
      <c r="AK1611" s="5"/>
    </row>
    <row r="1612" spans="2:37" x14ac:dyDescent="0.25">
      <c r="B1612" s="1"/>
      <c r="E1612" s="2"/>
      <c r="H1612" s="3"/>
      <c r="I1612" s="3"/>
      <c r="K1612" s="3"/>
      <c r="L1612" s="3"/>
      <c r="X1612" s="4"/>
      <c r="AB1612" s="3"/>
      <c r="AE1612" s="3"/>
      <c r="AK1612" s="5"/>
    </row>
    <row r="1613" spans="2:37" x14ac:dyDescent="0.25">
      <c r="B1613" s="1"/>
      <c r="E1613" s="2"/>
      <c r="H1613" s="3"/>
      <c r="I1613" s="3"/>
      <c r="K1613" s="3"/>
      <c r="L1613" s="3"/>
      <c r="X1613" s="4"/>
      <c r="AB1613" s="3"/>
      <c r="AE1613" s="3"/>
      <c r="AK1613" s="5"/>
    </row>
    <row r="1614" spans="2:37" x14ac:dyDescent="0.25">
      <c r="B1614" s="1"/>
      <c r="D1614" s="3"/>
      <c r="E1614" s="2"/>
      <c r="G1614" s="3"/>
      <c r="H1614" s="3"/>
      <c r="I1614" s="3"/>
      <c r="K1614" s="3"/>
      <c r="L1614" s="3"/>
      <c r="X1614" s="4"/>
      <c r="AB1614" s="3"/>
      <c r="AK1614" s="5"/>
    </row>
    <row r="1615" spans="2:37" x14ac:dyDescent="0.25">
      <c r="B1615" s="1"/>
      <c r="D1615" s="3"/>
      <c r="E1615" s="2"/>
      <c r="G1615" s="3"/>
      <c r="H1615" s="3"/>
      <c r="I1615" s="3"/>
      <c r="K1615" s="3"/>
      <c r="L1615" s="3"/>
      <c r="X1615" s="4"/>
      <c r="Z1615" s="3"/>
      <c r="AE1615" s="3"/>
      <c r="AK1615" s="5"/>
    </row>
    <row r="1616" spans="2:37" x14ac:dyDescent="0.25">
      <c r="B1616" s="1"/>
      <c r="E1616" s="2"/>
      <c r="H1616" s="3"/>
      <c r="I1616" s="3"/>
      <c r="K1616" s="3"/>
      <c r="L1616" s="3"/>
      <c r="X1616" s="4"/>
      <c r="Z1616" s="3"/>
      <c r="AE1616" s="3"/>
      <c r="AK1616" s="5"/>
    </row>
    <row r="1617" spans="2:37" x14ac:dyDescent="0.25">
      <c r="B1617" s="1"/>
      <c r="E1617" s="2"/>
      <c r="F1617" s="3"/>
      <c r="G1617" s="3"/>
      <c r="H1617" s="3"/>
      <c r="I1617" s="3"/>
      <c r="K1617" s="3"/>
      <c r="L1617" s="3"/>
      <c r="X1617" s="4"/>
      <c r="AB1617" s="3"/>
      <c r="AE1617" s="3"/>
      <c r="AK1617" s="5"/>
    </row>
    <row r="1618" spans="2:37" x14ac:dyDescent="0.25">
      <c r="B1618" s="1"/>
      <c r="E1618" s="2"/>
      <c r="H1618" s="3"/>
      <c r="I1618" s="3"/>
      <c r="K1618" s="3"/>
      <c r="L1618" s="3"/>
      <c r="X1618" s="4"/>
      <c r="AB1618" s="3"/>
      <c r="AE1618" s="3"/>
      <c r="AK1618" s="5"/>
    </row>
    <row r="1619" spans="2:37" x14ac:dyDescent="0.25">
      <c r="B1619" s="1"/>
      <c r="E1619" s="2"/>
      <c r="F1619" s="3"/>
      <c r="H1619" s="3"/>
      <c r="I1619" s="3"/>
      <c r="K1619" s="3"/>
      <c r="L1619" s="3"/>
      <c r="X1619" s="4"/>
      <c r="AB1619" s="3"/>
      <c r="AE1619" s="3"/>
      <c r="AK1619" s="5"/>
    </row>
    <row r="1620" spans="2:37" x14ac:dyDescent="0.25">
      <c r="B1620" s="1"/>
      <c r="E1620" s="2"/>
      <c r="G1620" s="3"/>
      <c r="H1620" s="3"/>
      <c r="I1620" s="3"/>
      <c r="K1620" s="3"/>
      <c r="L1620" s="3"/>
      <c r="X1620" s="4"/>
      <c r="Z1620" s="3"/>
      <c r="AE1620" s="3"/>
      <c r="AK1620" s="5"/>
    </row>
    <row r="1621" spans="2:37" x14ac:dyDescent="0.25">
      <c r="B1621" s="1"/>
      <c r="E1621" s="2"/>
      <c r="G1621" s="3"/>
      <c r="H1621" s="3"/>
      <c r="I1621" s="3"/>
      <c r="K1621" s="3"/>
      <c r="L1621" s="3"/>
      <c r="X1621" s="4"/>
      <c r="Z1621" s="3"/>
      <c r="AE1621" s="3"/>
      <c r="AK1621" s="5"/>
    </row>
    <row r="1622" spans="2:37" x14ac:dyDescent="0.25">
      <c r="B1622" s="1"/>
      <c r="E1622" s="2"/>
      <c r="G1622" s="3"/>
      <c r="H1622" s="3"/>
      <c r="I1622" s="3"/>
      <c r="K1622" s="3"/>
      <c r="L1622" s="3"/>
      <c r="X1622" s="4"/>
      <c r="AB1622" s="3"/>
      <c r="AE1622" s="3"/>
      <c r="AK1622" s="5"/>
    </row>
    <row r="1623" spans="2:37" x14ac:dyDescent="0.25">
      <c r="B1623" s="1"/>
      <c r="E1623" s="2"/>
      <c r="G1623" s="3"/>
      <c r="H1623" s="3"/>
      <c r="I1623" s="3"/>
      <c r="K1623" s="3"/>
      <c r="L1623" s="3"/>
      <c r="X1623" s="4"/>
      <c r="AD1623" s="3"/>
      <c r="AE1623" s="3"/>
      <c r="AK1623" s="5"/>
    </row>
    <row r="1624" spans="2:37" x14ac:dyDescent="0.25">
      <c r="B1624" s="1"/>
      <c r="D1624" s="3"/>
      <c r="E1624" s="2"/>
      <c r="G1624" s="3"/>
      <c r="H1624" s="3"/>
      <c r="I1624" s="3"/>
      <c r="K1624" s="3"/>
      <c r="L1624" s="3"/>
      <c r="X1624" s="4"/>
      <c r="Z1624" s="3"/>
      <c r="AD1624" s="3"/>
      <c r="AE1624" s="3"/>
      <c r="AK1624" s="5"/>
    </row>
    <row r="1625" spans="2:37" x14ac:dyDescent="0.25">
      <c r="B1625" s="1"/>
      <c r="D1625" s="3"/>
      <c r="E1625" s="2"/>
      <c r="G1625" s="3"/>
      <c r="H1625" s="3"/>
      <c r="I1625" s="3"/>
      <c r="K1625" s="3"/>
      <c r="L1625" s="3"/>
      <c r="X1625" s="4"/>
      <c r="Z1625" s="3"/>
      <c r="AD1625" s="3"/>
      <c r="AE1625" s="3"/>
      <c r="AK1625" s="5"/>
    </row>
    <row r="1626" spans="2:37" x14ac:dyDescent="0.25">
      <c r="B1626" s="1"/>
      <c r="E1626" s="2"/>
      <c r="H1626" s="3"/>
      <c r="I1626" s="3"/>
      <c r="K1626" s="3"/>
      <c r="L1626" s="3"/>
      <c r="X1626" s="4"/>
      <c r="Z1626" s="3"/>
      <c r="AD1626" s="3"/>
      <c r="AE1626" s="3"/>
      <c r="AK1626" s="5"/>
    </row>
    <row r="1627" spans="2:37" x14ac:dyDescent="0.25">
      <c r="B1627" s="1"/>
      <c r="E1627" s="2"/>
      <c r="H1627" s="3"/>
      <c r="I1627" s="3"/>
      <c r="K1627" s="3"/>
      <c r="L1627" s="3"/>
      <c r="X1627" s="4"/>
      <c r="AB1627" s="3"/>
      <c r="AE1627" s="3"/>
      <c r="AK1627" s="5"/>
    </row>
    <row r="1628" spans="2:37" x14ac:dyDescent="0.25">
      <c r="B1628" s="1"/>
      <c r="E1628" s="2"/>
      <c r="H1628" s="3"/>
      <c r="I1628" s="3"/>
      <c r="K1628" s="3"/>
      <c r="L1628" s="3"/>
      <c r="X1628" s="4"/>
      <c r="AB1628" s="3"/>
      <c r="AE1628" s="3"/>
      <c r="AK1628" s="5"/>
    </row>
    <row r="1629" spans="2:37" x14ac:dyDescent="0.25">
      <c r="B1629" s="1"/>
      <c r="D1629" s="3"/>
      <c r="E1629" s="2"/>
      <c r="G1629" s="3"/>
      <c r="H1629" s="3"/>
      <c r="I1629" s="3"/>
      <c r="K1629" s="3"/>
      <c r="L1629" s="3"/>
      <c r="X1629" s="4"/>
      <c r="AA1629" s="3"/>
      <c r="AE1629" s="3"/>
      <c r="AK1629" s="5"/>
    </row>
    <row r="1630" spans="2:37" x14ac:dyDescent="0.25">
      <c r="B1630" s="1"/>
      <c r="D1630" s="3"/>
      <c r="E1630" s="2"/>
      <c r="G1630" s="3"/>
      <c r="H1630" s="3"/>
      <c r="I1630" s="3"/>
      <c r="K1630" s="3"/>
      <c r="L1630" s="3"/>
      <c r="X1630" s="4"/>
      <c r="Z1630" s="3"/>
      <c r="AA1630" s="3"/>
      <c r="AB1630" s="3"/>
      <c r="AE1630" s="3"/>
      <c r="AK1630" s="5"/>
    </row>
    <row r="1631" spans="2:37" x14ac:dyDescent="0.25">
      <c r="B1631" s="1"/>
      <c r="E1631" s="2"/>
      <c r="H1631" s="3"/>
      <c r="I1631" s="3"/>
      <c r="K1631" s="3"/>
      <c r="L1631" s="3"/>
      <c r="X1631" s="4"/>
      <c r="Z1631" s="3"/>
      <c r="AB1631" s="3"/>
      <c r="AE1631" s="3"/>
      <c r="AK1631" s="5"/>
    </row>
    <row r="1632" spans="2:37" x14ac:dyDescent="0.25">
      <c r="B1632" s="1"/>
      <c r="D1632" s="3"/>
      <c r="E1632" s="2"/>
      <c r="G1632" s="3"/>
      <c r="H1632" s="3"/>
      <c r="I1632" s="3"/>
      <c r="K1632" s="3"/>
      <c r="L1632" s="3"/>
      <c r="X1632" s="4"/>
      <c r="Z1632" s="3"/>
      <c r="AE1632" s="3"/>
      <c r="AK1632" s="5"/>
    </row>
    <row r="1633" spans="2:37" x14ac:dyDescent="0.25">
      <c r="B1633" s="1"/>
      <c r="D1633" s="3"/>
      <c r="E1633" s="2"/>
      <c r="G1633" s="3"/>
      <c r="H1633" s="3"/>
      <c r="I1633" s="3"/>
      <c r="K1633" s="3"/>
      <c r="L1633" s="3"/>
      <c r="X1633" s="4"/>
      <c r="AB1633" s="3"/>
      <c r="AD1633" s="3"/>
      <c r="AE1633" s="3"/>
      <c r="AK1633" s="5"/>
    </row>
    <row r="1634" spans="2:37" x14ac:dyDescent="0.25">
      <c r="B1634" s="1"/>
      <c r="E1634" s="2"/>
      <c r="H1634" s="3"/>
      <c r="I1634" s="3"/>
      <c r="K1634" s="3"/>
      <c r="L1634" s="3"/>
      <c r="X1634" s="4"/>
      <c r="Z1634" s="3"/>
      <c r="AB1634" s="3"/>
      <c r="AE1634" s="3"/>
      <c r="AK1634" s="5"/>
    </row>
    <row r="1635" spans="2:37" x14ac:dyDescent="0.25">
      <c r="B1635" s="1"/>
      <c r="D1635" s="3"/>
      <c r="E1635" s="2"/>
      <c r="H1635" s="3"/>
      <c r="I1635" s="3"/>
      <c r="K1635" s="3"/>
      <c r="L1635" s="3"/>
      <c r="X1635" s="4"/>
      <c r="AK1635" s="5"/>
    </row>
    <row r="1636" spans="2:37" x14ac:dyDescent="0.25">
      <c r="B1636" s="1"/>
      <c r="E1636" s="2"/>
      <c r="G1636" s="3"/>
      <c r="H1636" s="3"/>
      <c r="I1636" s="3"/>
      <c r="K1636" s="3"/>
      <c r="X1636" s="4"/>
      <c r="AE1636" s="3"/>
      <c r="AK1636" s="5"/>
    </row>
    <row r="1637" spans="2:37" x14ac:dyDescent="0.25">
      <c r="B1637" s="1"/>
      <c r="E1637" s="2"/>
      <c r="H1637" s="3"/>
      <c r="I1637" s="3"/>
      <c r="K1637" s="3"/>
      <c r="L1637" s="3"/>
      <c r="X1637" s="4"/>
      <c r="Z1637" s="3"/>
      <c r="AB1637" s="3"/>
      <c r="AD1637" s="3"/>
      <c r="AE1637" s="3"/>
      <c r="AK1637" s="5"/>
    </row>
    <row r="1638" spans="2:37" x14ac:dyDescent="0.25">
      <c r="B1638" s="1"/>
      <c r="E1638" s="2"/>
      <c r="H1638" s="3"/>
      <c r="I1638" s="3"/>
      <c r="K1638" s="3"/>
      <c r="L1638" s="3"/>
      <c r="X1638" s="4"/>
      <c r="Z1638" s="3"/>
      <c r="AB1638" s="3"/>
      <c r="AD1638" s="3"/>
      <c r="AE1638" s="3"/>
      <c r="AK1638" s="5"/>
    </row>
    <row r="1639" spans="2:37" x14ac:dyDescent="0.25">
      <c r="B1639" s="1"/>
      <c r="D1639" s="3"/>
      <c r="E1639" s="2"/>
      <c r="G1639" s="3"/>
      <c r="H1639" s="3"/>
      <c r="I1639" s="3"/>
      <c r="K1639" s="3"/>
      <c r="L1639" s="3"/>
      <c r="X1639" s="4"/>
      <c r="Z1639" s="3"/>
      <c r="AB1639" s="3"/>
      <c r="AD1639" s="3"/>
      <c r="AE1639" s="3"/>
      <c r="AK1639" s="5"/>
    </row>
    <row r="1640" spans="2:37" x14ac:dyDescent="0.25">
      <c r="B1640" s="1"/>
      <c r="D1640" s="3"/>
      <c r="E1640" s="2"/>
      <c r="G1640" s="3"/>
      <c r="H1640" s="3"/>
      <c r="I1640" s="3"/>
      <c r="K1640" s="3"/>
      <c r="L1640" s="3"/>
      <c r="X1640" s="4"/>
      <c r="Z1640" s="3"/>
      <c r="AB1640" s="3"/>
      <c r="AE1640" s="3"/>
      <c r="AK1640" s="5"/>
    </row>
    <row r="1641" spans="2:37" x14ac:dyDescent="0.25">
      <c r="B1641" s="1"/>
      <c r="E1641" s="2"/>
      <c r="H1641" s="3"/>
      <c r="I1641" s="3"/>
      <c r="K1641" s="3"/>
      <c r="L1641" s="3"/>
      <c r="X1641" s="4"/>
      <c r="Z1641" s="3"/>
      <c r="AB1641" s="3"/>
      <c r="AE1641" s="3"/>
      <c r="AK1641" s="5"/>
    </row>
    <row r="1642" spans="2:37" x14ac:dyDescent="0.25">
      <c r="B1642" s="1"/>
      <c r="D1642" s="3"/>
      <c r="E1642" s="2"/>
      <c r="G1642" s="3"/>
      <c r="H1642" s="3"/>
      <c r="I1642" s="3"/>
      <c r="K1642" s="3"/>
      <c r="L1642" s="3"/>
      <c r="X1642" s="4"/>
      <c r="Z1642" s="3"/>
      <c r="AB1642" s="3"/>
      <c r="AE1642" s="3"/>
      <c r="AK1642" s="5"/>
    </row>
    <row r="1643" spans="2:37" x14ac:dyDescent="0.25">
      <c r="B1643" s="1"/>
      <c r="D1643" s="3"/>
      <c r="E1643" s="2"/>
      <c r="G1643" s="3"/>
      <c r="H1643" s="3"/>
      <c r="I1643" s="3"/>
      <c r="K1643" s="3"/>
      <c r="L1643" s="3"/>
      <c r="X1643" s="4"/>
      <c r="AB1643" s="3"/>
      <c r="AK1643" s="5"/>
    </row>
    <row r="1644" spans="2:37" x14ac:dyDescent="0.25">
      <c r="B1644" s="1"/>
      <c r="E1644" s="2"/>
      <c r="G1644" s="3"/>
      <c r="H1644" s="3"/>
      <c r="I1644" s="3"/>
      <c r="K1644" s="3"/>
      <c r="L1644" s="3"/>
      <c r="X1644" s="4"/>
      <c r="Z1644" s="3"/>
      <c r="AB1644" s="3"/>
      <c r="AE1644" s="3"/>
      <c r="AK1644" s="5"/>
    </row>
    <row r="1645" spans="2:37" x14ac:dyDescent="0.25">
      <c r="B1645" s="1"/>
      <c r="E1645" s="2"/>
      <c r="H1645" s="3"/>
      <c r="I1645" s="3"/>
      <c r="K1645" s="3"/>
      <c r="L1645" s="3"/>
      <c r="X1645" s="4"/>
      <c r="AB1645" s="3"/>
      <c r="AD1645" s="3"/>
      <c r="AE1645" s="3"/>
      <c r="AK1645" s="5"/>
    </row>
    <row r="1646" spans="2:37" x14ac:dyDescent="0.25">
      <c r="B1646" s="1"/>
      <c r="E1646" s="2"/>
      <c r="H1646" s="3"/>
      <c r="I1646" s="3"/>
      <c r="K1646" s="3"/>
      <c r="L1646" s="3"/>
      <c r="X1646" s="4"/>
      <c r="AK1646" s="5"/>
    </row>
    <row r="1647" spans="2:37" x14ac:dyDescent="0.25">
      <c r="B1647" s="1"/>
      <c r="E1647" s="2"/>
      <c r="G1647" s="3"/>
      <c r="H1647" s="3"/>
      <c r="I1647" s="3"/>
      <c r="K1647" s="3"/>
      <c r="L1647" s="3"/>
      <c r="X1647" s="4"/>
      <c r="Z1647" s="3"/>
      <c r="AD1647" s="3"/>
      <c r="AE1647" s="3"/>
      <c r="AK1647" s="5"/>
    </row>
    <row r="1648" spans="2:37" x14ac:dyDescent="0.25">
      <c r="B1648" s="1"/>
      <c r="E1648" s="2"/>
      <c r="H1648" s="3"/>
      <c r="I1648" s="3"/>
      <c r="K1648" s="3"/>
      <c r="L1648" s="3"/>
      <c r="X1648" s="4"/>
      <c r="Z1648" s="3"/>
      <c r="AD1648" s="3"/>
      <c r="AE1648" s="3"/>
      <c r="AK1648" s="5"/>
    </row>
    <row r="1649" spans="2:37" x14ac:dyDescent="0.25">
      <c r="B1649" s="1"/>
      <c r="E1649" s="2"/>
      <c r="H1649" s="3"/>
      <c r="I1649" s="3"/>
      <c r="K1649" s="3"/>
      <c r="L1649" s="3"/>
      <c r="X1649" s="4"/>
      <c r="Z1649" s="3"/>
      <c r="AB1649" s="3"/>
      <c r="AD1649" s="3"/>
      <c r="AE1649" s="3"/>
      <c r="AK1649" s="5"/>
    </row>
    <row r="1650" spans="2:37" x14ac:dyDescent="0.25">
      <c r="B1650" s="1"/>
      <c r="E1650" s="2"/>
      <c r="H1650" s="3"/>
      <c r="I1650" s="3"/>
      <c r="K1650" s="3"/>
      <c r="L1650" s="3"/>
      <c r="X1650" s="4"/>
      <c r="AB1650" s="3"/>
      <c r="AE1650" s="3"/>
      <c r="AK1650" s="5"/>
    </row>
    <row r="1651" spans="2:37" x14ac:dyDescent="0.25">
      <c r="B1651" s="1"/>
      <c r="E1651" s="2"/>
      <c r="H1651" s="3"/>
      <c r="I1651" s="3"/>
      <c r="K1651" s="3"/>
      <c r="L1651" s="3"/>
      <c r="X1651" s="4"/>
      <c r="AB1651" s="3"/>
      <c r="AE1651" s="3"/>
      <c r="AK1651" s="5"/>
    </row>
    <row r="1652" spans="2:37" x14ac:dyDescent="0.25">
      <c r="B1652" s="1"/>
      <c r="E1652" s="2"/>
      <c r="G1652" s="3"/>
      <c r="H1652" s="3"/>
      <c r="I1652" s="3"/>
      <c r="K1652" s="3"/>
      <c r="L1652" s="3"/>
      <c r="X1652" s="4"/>
      <c r="AB1652" s="3"/>
      <c r="AE1652" s="3"/>
      <c r="AK1652" s="5"/>
    </row>
    <row r="1653" spans="2:37" x14ac:dyDescent="0.25">
      <c r="B1653" s="1"/>
      <c r="E1653" s="2"/>
      <c r="H1653" s="3"/>
      <c r="I1653" s="3"/>
      <c r="K1653" s="3"/>
      <c r="L1653" s="3"/>
      <c r="X1653" s="4"/>
      <c r="AB1653" s="3"/>
      <c r="AD1653" s="3"/>
      <c r="AE1653" s="3"/>
      <c r="AK1653" s="5"/>
    </row>
    <row r="1654" spans="2:37" x14ac:dyDescent="0.25">
      <c r="B1654" s="1"/>
      <c r="E1654" s="2"/>
      <c r="H1654" s="3"/>
      <c r="I1654" s="3"/>
      <c r="K1654" s="3"/>
      <c r="L1654" s="3"/>
      <c r="X1654" s="4"/>
      <c r="Z1654" s="3"/>
      <c r="AB1654" s="3"/>
      <c r="AD1654" s="3"/>
      <c r="AE1654" s="3"/>
      <c r="AK1654" s="5"/>
    </row>
    <row r="1655" spans="2:37" x14ac:dyDescent="0.25">
      <c r="B1655" s="1"/>
      <c r="E1655" s="2"/>
      <c r="H1655" s="3"/>
      <c r="I1655" s="3"/>
      <c r="K1655" s="3"/>
      <c r="L1655" s="3"/>
      <c r="X1655" s="4"/>
      <c r="Z1655" s="3"/>
      <c r="AD1655" s="3"/>
      <c r="AE1655" s="3"/>
      <c r="AK1655" s="5"/>
    </row>
    <row r="1656" spans="2:37" x14ac:dyDescent="0.25">
      <c r="B1656" s="1"/>
      <c r="E1656" s="2"/>
      <c r="H1656" s="3"/>
      <c r="I1656" s="3"/>
      <c r="K1656" s="3"/>
      <c r="L1656" s="3"/>
      <c r="X1656" s="4"/>
      <c r="AD1656" s="3"/>
      <c r="AE1656" s="3"/>
      <c r="AK1656" s="5"/>
    </row>
    <row r="1657" spans="2:37" x14ac:dyDescent="0.25">
      <c r="B1657" s="1"/>
      <c r="E1657" s="2"/>
      <c r="H1657" s="3"/>
      <c r="I1657" s="3"/>
      <c r="K1657" s="3"/>
      <c r="L1657" s="3"/>
      <c r="X1657" s="4"/>
      <c r="Z1657" s="3"/>
      <c r="AD1657" s="3"/>
      <c r="AE1657" s="3"/>
      <c r="AK1657" s="5"/>
    </row>
    <row r="1658" spans="2:37" x14ac:dyDescent="0.25">
      <c r="B1658" s="1"/>
      <c r="E1658" s="2"/>
      <c r="H1658" s="3"/>
      <c r="I1658" s="3"/>
      <c r="K1658" s="3"/>
      <c r="L1658" s="3"/>
      <c r="X1658" s="4"/>
      <c r="Z1658" s="3"/>
      <c r="AD1658" s="3"/>
      <c r="AE1658" s="3"/>
      <c r="AK1658" s="5"/>
    </row>
    <row r="1659" spans="2:37" x14ac:dyDescent="0.25">
      <c r="B1659" s="1"/>
      <c r="E1659" s="2"/>
      <c r="G1659" s="3"/>
      <c r="H1659" s="3"/>
      <c r="I1659" s="3"/>
      <c r="K1659" s="3"/>
      <c r="L1659" s="3"/>
      <c r="X1659" s="4"/>
      <c r="Z1659" s="3"/>
      <c r="AD1659" s="3"/>
      <c r="AE1659" s="3"/>
      <c r="AK1659" s="5"/>
    </row>
    <row r="1660" spans="2:37" x14ac:dyDescent="0.25">
      <c r="B1660" s="1"/>
      <c r="E1660" s="2"/>
      <c r="G1660" s="3"/>
      <c r="H1660" s="3"/>
      <c r="I1660" s="3"/>
      <c r="K1660" s="3"/>
      <c r="L1660" s="3"/>
      <c r="X1660" s="4"/>
      <c r="AD1660" s="3"/>
      <c r="AE1660" s="3"/>
      <c r="AK1660" s="5"/>
    </row>
    <row r="1661" spans="2:37" x14ac:dyDescent="0.25">
      <c r="B1661" s="1"/>
      <c r="E1661" s="2"/>
      <c r="F1661" s="3"/>
      <c r="G1661" s="3"/>
      <c r="H1661" s="3"/>
      <c r="I1661" s="3"/>
      <c r="K1661" s="3"/>
      <c r="L1661" s="3"/>
      <c r="X1661" s="4"/>
      <c r="AE1661" s="3"/>
      <c r="AK1661" s="5"/>
    </row>
    <row r="1662" spans="2:37" x14ac:dyDescent="0.25">
      <c r="B1662" s="1"/>
      <c r="E1662" s="2"/>
      <c r="F1662" s="3"/>
      <c r="G1662" s="3"/>
      <c r="H1662" s="3"/>
      <c r="I1662" s="3"/>
      <c r="K1662" s="3"/>
      <c r="L1662" s="3"/>
      <c r="X1662" s="4"/>
      <c r="AD1662" s="3"/>
      <c r="AE1662" s="3"/>
      <c r="AK1662" s="5"/>
    </row>
    <row r="1663" spans="2:37" x14ac:dyDescent="0.25">
      <c r="B1663" s="1"/>
      <c r="E1663" s="2"/>
      <c r="H1663" s="3"/>
      <c r="I1663" s="3"/>
      <c r="K1663" s="3"/>
      <c r="L1663" s="3"/>
      <c r="X1663" s="4"/>
      <c r="AB1663" s="3"/>
      <c r="AD1663" s="3"/>
      <c r="AE1663" s="3"/>
      <c r="AK1663" s="5"/>
    </row>
    <row r="1664" spans="2:37" x14ac:dyDescent="0.25">
      <c r="B1664" s="1"/>
      <c r="E1664" s="2"/>
      <c r="F1664" s="3"/>
      <c r="G1664" s="3"/>
      <c r="H1664" s="3"/>
      <c r="I1664" s="3"/>
      <c r="K1664" s="3"/>
      <c r="L1664" s="3"/>
      <c r="X1664" s="4"/>
      <c r="Z1664" s="3"/>
      <c r="AB1664" s="3"/>
      <c r="AD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Z1665" s="3"/>
      <c r="AD1665" s="3"/>
      <c r="AE1665" s="3"/>
      <c r="AK1665" s="5"/>
    </row>
    <row r="1666" spans="2:37" x14ac:dyDescent="0.25">
      <c r="B1666" s="1"/>
      <c r="D1666" s="3"/>
      <c r="E1666" s="2"/>
      <c r="H1666" s="3"/>
      <c r="I1666" s="3"/>
      <c r="K1666" s="3"/>
      <c r="L1666" s="3"/>
      <c r="X1666" s="4"/>
      <c r="Z1666" s="3"/>
      <c r="AB1666" s="3"/>
      <c r="AD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AD1667" s="3"/>
      <c r="AE1667" s="3"/>
      <c r="AK1667" s="5"/>
    </row>
    <row r="1668" spans="2:37" x14ac:dyDescent="0.25">
      <c r="B1668" s="1"/>
      <c r="E1668" s="2"/>
      <c r="F1668" s="3"/>
      <c r="G1668" s="3"/>
      <c r="H1668" s="3"/>
      <c r="I1668" s="3"/>
      <c r="K1668" s="3"/>
      <c r="L1668" s="3"/>
      <c r="X1668" s="4"/>
      <c r="AD1668" s="3"/>
      <c r="AE1668" s="3"/>
      <c r="AK1668" s="5"/>
    </row>
    <row r="1669" spans="2:37" x14ac:dyDescent="0.25">
      <c r="B1669" s="1"/>
      <c r="E1669" s="2"/>
      <c r="G1669" s="3"/>
      <c r="H1669" s="3"/>
      <c r="I1669" s="3"/>
      <c r="K1669" s="3"/>
      <c r="L1669" s="3"/>
      <c r="X1669" s="4"/>
      <c r="AB1669" s="3"/>
      <c r="AD1669" s="3"/>
      <c r="AE1669" s="3"/>
      <c r="AK1669" s="5"/>
    </row>
    <row r="1670" spans="2:37" x14ac:dyDescent="0.25">
      <c r="B1670" s="3"/>
      <c r="E1670" s="2"/>
      <c r="F1670" s="3"/>
      <c r="G1670" s="3"/>
      <c r="H1670" s="3"/>
      <c r="I1670" s="3"/>
      <c r="K1670" s="3"/>
      <c r="L1670" s="3"/>
      <c r="X1670" s="4"/>
      <c r="AB1670" s="3"/>
      <c r="AD1670" s="3"/>
      <c r="AE1670" s="3"/>
      <c r="AK1670" s="5"/>
    </row>
    <row r="1671" spans="2:37" x14ac:dyDescent="0.25">
      <c r="B1671" s="1"/>
      <c r="E1671" s="2"/>
      <c r="H1671" s="3"/>
      <c r="I1671" s="3"/>
      <c r="K1671" s="3"/>
      <c r="L1671" s="3"/>
      <c r="X1671" s="4"/>
      <c r="AE1671" s="3"/>
      <c r="AK1671" s="5"/>
    </row>
    <row r="1672" spans="2:37" x14ac:dyDescent="0.25">
      <c r="B1672" s="1"/>
      <c r="D1672" s="3"/>
      <c r="E1672" s="2"/>
      <c r="G1672" s="3"/>
      <c r="H1672" s="3"/>
      <c r="I1672" s="3"/>
      <c r="K1672" s="3"/>
      <c r="L1672" s="3"/>
      <c r="X1672" s="4"/>
      <c r="AA1672" s="3"/>
      <c r="AD1672" s="3"/>
      <c r="AE1672" s="3"/>
      <c r="AK1672" s="5"/>
    </row>
    <row r="1673" spans="2:37" x14ac:dyDescent="0.25">
      <c r="B1673" s="1"/>
      <c r="E1673" s="2"/>
      <c r="H1673" s="3"/>
      <c r="I1673" s="3"/>
      <c r="K1673" s="3"/>
      <c r="L1673" s="3"/>
      <c r="X1673" s="4"/>
      <c r="Z1673" s="3"/>
      <c r="AD1673" s="3"/>
      <c r="AE1673" s="3"/>
      <c r="AK1673" s="5"/>
    </row>
    <row r="1674" spans="2:37" x14ac:dyDescent="0.25">
      <c r="B1674" s="1"/>
      <c r="E1674" s="2"/>
      <c r="H1674" s="3"/>
      <c r="I1674" s="3"/>
      <c r="K1674" s="3"/>
      <c r="L1674" s="3"/>
      <c r="X1674" s="4"/>
      <c r="Z1674" s="3"/>
      <c r="AD1674" s="3"/>
      <c r="AE1674" s="3"/>
      <c r="AK1674" s="5"/>
    </row>
    <row r="1675" spans="2:37" x14ac:dyDescent="0.25">
      <c r="B1675" s="1"/>
      <c r="E1675" s="2"/>
      <c r="H1675" s="3"/>
      <c r="I1675" s="3"/>
      <c r="K1675" s="3"/>
      <c r="L1675" s="3"/>
      <c r="X1675" s="4"/>
      <c r="AD1675" s="3"/>
      <c r="AE1675" s="3"/>
      <c r="AK1675" s="5"/>
    </row>
    <row r="1676" spans="2:37" x14ac:dyDescent="0.25">
      <c r="B1676" s="1"/>
      <c r="E1676" s="2"/>
      <c r="G1676" s="3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AD1677" s="3"/>
      <c r="AE1677" s="3"/>
      <c r="AK1677" s="5"/>
    </row>
    <row r="1678" spans="2:37" x14ac:dyDescent="0.25">
      <c r="B1678" s="1"/>
      <c r="D1678" s="3"/>
      <c r="E1678" s="2"/>
      <c r="G1678" s="3"/>
      <c r="H1678" s="3"/>
      <c r="I1678" s="3"/>
      <c r="K1678" s="3"/>
      <c r="L1678" s="3"/>
      <c r="X1678" s="4"/>
      <c r="AD1678" s="3"/>
      <c r="AE1678" s="3"/>
      <c r="AK1678" s="5"/>
    </row>
    <row r="1679" spans="2:37" x14ac:dyDescent="0.25">
      <c r="B1679" s="1"/>
      <c r="E1679" s="2"/>
      <c r="G1679" s="3"/>
      <c r="H1679" s="3"/>
      <c r="I1679" s="3"/>
      <c r="K1679" s="3"/>
      <c r="L1679" s="3"/>
      <c r="X1679" s="4"/>
      <c r="AA1679" s="3"/>
      <c r="AB1679" s="3"/>
      <c r="AD1679" s="3"/>
      <c r="AE1679" s="3"/>
      <c r="AK1679" s="5"/>
    </row>
    <row r="1680" spans="2:37" x14ac:dyDescent="0.25">
      <c r="B1680" s="1"/>
      <c r="E1680" s="2"/>
      <c r="G1680" s="3"/>
      <c r="H1680" s="3"/>
      <c r="I1680" s="3"/>
      <c r="K1680" s="3"/>
      <c r="L1680" s="3"/>
      <c r="X1680" s="4"/>
      <c r="AB1680" s="3"/>
      <c r="AD1680" s="3"/>
      <c r="AE1680" s="3"/>
      <c r="AK1680" s="5"/>
    </row>
    <row r="1681" spans="2:37" x14ac:dyDescent="0.25">
      <c r="B1681" s="1"/>
      <c r="E1681" s="2"/>
      <c r="H1681" s="3"/>
      <c r="I1681" s="3"/>
      <c r="K1681" s="3"/>
      <c r="L1681" s="3"/>
      <c r="X1681" s="4"/>
      <c r="Z1681" s="3"/>
      <c r="AD1681" s="3"/>
      <c r="AE1681" s="3"/>
      <c r="AK1681" s="5"/>
    </row>
    <row r="1682" spans="2:37" x14ac:dyDescent="0.25">
      <c r="B1682" s="1"/>
      <c r="E1682" s="2"/>
      <c r="H1682" s="3"/>
      <c r="I1682" s="3"/>
      <c r="K1682" s="3"/>
      <c r="L1682" s="3"/>
      <c r="X1682" s="4"/>
      <c r="Z1682" s="3"/>
      <c r="AE1682" s="3"/>
      <c r="AK1682" s="5"/>
    </row>
    <row r="1683" spans="2:37" x14ac:dyDescent="0.25">
      <c r="B1683" s="1"/>
      <c r="E1683" s="2"/>
      <c r="G1683" s="3"/>
      <c r="H1683" s="3"/>
      <c r="I1683" s="3"/>
      <c r="K1683" s="3"/>
      <c r="L1683" s="3"/>
      <c r="X1683" s="4"/>
      <c r="AK1683" s="5"/>
    </row>
    <row r="1684" spans="2:37" x14ac:dyDescent="0.25">
      <c r="B1684" s="1"/>
      <c r="D1684" s="3"/>
      <c r="E1684" s="2"/>
      <c r="G1684" s="3"/>
      <c r="H1684" s="3"/>
      <c r="I1684" s="3"/>
      <c r="K1684" s="3"/>
      <c r="L1684" s="3"/>
      <c r="X1684" s="4"/>
      <c r="AB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AB1685" s="3"/>
      <c r="AE1685" s="3"/>
      <c r="AK1685" s="5"/>
    </row>
    <row r="1686" spans="2:37" x14ac:dyDescent="0.25">
      <c r="B1686" s="1"/>
      <c r="D1686" s="3"/>
      <c r="E1686" s="2"/>
      <c r="G1686" s="3"/>
      <c r="H1686" s="3"/>
      <c r="I1686" s="3"/>
      <c r="K1686" s="3"/>
      <c r="L1686" s="3"/>
      <c r="X1686" s="4"/>
      <c r="AD1686" s="3"/>
      <c r="AE1686" s="3"/>
      <c r="AK1686" s="5"/>
    </row>
    <row r="1687" spans="2:37" x14ac:dyDescent="0.25">
      <c r="B1687" s="1"/>
      <c r="E1687" s="2"/>
      <c r="G1687" s="3"/>
      <c r="H1687" s="3"/>
      <c r="I1687" s="3"/>
      <c r="K1687" s="3"/>
      <c r="L1687" s="3"/>
      <c r="X1687" s="4"/>
      <c r="AK1687" s="5"/>
    </row>
    <row r="1688" spans="2:37" x14ac:dyDescent="0.25">
      <c r="B1688" s="1"/>
      <c r="E1688" s="2"/>
      <c r="G1688" s="3"/>
      <c r="H1688" s="3"/>
      <c r="I1688" s="3"/>
      <c r="K1688" s="3"/>
      <c r="L1688" s="3"/>
      <c r="X1688" s="4"/>
      <c r="Z1688" s="3"/>
      <c r="AE1688" s="3"/>
      <c r="AK1688" s="5"/>
    </row>
    <row r="1689" spans="2:37" x14ac:dyDescent="0.25">
      <c r="B1689" s="1"/>
      <c r="E1689" s="2"/>
      <c r="H1689" s="3"/>
      <c r="I1689" s="3"/>
      <c r="K1689" s="3"/>
      <c r="L1689" s="3"/>
      <c r="X1689" s="4"/>
      <c r="Z1689" s="3"/>
      <c r="AB1689" s="3"/>
      <c r="AD1689" s="3"/>
      <c r="AE1689" s="3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Z1690" s="3"/>
      <c r="AB1690" s="3"/>
      <c r="AD1690" s="3"/>
      <c r="AE1690" s="3"/>
      <c r="AK1690" s="5"/>
    </row>
    <row r="1691" spans="2:37" x14ac:dyDescent="0.25">
      <c r="B1691" s="3"/>
      <c r="D1691" s="3"/>
      <c r="E1691" s="2"/>
      <c r="G1691" s="3"/>
      <c r="H1691" s="3"/>
      <c r="I1691" s="3"/>
      <c r="K1691" s="3"/>
      <c r="L1691" s="3"/>
      <c r="X1691" s="4"/>
      <c r="Z1691" s="3"/>
      <c r="AD1691" s="3"/>
      <c r="AE1691" s="3"/>
      <c r="AK1691" s="5"/>
    </row>
    <row r="1692" spans="2:37" x14ac:dyDescent="0.25">
      <c r="B1692" s="1"/>
      <c r="E1692" s="2"/>
      <c r="H1692" s="3"/>
      <c r="I1692" s="3"/>
      <c r="K1692" s="3"/>
      <c r="L1692" s="3"/>
      <c r="X1692" s="4"/>
      <c r="Z1692" s="3"/>
      <c r="AD1692" s="3"/>
      <c r="AE1692" s="3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AD1693" s="3"/>
      <c r="AE1693" s="3"/>
      <c r="AK1693" s="5"/>
    </row>
    <row r="1694" spans="2:37" x14ac:dyDescent="0.25">
      <c r="B1694" s="3"/>
      <c r="E1694" s="2"/>
      <c r="G1694" s="3"/>
      <c r="H1694" s="3"/>
      <c r="I1694" s="3"/>
      <c r="K1694" s="3"/>
      <c r="L1694" s="3"/>
      <c r="X1694" s="4"/>
      <c r="AB1694" s="3"/>
      <c r="AD1694" s="3"/>
      <c r="AE1694" s="3"/>
      <c r="AK1694" s="5"/>
    </row>
    <row r="1695" spans="2:37" x14ac:dyDescent="0.25">
      <c r="B1695" s="1"/>
      <c r="E1695" s="2"/>
      <c r="H1695" s="3"/>
      <c r="I1695" s="3"/>
      <c r="K1695" s="3"/>
      <c r="L1695" s="3"/>
      <c r="X1695" s="4"/>
      <c r="AB1695" s="3"/>
      <c r="AD1695" s="3"/>
      <c r="AE1695" s="3"/>
      <c r="AK1695" s="5"/>
    </row>
    <row r="1696" spans="2:37" x14ac:dyDescent="0.25">
      <c r="B1696" s="1"/>
      <c r="E1696" s="2"/>
      <c r="G1696" s="3"/>
      <c r="H1696" s="3"/>
      <c r="I1696" s="3"/>
      <c r="K1696" s="3"/>
      <c r="L1696" s="3"/>
      <c r="X1696" s="4"/>
      <c r="AD1696" s="3"/>
      <c r="AE1696" s="3"/>
      <c r="AK1696" s="5"/>
    </row>
    <row r="1697" spans="2:37" x14ac:dyDescent="0.25">
      <c r="B1697" s="3"/>
      <c r="E1697" s="2"/>
      <c r="G1697" s="3"/>
      <c r="H1697" s="3"/>
      <c r="I1697" s="3"/>
      <c r="K1697" s="3"/>
      <c r="L1697" s="3"/>
      <c r="X1697" s="4"/>
      <c r="AD1697" s="3"/>
      <c r="AE1697" s="3"/>
      <c r="AK1697" s="5"/>
    </row>
    <row r="1698" spans="2:37" x14ac:dyDescent="0.25">
      <c r="B1698" s="1"/>
      <c r="E1698" s="2"/>
      <c r="H1698" s="3"/>
      <c r="I1698" s="3"/>
      <c r="K1698" s="3"/>
      <c r="L1698" s="3"/>
      <c r="X1698" s="4"/>
      <c r="Z1698" s="3"/>
      <c r="AE1698" s="3"/>
      <c r="AK1698" s="5"/>
    </row>
    <row r="1699" spans="2:37" x14ac:dyDescent="0.25">
      <c r="B1699" s="1"/>
      <c r="E1699" s="2"/>
      <c r="H1699" s="3"/>
      <c r="I1699" s="3"/>
      <c r="K1699" s="3"/>
      <c r="L1699" s="3"/>
      <c r="X1699" s="4"/>
      <c r="Z1699" s="3"/>
      <c r="AE1699" s="3"/>
      <c r="AK1699" s="5"/>
    </row>
    <row r="1700" spans="2:37" x14ac:dyDescent="0.25">
      <c r="B1700" s="1"/>
      <c r="D1700" s="3"/>
      <c r="E1700" s="2"/>
      <c r="G1700" s="3"/>
      <c r="H1700" s="3"/>
      <c r="I1700" s="3"/>
      <c r="K1700" s="3"/>
      <c r="L1700" s="3"/>
      <c r="X1700" s="4"/>
      <c r="AK1700" s="5"/>
    </row>
    <row r="1701" spans="2:37" x14ac:dyDescent="0.25">
      <c r="B1701" s="3"/>
      <c r="D1701" s="3"/>
      <c r="E1701" s="2"/>
      <c r="G1701" s="3"/>
      <c r="H1701" s="3"/>
      <c r="I1701" s="3"/>
      <c r="K1701" s="3"/>
      <c r="L1701" s="3"/>
      <c r="X1701" s="4"/>
      <c r="AB1701" s="3"/>
      <c r="AD1701" s="3"/>
      <c r="AE1701" s="3"/>
      <c r="AK1701" s="5"/>
    </row>
    <row r="1702" spans="2:37" x14ac:dyDescent="0.25">
      <c r="B1702" s="1"/>
      <c r="D1702" s="3"/>
      <c r="E1702" s="2"/>
      <c r="G1702" s="3"/>
      <c r="H1702" s="3"/>
      <c r="I1702" s="3"/>
      <c r="K1702" s="3"/>
      <c r="L1702" s="3"/>
      <c r="X1702" s="4"/>
      <c r="AD1702" s="3"/>
      <c r="AE1702" s="3"/>
      <c r="AK1702" s="5"/>
    </row>
    <row r="1703" spans="2:37" x14ac:dyDescent="0.25">
      <c r="B1703" s="1"/>
      <c r="D1703" s="3"/>
      <c r="E1703" s="2"/>
      <c r="G1703" s="3"/>
      <c r="H1703" s="3"/>
      <c r="I1703" s="3"/>
      <c r="K1703" s="3"/>
      <c r="L1703" s="3"/>
      <c r="X1703" s="4"/>
      <c r="AD1703" s="3"/>
      <c r="AE1703" s="3"/>
      <c r="AK1703" s="5"/>
    </row>
    <row r="1704" spans="2:37" x14ac:dyDescent="0.25">
      <c r="B1704" s="1"/>
      <c r="D1704" s="3"/>
      <c r="E1704" s="2"/>
      <c r="G1704" s="3"/>
      <c r="H1704" s="3"/>
      <c r="I1704" s="3"/>
      <c r="K1704" s="3"/>
      <c r="L1704" s="3"/>
      <c r="X1704" s="4"/>
      <c r="Z1704" s="3"/>
      <c r="AB1704" s="3"/>
      <c r="AD1704" s="3"/>
      <c r="AE1704" s="3"/>
      <c r="AK1704" s="5"/>
    </row>
    <row r="1705" spans="2:37" x14ac:dyDescent="0.25">
      <c r="B1705" s="1"/>
      <c r="D1705" s="3"/>
      <c r="E1705" s="2"/>
      <c r="G1705" s="3"/>
      <c r="H1705" s="3"/>
      <c r="I1705" s="3"/>
      <c r="K1705" s="3"/>
      <c r="L1705" s="3"/>
      <c r="X1705" s="4"/>
      <c r="Z1705" s="3"/>
      <c r="AB1705" s="3"/>
      <c r="AD1705" s="3"/>
      <c r="AE1705" s="3"/>
      <c r="AK1705" s="5"/>
    </row>
    <row r="1706" spans="2:37" x14ac:dyDescent="0.25">
      <c r="B1706" s="1"/>
      <c r="D1706" s="3"/>
      <c r="E1706" s="2"/>
      <c r="G1706" s="3"/>
      <c r="H1706" s="3"/>
      <c r="I1706" s="3"/>
      <c r="K1706" s="3"/>
      <c r="L1706" s="3"/>
      <c r="X1706" s="4"/>
      <c r="AB1706" s="3"/>
      <c r="AD1706" s="3"/>
      <c r="AE1706" s="3"/>
      <c r="AK1706" s="5"/>
    </row>
    <row r="1707" spans="2:37" x14ac:dyDescent="0.25">
      <c r="B1707" s="1"/>
      <c r="D1707" s="3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x14ac:dyDescent="0.25">
      <c r="B1708" s="1"/>
      <c r="E1708" s="2"/>
      <c r="G1708" s="3"/>
      <c r="H1708" s="3"/>
      <c r="I1708" s="3"/>
      <c r="K1708" s="3"/>
      <c r="L1708" s="3"/>
      <c r="X1708" s="4"/>
    </row>
    <row r="1709" spans="2:37" x14ac:dyDescent="0.25">
      <c r="B1709" s="3"/>
      <c r="E1709" s="2"/>
      <c r="G1709" s="3"/>
      <c r="H1709" s="3"/>
      <c r="I1709" s="3"/>
      <c r="K1709" s="3"/>
      <c r="L1709" s="3"/>
      <c r="X1709" s="4"/>
    </row>
    <row r="1710" spans="2:37" x14ac:dyDescent="0.25">
      <c r="B1710" s="1"/>
      <c r="D1710" s="3"/>
      <c r="E1710" s="2"/>
      <c r="G1710" s="3"/>
      <c r="H1710" s="3"/>
      <c r="I1710" s="3"/>
      <c r="K1710" s="3"/>
      <c r="L1710" s="3"/>
      <c r="X1710" s="4"/>
    </row>
    <row r="1711" spans="2:37" x14ac:dyDescent="0.25">
      <c r="B1711" s="3"/>
      <c r="D1711" s="3"/>
      <c r="E1711" s="2"/>
      <c r="G1711" s="3"/>
      <c r="H1711" s="3"/>
      <c r="I1711" s="3"/>
      <c r="K1711" s="3"/>
      <c r="L1711" s="3"/>
      <c r="X1711" s="4"/>
      <c r="AK1711" s="5"/>
    </row>
    <row r="1712" spans="2:37" x14ac:dyDescent="0.25">
      <c r="B1712" s="1"/>
      <c r="D1712" s="3"/>
      <c r="E1712" s="2"/>
      <c r="G1712" s="3"/>
      <c r="H1712" s="3"/>
      <c r="I1712" s="3"/>
      <c r="K1712" s="3"/>
      <c r="L1712" s="3"/>
      <c r="X1712" s="4"/>
      <c r="AD1712" s="3"/>
      <c r="AE1712" s="3"/>
      <c r="AK1712" s="5"/>
    </row>
    <row r="1713" spans="2:37" x14ac:dyDescent="0.25">
      <c r="B1713" s="3"/>
      <c r="D1713" s="3"/>
      <c r="E1713" s="2"/>
      <c r="G1713" s="3"/>
      <c r="H1713" s="3"/>
      <c r="I1713" s="3"/>
      <c r="K1713" s="3"/>
      <c r="L1713" s="3"/>
      <c r="X1713" s="4"/>
      <c r="AK1713" s="5"/>
    </row>
    <row r="1714" spans="2:37" x14ac:dyDescent="0.25">
      <c r="B1714" s="1"/>
      <c r="D1714" s="3"/>
      <c r="E1714" s="2"/>
      <c r="F1714" s="3"/>
      <c r="G1714" s="3"/>
      <c r="H1714" s="3"/>
      <c r="I1714" s="3"/>
      <c r="K1714" s="3"/>
      <c r="L1714" s="3"/>
      <c r="X1714" s="4"/>
      <c r="AB1714" s="3"/>
      <c r="AE1714" s="3"/>
      <c r="AK1714" s="5"/>
    </row>
    <row r="1715" spans="2:37" x14ac:dyDescent="0.25">
      <c r="B1715" s="1"/>
      <c r="D1715" s="3"/>
      <c r="E1715" s="2"/>
      <c r="F1715" s="3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B1716" s="3"/>
      <c r="AE1716" s="3"/>
      <c r="AK1716" s="5"/>
    </row>
    <row r="1717" spans="2:37" x14ac:dyDescent="0.25">
      <c r="B1717" s="1"/>
      <c r="D1717" s="3"/>
      <c r="E1717" s="2"/>
      <c r="F1717" s="3"/>
      <c r="G1717" s="3"/>
      <c r="H1717" s="3"/>
      <c r="I1717" s="3"/>
      <c r="K1717" s="3"/>
      <c r="L1717" s="3"/>
      <c r="X1717" s="4"/>
      <c r="Z1717" s="3"/>
      <c r="AE1717" s="3"/>
      <c r="AK1717" s="5"/>
    </row>
    <row r="1718" spans="2:37" x14ac:dyDescent="0.25">
      <c r="B1718" s="1"/>
      <c r="E1718" s="2"/>
      <c r="G1718" s="3"/>
      <c r="H1718" s="3"/>
      <c r="I1718" s="3"/>
      <c r="K1718" s="3"/>
      <c r="L1718" s="3"/>
      <c r="X1718" s="4"/>
      <c r="Z1718" s="3"/>
      <c r="AE1718" s="3"/>
      <c r="AK1718" s="5"/>
    </row>
    <row r="1719" spans="2:37" x14ac:dyDescent="0.25">
      <c r="B1719" s="1"/>
      <c r="E1719" s="2"/>
      <c r="G1719" s="3"/>
      <c r="H1719" s="3"/>
      <c r="I1719" s="3"/>
      <c r="K1719" s="3"/>
      <c r="X1719" s="4"/>
    </row>
    <row r="1720" spans="2:37" x14ac:dyDescent="0.25">
      <c r="B1720" s="1"/>
      <c r="E1720" s="2"/>
      <c r="G1720" s="3"/>
      <c r="H1720" s="3"/>
      <c r="I1720" s="3"/>
      <c r="K1720" s="3"/>
      <c r="L1720" s="3"/>
      <c r="X1720" s="4"/>
    </row>
    <row r="1721" spans="2:37" x14ac:dyDescent="0.25">
      <c r="B1721" s="1"/>
      <c r="E1721" s="2"/>
      <c r="G1721" s="3"/>
      <c r="H1721" s="3"/>
      <c r="I1721" s="3"/>
      <c r="K1721" s="3"/>
      <c r="L1721" s="3"/>
      <c r="X1721" s="4"/>
      <c r="AK1721" s="5"/>
    </row>
    <row r="1722" spans="2:37" x14ac:dyDescent="0.25">
      <c r="B1722" s="1"/>
      <c r="E1722" s="2"/>
      <c r="G1722" s="3"/>
      <c r="H1722" s="3"/>
      <c r="I1722" s="3"/>
      <c r="K1722" s="3"/>
      <c r="L1722" s="3"/>
      <c r="X1722" s="4"/>
      <c r="Z1722" s="3"/>
      <c r="AB1722" s="3"/>
      <c r="AE1722" s="3"/>
      <c r="AK1722" s="5"/>
    </row>
    <row r="1723" spans="2:37" x14ac:dyDescent="0.25">
      <c r="B1723" s="1"/>
      <c r="E1723" s="2"/>
      <c r="H1723" s="3"/>
      <c r="I1723" s="3"/>
      <c r="K1723" s="3"/>
      <c r="L1723" s="3"/>
      <c r="X1723" s="4"/>
      <c r="Z1723" s="3"/>
      <c r="AE1723" s="3"/>
      <c r="AK1723" s="5"/>
    </row>
    <row r="1724" spans="2:37" x14ac:dyDescent="0.25">
      <c r="B1724" s="1"/>
      <c r="E1724" s="2"/>
      <c r="F1724" s="3"/>
      <c r="G1724" s="3"/>
      <c r="H1724" s="3"/>
      <c r="I1724" s="3"/>
      <c r="K1724" s="3"/>
      <c r="L1724" s="3"/>
      <c r="X1724" s="4"/>
      <c r="Z1724" s="3"/>
      <c r="AB1724" s="3"/>
      <c r="AE1724" s="3"/>
      <c r="AK1724" s="5"/>
    </row>
    <row r="1725" spans="2:37" x14ac:dyDescent="0.25">
      <c r="B1725" s="1"/>
      <c r="E1725" s="2"/>
      <c r="F1725" s="3"/>
      <c r="G1725" s="3"/>
      <c r="H1725" s="3"/>
      <c r="I1725" s="3"/>
      <c r="K1725" s="3"/>
      <c r="L1725" s="3"/>
      <c r="X1725" s="4"/>
      <c r="Z1725" s="3"/>
      <c r="AB1725" s="3"/>
      <c r="AE1725" s="3"/>
      <c r="AK1725" s="5"/>
    </row>
    <row r="1726" spans="2:37" x14ac:dyDescent="0.25">
      <c r="B1726" s="1"/>
      <c r="E1726" s="2"/>
      <c r="H1726" s="3"/>
      <c r="I1726" s="3"/>
      <c r="K1726" s="3"/>
      <c r="L1726" s="3"/>
      <c r="X1726" s="4"/>
      <c r="AB1726" s="3"/>
      <c r="AD1726" s="3"/>
      <c r="AE1726" s="3"/>
      <c r="AK1726" s="5"/>
    </row>
    <row r="1727" spans="2:37" x14ac:dyDescent="0.25">
      <c r="B1727" s="1"/>
      <c r="D1727" s="3"/>
      <c r="E1727" s="2"/>
      <c r="G1727" s="3"/>
      <c r="H1727" s="3"/>
      <c r="I1727" s="3"/>
      <c r="K1727" s="3"/>
      <c r="L1727" s="3"/>
      <c r="X1727" s="4"/>
      <c r="Z1727" s="3"/>
      <c r="AD1727" s="3"/>
      <c r="AE1727" s="3"/>
      <c r="AK1727" s="5"/>
    </row>
    <row r="1728" spans="2:37" x14ac:dyDescent="0.25">
      <c r="B1728" s="1"/>
      <c r="E1728" s="2"/>
      <c r="H1728" s="3"/>
      <c r="I1728" s="3"/>
      <c r="K1728" s="3"/>
      <c r="L1728" s="3"/>
      <c r="X1728" s="4"/>
      <c r="Z1728" s="3"/>
      <c r="AE1728" s="3"/>
      <c r="AK1728" s="5"/>
    </row>
    <row r="1729" spans="2:37" x14ac:dyDescent="0.25">
      <c r="B1729" s="1"/>
      <c r="E1729" s="2"/>
      <c r="G1729" s="3"/>
      <c r="H1729" s="3"/>
      <c r="I1729" s="3"/>
      <c r="K1729" s="3"/>
      <c r="X1729" s="4"/>
      <c r="AE1729" s="3"/>
      <c r="AK1729" s="5"/>
    </row>
    <row r="1730" spans="2:37" x14ac:dyDescent="0.25">
      <c r="B1730" s="1"/>
      <c r="E1730" s="2"/>
      <c r="H1730" s="3"/>
      <c r="I1730" s="3"/>
      <c r="K1730" s="3"/>
      <c r="L1730" s="3"/>
      <c r="X1730" s="4"/>
      <c r="AB1730" s="3"/>
      <c r="AE1730" s="3"/>
      <c r="AK1730" s="5"/>
    </row>
    <row r="1731" spans="2:37" x14ac:dyDescent="0.25">
      <c r="B1731" s="1"/>
      <c r="E1731" s="2"/>
      <c r="G1731" s="3"/>
      <c r="H1731" s="3"/>
      <c r="I1731" s="3"/>
      <c r="K1731" s="3"/>
      <c r="L1731" s="3"/>
      <c r="X1731" s="4"/>
      <c r="AB1731" s="3"/>
      <c r="AE1731" s="3"/>
      <c r="AK1731" s="5"/>
    </row>
    <row r="1732" spans="2:37" x14ac:dyDescent="0.25">
      <c r="B1732" s="3"/>
      <c r="E1732" s="2"/>
      <c r="G1732" s="3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D1733" s="3"/>
      <c r="E1733" s="2"/>
      <c r="G1733" s="3"/>
      <c r="H1733" s="3"/>
      <c r="I1733" s="3"/>
      <c r="K1733" s="3"/>
      <c r="L1733" s="3"/>
      <c r="X1733" s="4"/>
      <c r="Z1733" s="3"/>
      <c r="AE1733" s="3"/>
      <c r="AK1733" s="5"/>
    </row>
    <row r="1734" spans="2:37" x14ac:dyDescent="0.25">
      <c r="B1734" s="1"/>
      <c r="E1734" s="2"/>
      <c r="F1734" s="3"/>
      <c r="G1734" s="3"/>
      <c r="H1734" s="3"/>
      <c r="I1734" s="3"/>
      <c r="K1734" s="3"/>
      <c r="L1734" s="3"/>
      <c r="X1734" s="4"/>
      <c r="AK1734" s="5"/>
    </row>
    <row r="1735" spans="2:37" x14ac:dyDescent="0.25">
      <c r="B1735" s="1"/>
      <c r="D1735" s="3"/>
      <c r="E1735" s="2"/>
      <c r="F1735" s="3"/>
      <c r="G1735" s="3"/>
      <c r="H1735" s="3"/>
      <c r="I1735" s="3"/>
      <c r="K1735" s="3"/>
      <c r="L1735" s="3"/>
      <c r="X1735" s="4"/>
      <c r="Z1735" s="3"/>
      <c r="AB1735" s="3"/>
      <c r="AE1735" s="3"/>
      <c r="AK1735" s="5"/>
    </row>
    <row r="1736" spans="2:37" x14ac:dyDescent="0.25">
      <c r="B1736" s="1"/>
      <c r="E1736" s="2"/>
      <c r="G1736" s="3"/>
      <c r="H1736" s="3"/>
      <c r="I1736" s="3"/>
      <c r="K1736" s="3"/>
      <c r="L1736" s="3"/>
      <c r="X1736" s="4"/>
      <c r="AB1736" s="3"/>
      <c r="AD1736" s="3"/>
      <c r="AE1736" s="3"/>
      <c r="AK1736" s="5"/>
    </row>
    <row r="1737" spans="2:37" x14ac:dyDescent="0.25">
      <c r="B1737" s="1"/>
      <c r="D1737" s="3"/>
      <c r="E1737" s="2"/>
      <c r="G1737" s="3"/>
      <c r="H1737" s="3"/>
      <c r="I1737" s="3"/>
      <c r="K1737" s="3"/>
      <c r="L1737" s="3"/>
      <c r="X1737" s="4"/>
      <c r="AD1737" s="3"/>
      <c r="AE1737" s="3"/>
      <c r="AK1737" s="5"/>
    </row>
    <row r="1738" spans="2:37" x14ac:dyDescent="0.25">
      <c r="B1738" s="1"/>
      <c r="D1738" s="3"/>
      <c r="E1738" s="2"/>
      <c r="G1738" s="3"/>
      <c r="H1738" s="3"/>
      <c r="I1738" s="3"/>
      <c r="K1738" s="3"/>
      <c r="L1738" s="3"/>
      <c r="X1738" s="4"/>
      <c r="AD1738" s="3"/>
      <c r="AE1738" s="3"/>
      <c r="AK1738" s="5"/>
    </row>
    <row r="1739" spans="2:37" x14ac:dyDescent="0.25">
      <c r="B1739" s="1"/>
      <c r="E1739" s="2"/>
      <c r="G1739" s="3"/>
      <c r="H1739" s="3"/>
      <c r="I1739" s="3"/>
      <c r="K1739" s="3"/>
      <c r="L1739" s="3"/>
      <c r="X1739" s="4"/>
      <c r="Z1739" s="3"/>
      <c r="AB1739" s="3"/>
      <c r="AD1739" s="3"/>
      <c r="AE1739" s="3"/>
      <c r="AK1739" s="5"/>
    </row>
    <row r="1740" spans="2:37" x14ac:dyDescent="0.25">
      <c r="B1740" s="1"/>
      <c r="E1740" s="2"/>
      <c r="H1740" s="3"/>
      <c r="I1740" s="3"/>
      <c r="K1740" s="3"/>
      <c r="L1740" s="3"/>
      <c r="X1740" s="4"/>
      <c r="Z1740" s="3"/>
      <c r="AB1740" s="3"/>
      <c r="AE1740" s="3"/>
      <c r="AK1740" s="5"/>
    </row>
    <row r="1741" spans="2:37" x14ac:dyDescent="0.25">
      <c r="B1741" s="1"/>
      <c r="E1741" s="2"/>
      <c r="G1741" s="3"/>
      <c r="H1741" s="3"/>
      <c r="I1741" s="3"/>
      <c r="K1741" s="3"/>
      <c r="L1741" s="3"/>
      <c r="X1741" s="4"/>
      <c r="AB1741" s="3"/>
      <c r="AE1741" s="3"/>
      <c r="AK1741" s="5"/>
    </row>
    <row r="1742" spans="2:37" x14ac:dyDescent="0.25">
      <c r="B1742" s="1"/>
      <c r="E1742" s="2"/>
      <c r="F1742" s="3"/>
      <c r="G1742" s="3"/>
      <c r="H1742" s="3"/>
      <c r="I1742" s="3"/>
      <c r="K1742" s="3"/>
      <c r="L1742" s="3"/>
      <c r="X1742" s="4"/>
    </row>
    <row r="1743" spans="2:37" x14ac:dyDescent="0.25">
      <c r="B1743" s="3"/>
      <c r="E1743" s="2"/>
      <c r="G1743" s="3"/>
      <c r="H1743" s="3"/>
      <c r="I1743" s="3"/>
      <c r="K1743" s="3"/>
      <c r="X1743" s="4"/>
      <c r="AE1743" s="3"/>
      <c r="AK1743" s="5"/>
    </row>
    <row r="1744" spans="2:37" x14ac:dyDescent="0.25">
      <c r="B1744" s="1"/>
      <c r="E1744" s="2"/>
      <c r="G1744" s="3"/>
      <c r="H1744" s="3"/>
      <c r="I1744" s="3"/>
      <c r="K1744" s="3"/>
      <c r="L1744" s="3"/>
      <c r="X1744" s="4"/>
      <c r="Z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Z1745" s="3"/>
      <c r="AE1745" s="3"/>
      <c r="AK1745" s="5"/>
    </row>
    <row r="1746" spans="2:37" x14ac:dyDescent="0.25">
      <c r="B1746" s="1"/>
      <c r="E1746" s="2"/>
      <c r="F1746" s="3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x14ac:dyDescent="0.25">
      <c r="B1747" s="1"/>
      <c r="E1747" s="2"/>
      <c r="F1747" s="3"/>
      <c r="G1747" s="3"/>
      <c r="H1747" s="3"/>
      <c r="I1747" s="3"/>
      <c r="K1747" s="3"/>
      <c r="L1747" s="3"/>
      <c r="X1747" s="4"/>
      <c r="AD1747" s="3"/>
      <c r="AE1747" s="3"/>
      <c r="AK1747" s="5"/>
    </row>
    <row r="1748" spans="2:37" x14ac:dyDescent="0.25">
      <c r="B1748" s="1"/>
      <c r="E1748" s="2"/>
      <c r="F1748" s="3"/>
      <c r="G1748" s="3"/>
      <c r="H1748" s="3"/>
      <c r="I1748" s="3"/>
      <c r="K1748" s="3"/>
      <c r="L1748" s="3"/>
      <c r="X1748" s="4"/>
      <c r="Z1748" s="3"/>
      <c r="AD1748" s="3"/>
      <c r="AE1748" s="3"/>
      <c r="AK1748" s="5"/>
    </row>
    <row r="1749" spans="2:37" x14ac:dyDescent="0.25">
      <c r="B1749" s="1"/>
      <c r="E1749" s="2"/>
      <c r="F1749" s="3"/>
      <c r="G1749" s="3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D1750" s="3"/>
      <c r="E1750" s="2"/>
      <c r="H1750" s="3"/>
      <c r="I1750" s="3"/>
      <c r="K1750" s="3"/>
      <c r="X1750" s="4"/>
    </row>
    <row r="1751" spans="2:37" x14ac:dyDescent="0.25">
      <c r="B1751" s="1"/>
      <c r="E1751" s="2"/>
      <c r="H1751" s="3"/>
      <c r="I1751" s="3"/>
      <c r="K1751" s="3"/>
      <c r="L1751" s="3"/>
      <c r="X1751" s="4"/>
      <c r="AA1751" s="3"/>
      <c r="AE1751" s="3"/>
      <c r="AK1751" s="5"/>
    </row>
    <row r="1752" spans="2:37" x14ac:dyDescent="0.25">
      <c r="B1752" s="1"/>
      <c r="E1752" s="2"/>
      <c r="G1752" s="3"/>
      <c r="H1752" s="3"/>
      <c r="I1752" s="3"/>
      <c r="K1752" s="3"/>
      <c r="L1752" s="3"/>
      <c r="X1752" s="4"/>
      <c r="Z1752" s="3"/>
      <c r="AA1752" s="3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E1753" s="3"/>
      <c r="AK1753" s="5"/>
    </row>
    <row r="1754" spans="2:37" x14ac:dyDescent="0.25">
      <c r="B1754" s="1"/>
      <c r="D1754" s="3"/>
      <c r="E1754" s="2"/>
      <c r="G1754" s="3"/>
      <c r="H1754" s="3"/>
      <c r="I1754" s="3"/>
      <c r="K1754" s="3"/>
      <c r="X1754" s="4"/>
      <c r="AE1754" s="3"/>
      <c r="AK1754" s="5"/>
    </row>
    <row r="1755" spans="2:37" x14ac:dyDescent="0.25">
      <c r="B1755" s="1"/>
      <c r="E1755" s="2"/>
      <c r="H1755" s="3"/>
      <c r="I1755" s="3"/>
      <c r="K1755" s="3"/>
      <c r="L1755" s="3"/>
      <c r="X1755" s="4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</row>
    <row r="1757" spans="2:37" x14ac:dyDescent="0.25">
      <c r="B1757" s="3"/>
      <c r="E1757" s="2"/>
      <c r="G1757" s="3"/>
      <c r="H1757" s="3"/>
      <c r="I1757" s="3"/>
      <c r="K1757" s="3"/>
      <c r="L1757" s="3"/>
      <c r="X1757" s="4"/>
      <c r="Z1757" s="3"/>
      <c r="AE1757" s="3"/>
      <c r="AK1757" s="5"/>
    </row>
    <row r="1758" spans="2:37" x14ac:dyDescent="0.25">
      <c r="B1758" s="1"/>
      <c r="E1758" s="2"/>
      <c r="F1758" s="3"/>
      <c r="G1758" s="3"/>
      <c r="H1758" s="3"/>
      <c r="I1758" s="3"/>
      <c r="K1758" s="3"/>
      <c r="L1758" s="3"/>
      <c r="X1758" s="4"/>
      <c r="AE1758" s="3"/>
      <c r="AK1758" s="5"/>
    </row>
    <row r="1759" spans="2:37" x14ac:dyDescent="0.25">
      <c r="B1759" s="1"/>
      <c r="D1759" s="3"/>
      <c r="E1759" s="2"/>
      <c r="G1759" s="3"/>
      <c r="H1759" s="3"/>
      <c r="I1759" s="3"/>
      <c r="K1759" s="3"/>
      <c r="L1759" s="3"/>
      <c r="X1759" s="4"/>
      <c r="AB1759" s="3"/>
      <c r="AE1759" s="3"/>
    </row>
    <row r="1760" spans="2:37" x14ac:dyDescent="0.25">
      <c r="B1760" s="1"/>
      <c r="D1760" s="3"/>
      <c r="E1760" s="2"/>
      <c r="G1760" s="3"/>
      <c r="H1760" s="3"/>
      <c r="I1760" s="3"/>
      <c r="K1760" s="3"/>
      <c r="L1760" s="3"/>
      <c r="X1760" s="4"/>
    </row>
    <row r="1761" spans="2:37" x14ac:dyDescent="0.25">
      <c r="B1761" s="1"/>
      <c r="E1761" s="2"/>
      <c r="G1761" s="3"/>
      <c r="H1761" s="3"/>
      <c r="I1761" s="3"/>
      <c r="K1761" s="3"/>
      <c r="L1761" s="3"/>
      <c r="X1761" s="4"/>
      <c r="AA1761" s="3"/>
      <c r="AE1761" s="3"/>
      <c r="AK1761" s="5"/>
    </row>
    <row r="1762" spans="2:37" x14ac:dyDescent="0.25">
      <c r="B1762" s="1"/>
      <c r="E1762" s="2"/>
      <c r="H1762" s="3"/>
      <c r="I1762" s="3"/>
      <c r="K1762" s="3"/>
      <c r="L1762" s="3"/>
      <c r="X1762" s="4"/>
      <c r="Z1762" s="3"/>
      <c r="AE1762" s="3"/>
      <c r="AK1762" s="5"/>
    </row>
    <row r="1763" spans="2:37" x14ac:dyDescent="0.25">
      <c r="B1763" s="1"/>
      <c r="D1763" s="3"/>
      <c r="E1763" s="2"/>
      <c r="G1763" s="3"/>
      <c r="H1763" s="3"/>
      <c r="I1763" s="3"/>
      <c r="K1763" s="3"/>
      <c r="L1763" s="3"/>
      <c r="X1763" s="4"/>
    </row>
    <row r="1764" spans="2:37" x14ac:dyDescent="0.25">
      <c r="B1764" s="1"/>
      <c r="D1764" s="3"/>
      <c r="E1764" s="2"/>
      <c r="G1764" s="3"/>
      <c r="H1764" s="3"/>
      <c r="I1764" s="3"/>
      <c r="K1764" s="3"/>
      <c r="L1764" s="3"/>
      <c r="X1764" s="4"/>
      <c r="Z1764" s="3"/>
      <c r="AK1764" s="5"/>
    </row>
    <row r="1765" spans="2:37" x14ac:dyDescent="0.25">
      <c r="B1765" s="1"/>
      <c r="D1765" s="3"/>
      <c r="E1765" s="2"/>
      <c r="G1765" s="3"/>
      <c r="H1765" s="3"/>
      <c r="I1765" s="3"/>
      <c r="K1765" s="3"/>
      <c r="L1765" s="3"/>
      <c r="X1765" s="4"/>
      <c r="Z1765" s="3"/>
      <c r="AB1765" s="3"/>
      <c r="AE1765" s="3"/>
      <c r="AK1765" s="5"/>
    </row>
    <row r="1766" spans="2:37" x14ac:dyDescent="0.25">
      <c r="B1766" s="1"/>
      <c r="E1766" s="2"/>
      <c r="G1766" s="3"/>
      <c r="H1766" s="3"/>
      <c r="I1766" s="3"/>
      <c r="K1766" s="3"/>
      <c r="L1766" s="3"/>
      <c r="X1766" s="4"/>
      <c r="AB1766" s="3"/>
      <c r="AE1766" s="3"/>
      <c r="AK1766" s="5"/>
    </row>
    <row r="1767" spans="2:37" x14ac:dyDescent="0.25">
      <c r="B1767" s="1"/>
      <c r="E1767" s="2"/>
      <c r="H1767" s="3"/>
      <c r="I1767" s="3"/>
      <c r="K1767" s="3"/>
      <c r="L1767" s="3"/>
      <c r="X1767" s="4"/>
      <c r="AE1767" s="3"/>
      <c r="AK1767" s="5"/>
    </row>
    <row r="1768" spans="2:37" x14ac:dyDescent="0.25">
      <c r="B1768" s="1"/>
      <c r="C1768" s="3"/>
      <c r="E1768" s="2"/>
      <c r="G1768" s="3"/>
      <c r="H1768" s="3"/>
      <c r="I1768" s="3"/>
      <c r="K1768" s="3"/>
      <c r="L1768" s="3"/>
      <c r="X1768" s="4"/>
    </row>
    <row r="1769" spans="2:37" x14ac:dyDescent="0.25">
      <c r="B1769" s="1"/>
      <c r="D1769" s="3"/>
      <c r="E1769" s="2"/>
      <c r="G1769" s="3"/>
      <c r="X1769" s="4"/>
      <c r="AK1769" s="5"/>
    </row>
    <row r="1770" spans="2:37" x14ac:dyDescent="0.25">
      <c r="B1770" s="1"/>
      <c r="E1770" s="2"/>
      <c r="H1770" s="3"/>
      <c r="I1770" s="3"/>
      <c r="K1770" s="3"/>
      <c r="L1770" s="3"/>
      <c r="X1770" s="4"/>
      <c r="Z1770" s="3"/>
      <c r="AE1770" s="3"/>
      <c r="AK1770" s="5"/>
    </row>
    <row r="1771" spans="2:37" x14ac:dyDescent="0.25">
      <c r="B1771" s="1"/>
      <c r="E1771" s="2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E1772" s="2"/>
      <c r="H1772" s="3"/>
      <c r="I1772" s="3"/>
      <c r="K1772" s="3"/>
      <c r="L1772" s="3"/>
      <c r="X1772" s="4"/>
    </row>
    <row r="1773" spans="2:37" x14ac:dyDescent="0.25">
      <c r="B1773" s="1"/>
      <c r="D1773" s="3"/>
      <c r="E1773" s="2"/>
      <c r="G1773" s="3"/>
      <c r="H1773" s="3"/>
      <c r="I1773" s="3"/>
      <c r="K1773" s="3"/>
      <c r="X1773" s="4"/>
    </row>
    <row r="1774" spans="2:37" x14ac:dyDescent="0.25">
      <c r="B1774" s="1"/>
      <c r="E1774" s="2"/>
      <c r="H1774" s="3"/>
      <c r="I1774" s="3"/>
      <c r="K1774" s="3"/>
      <c r="L1774" s="3"/>
      <c r="X1774" s="4"/>
      <c r="Z1774" s="3"/>
      <c r="AK1774" s="5"/>
    </row>
    <row r="1775" spans="2:37" x14ac:dyDescent="0.25">
      <c r="B1775" s="1"/>
      <c r="E1775" s="2"/>
      <c r="H1775" s="3"/>
      <c r="I1775" s="3"/>
      <c r="K1775" s="3"/>
      <c r="L1775" s="3"/>
      <c r="X1775" s="4"/>
      <c r="AB1775" s="3"/>
      <c r="AE1775" s="3"/>
      <c r="AK1775" s="5"/>
    </row>
    <row r="1776" spans="2:37" x14ac:dyDescent="0.25">
      <c r="B1776" s="1"/>
      <c r="E1776" s="2"/>
      <c r="G1776" s="3"/>
      <c r="H1776" s="3"/>
      <c r="I1776" s="3"/>
      <c r="K1776" s="3"/>
      <c r="L1776" s="3"/>
      <c r="X1776" s="4"/>
      <c r="AE1776" s="3"/>
      <c r="AK1776" s="5"/>
    </row>
    <row r="1777" spans="2:37" x14ac:dyDescent="0.25">
      <c r="B1777" s="1"/>
      <c r="E1777" s="2"/>
      <c r="G1777" s="3"/>
      <c r="H1777" s="3"/>
      <c r="I1777" s="3"/>
      <c r="K1777" s="3"/>
      <c r="L1777" s="3"/>
      <c r="X1777" s="4"/>
      <c r="Z1777" s="3"/>
      <c r="AB1777" s="3"/>
      <c r="AE1777" s="3"/>
      <c r="AK1777" s="5"/>
    </row>
    <row r="1778" spans="2:37" x14ac:dyDescent="0.25">
      <c r="B1778" s="1"/>
      <c r="C1778" s="3"/>
      <c r="E1778" s="2"/>
      <c r="G1778" s="3"/>
      <c r="H1778" s="3"/>
      <c r="I1778" s="3"/>
      <c r="K1778" s="3"/>
      <c r="L1778" s="3"/>
      <c r="X1778" s="4"/>
    </row>
    <row r="1779" spans="2:37" x14ac:dyDescent="0.25">
      <c r="B1779" s="3"/>
      <c r="E1779" s="2"/>
      <c r="G1779" s="3"/>
      <c r="X1779" s="4"/>
      <c r="AK1779" s="5"/>
    </row>
    <row r="1780" spans="2:37" x14ac:dyDescent="0.25">
      <c r="B1780" s="1"/>
      <c r="E1780" s="2"/>
      <c r="H1780" s="3"/>
      <c r="I1780" s="3"/>
      <c r="K1780" s="3"/>
      <c r="L1780" s="3"/>
      <c r="X1780" s="4"/>
      <c r="Z1780" s="3"/>
      <c r="AD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  <c r="Z1781" s="3"/>
      <c r="AE1781" s="3"/>
      <c r="AK1781" s="5"/>
    </row>
    <row r="1782" spans="2:37" x14ac:dyDescent="0.25">
      <c r="B1782" s="1"/>
      <c r="E1782" s="2"/>
      <c r="G1782" s="3"/>
      <c r="H1782" s="3"/>
      <c r="I1782" s="3"/>
      <c r="K1782" s="3"/>
      <c r="L1782" s="3"/>
      <c r="X1782" s="4"/>
    </row>
    <row r="1783" spans="2:37" x14ac:dyDescent="0.25">
      <c r="B1783" s="1"/>
      <c r="E1783" s="2"/>
      <c r="G1783" s="3"/>
      <c r="H1783" s="3"/>
      <c r="I1783" s="3"/>
      <c r="K1783" s="3"/>
      <c r="L1783" s="3"/>
      <c r="X1783" s="4"/>
    </row>
    <row r="1784" spans="2:37" x14ac:dyDescent="0.25">
      <c r="B1784" s="1"/>
      <c r="E1784" s="2"/>
      <c r="F1784" s="3"/>
      <c r="G1784" s="3"/>
      <c r="H1784" s="3"/>
      <c r="I1784" s="3"/>
      <c r="K1784" s="3"/>
      <c r="X1784" s="4"/>
    </row>
    <row r="1785" spans="2:37" x14ac:dyDescent="0.25">
      <c r="B1785" s="1"/>
      <c r="E1785" s="2"/>
      <c r="H1785" s="3"/>
      <c r="I1785" s="3"/>
      <c r="K1785" s="3"/>
      <c r="X1785" s="4"/>
      <c r="AK1785" s="5"/>
    </row>
    <row r="1786" spans="2:37" x14ac:dyDescent="0.25">
      <c r="B1786" s="1"/>
      <c r="E1786" s="2"/>
      <c r="H1786" s="3"/>
      <c r="I1786" s="3"/>
      <c r="K1786" s="3"/>
      <c r="L1786" s="3"/>
      <c r="X1786" s="4"/>
      <c r="Z1786" s="3"/>
      <c r="AE1786" s="3"/>
      <c r="AK1786" s="5"/>
    </row>
    <row r="1787" spans="2:37" x14ac:dyDescent="0.25">
      <c r="B1787" s="1"/>
      <c r="E1787" s="2"/>
      <c r="G1787" s="3"/>
      <c r="H1787" s="3"/>
      <c r="I1787" s="3"/>
      <c r="K1787" s="3"/>
      <c r="X1787" s="4"/>
      <c r="AK1787" s="5"/>
    </row>
    <row r="1788" spans="2:37" x14ac:dyDescent="0.25">
      <c r="B1788" s="1"/>
      <c r="E1788" s="2"/>
      <c r="H1788" s="3"/>
      <c r="I1788" s="3"/>
      <c r="K1788" s="3"/>
      <c r="L1788" s="3"/>
      <c r="X1788" s="4"/>
      <c r="AE1788" s="3"/>
      <c r="AK1788" s="5"/>
    </row>
    <row r="1789" spans="2:37" x14ac:dyDescent="0.25">
      <c r="B1789" s="1"/>
      <c r="E1789" s="2"/>
      <c r="G1789" s="3"/>
      <c r="H1789" s="3"/>
      <c r="I1789" s="3"/>
      <c r="K1789" s="3"/>
      <c r="X1789" s="4"/>
      <c r="AK1789" s="5"/>
    </row>
    <row r="1790" spans="2:37" x14ac:dyDescent="0.25">
      <c r="B1790" s="1"/>
      <c r="E1790" s="2"/>
      <c r="H1790" s="3"/>
      <c r="I1790" s="3"/>
      <c r="K1790" s="3"/>
      <c r="L1790" s="3"/>
      <c r="X1790" s="4"/>
      <c r="AD1790" s="3"/>
      <c r="AE1790" s="3"/>
      <c r="AK1790" s="5"/>
    </row>
    <row r="1791" spans="2:37" x14ac:dyDescent="0.25">
      <c r="B1791" s="1"/>
      <c r="E1791" s="2"/>
      <c r="H1791" s="3"/>
      <c r="I1791" s="3"/>
      <c r="K1791" s="3"/>
      <c r="X1791" s="4"/>
      <c r="AE1791" s="3"/>
      <c r="AK1791" s="5"/>
    </row>
    <row r="1792" spans="2:37" x14ac:dyDescent="0.25">
      <c r="B1792" s="1"/>
      <c r="E1792" s="2"/>
      <c r="G1792" s="3"/>
      <c r="H1792" s="3"/>
      <c r="I1792" s="3"/>
      <c r="K1792" s="3"/>
      <c r="L1792" s="3"/>
      <c r="M1792" s="5"/>
      <c r="X1792" s="4"/>
    </row>
    <row r="1793" spans="2:37" x14ac:dyDescent="0.25">
      <c r="B1793" s="1"/>
      <c r="E1793" s="2"/>
      <c r="G1793" s="3"/>
      <c r="H1793" s="3"/>
      <c r="I1793" s="3"/>
      <c r="K1793" s="3"/>
      <c r="L1793" s="3"/>
      <c r="X1793" s="4"/>
      <c r="Z1793" s="3"/>
      <c r="AE1793" s="3"/>
      <c r="AK1793" s="5"/>
    </row>
    <row r="1794" spans="2:37" x14ac:dyDescent="0.25">
      <c r="B1794" s="1"/>
      <c r="E1794" s="2"/>
      <c r="H1794" s="3"/>
      <c r="I1794" s="3"/>
      <c r="K1794" s="3"/>
      <c r="L1794" s="3"/>
      <c r="X1794" s="4"/>
      <c r="AB1794" s="3"/>
      <c r="AE1794" s="3"/>
      <c r="AK1794" s="5"/>
    </row>
    <row r="1795" spans="2:37" x14ac:dyDescent="0.25">
      <c r="F1795" s="3"/>
      <c r="G1795" s="3"/>
    </row>
    <row r="1796" spans="2:37" x14ac:dyDescent="0.25">
      <c r="B1796" s="1"/>
      <c r="E1796" s="2"/>
      <c r="H1796" s="3"/>
      <c r="I1796" s="3"/>
      <c r="K1796" s="3"/>
      <c r="X1796" s="4"/>
      <c r="AK1796" s="5"/>
    </row>
    <row r="1797" spans="2:37" x14ac:dyDescent="0.25">
      <c r="B1797" s="1"/>
      <c r="E1797" s="2"/>
      <c r="H1797" s="3"/>
      <c r="I1797" s="3"/>
      <c r="K1797" s="3"/>
      <c r="L1797" s="3"/>
      <c r="X1797" s="4"/>
      <c r="Z1797" s="3"/>
      <c r="AE1797" s="3"/>
      <c r="AK1797" s="5"/>
    </row>
    <row r="1798" spans="2:37" x14ac:dyDescent="0.25">
      <c r="B1798" s="1"/>
      <c r="E1798" s="2"/>
      <c r="H1798" s="3"/>
      <c r="I1798" s="3"/>
      <c r="K1798" s="3"/>
      <c r="X1798" s="4"/>
      <c r="AK1798" s="5"/>
    </row>
    <row r="1799" spans="2:37" x14ac:dyDescent="0.25">
      <c r="B1799" s="1"/>
      <c r="E1799" s="2"/>
      <c r="H1799" s="3"/>
      <c r="I1799" s="3"/>
      <c r="K1799" s="3"/>
      <c r="X1799" s="4"/>
      <c r="AE1799" s="3"/>
      <c r="AK1799" s="5"/>
    </row>
    <row r="1800" spans="2:37" x14ac:dyDescent="0.25">
      <c r="B1800" s="1"/>
      <c r="E1800" s="2"/>
      <c r="H1800" s="3"/>
      <c r="I1800" s="3"/>
      <c r="K1800" s="3"/>
      <c r="X1800" s="4"/>
      <c r="AK1800" s="5"/>
    </row>
    <row r="1801" spans="2:37" x14ac:dyDescent="0.25">
      <c r="B1801" s="1"/>
      <c r="E1801" s="2"/>
      <c r="H1801" s="3"/>
      <c r="I1801" s="3"/>
      <c r="K1801" s="3"/>
      <c r="X1801" s="4"/>
      <c r="AE1801" s="3"/>
      <c r="AK1801" s="5"/>
    </row>
    <row r="1802" spans="2:37" x14ac:dyDescent="0.25">
      <c r="B1802" s="1"/>
      <c r="E1802" s="2"/>
      <c r="H1802" s="3"/>
      <c r="I1802" s="3"/>
      <c r="K1802" s="3"/>
      <c r="X1802" s="4"/>
      <c r="AK1802" s="5"/>
    </row>
    <row r="1803" spans="2:37" x14ac:dyDescent="0.25">
      <c r="B1803" s="1"/>
      <c r="E1803" s="2"/>
      <c r="H1803" s="3"/>
      <c r="I1803" s="3"/>
      <c r="K1803" s="3"/>
      <c r="X1803" s="4"/>
      <c r="AE1803" s="3"/>
      <c r="AK1803" s="5"/>
    </row>
    <row r="1804" spans="2:37" x14ac:dyDescent="0.25">
      <c r="B1804" s="1"/>
      <c r="E1804" s="2"/>
      <c r="H1804" s="3"/>
      <c r="I1804" s="3"/>
      <c r="K1804" s="3"/>
      <c r="L1804" s="3"/>
      <c r="X1804" s="4"/>
    </row>
    <row r="1805" spans="2:37" x14ac:dyDescent="0.25">
      <c r="B1805" s="3"/>
      <c r="G1805" s="3"/>
    </row>
    <row r="1816" spans="7:8" x14ac:dyDescent="0.25">
      <c r="H1816" s="6"/>
    </row>
    <row r="1817" spans="7:8" x14ac:dyDescent="0.25">
      <c r="H1817" s="6"/>
    </row>
    <row r="1818" spans="7:8" x14ac:dyDescent="0.25">
      <c r="G1818" s="3"/>
      <c r="H1818" s="7"/>
    </row>
    <row r="1819" spans="7:8" x14ac:dyDescent="0.25">
      <c r="H1819" s="6"/>
    </row>
    <row r="1820" spans="7:8" x14ac:dyDescent="0.25">
      <c r="H1820" s="6"/>
    </row>
    <row r="1825" spans="7:8" x14ac:dyDescent="0.25">
      <c r="H1825" s="6"/>
    </row>
    <row r="1826" spans="7:8" x14ac:dyDescent="0.25">
      <c r="H1826" s="6"/>
    </row>
    <row r="1827" spans="7:8" x14ac:dyDescent="0.25">
      <c r="G1827" s="3"/>
      <c r="H1827" s="7"/>
    </row>
    <row r="1828" spans="7:8" x14ac:dyDescent="0.25">
      <c r="H1828" s="6"/>
    </row>
    <row r="1829" spans="7:8" x14ac:dyDescent="0.25">
      <c r="H1829" s="6"/>
    </row>
  </sheetData>
  <conditionalFormatting sqref="B501:B1048576">
    <cfRule type="duplicateValues" dxfId="1" priority="1"/>
  </conditionalFormatting>
  <conditionalFormatting sqref="B1811:B1048576 B501:B1809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A2" sqref="A2:B9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SUBTOTAL(9,Planilha1!K1:K1811)</f>
        <v>0</v>
      </c>
      <c r="D3" t="s">
        <v>10</v>
      </c>
      <c r="E3" s="11">
        <v>277817.74</v>
      </c>
    </row>
    <row r="4" spans="1:5" x14ac:dyDescent="0.25">
      <c r="A4" t="s">
        <v>11</v>
      </c>
      <c r="B4" s="9">
        <f>SUBTOTAL(9,Planilha1!L1:L1806)</f>
        <v>0</v>
      </c>
      <c r="D4" t="s">
        <v>11</v>
      </c>
      <c r="E4" s="9">
        <v>39570.569999999992</v>
      </c>
    </row>
    <row r="5" spans="1:5" x14ac:dyDescent="0.25">
      <c r="A5" s="3" t="s">
        <v>12</v>
      </c>
      <c r="B5" s="12">
        <f>SUBTOTAL(9,Planilha1!M1:M1807)</f>
        <v>738857.76445601846</v>
      </c>
      <c r="D5" t="s">
        <v>12</v>
      </c>
      <c r="E5" s="12">
        <v>20107.340000000004</v>
      </c>
    </row>
    <row r="6" spans="1:5" x14ac:dyDescent="0.25">
      <c r="A6" t="s">
        <v>114</v>
      </c>
      <c r="B6" s="10">
        <f>SUBTOTAL(3,Planilha1!D2:D1807)</f>
        <v>116</v>
      </c>
      <c r="D6" t="s">
        <v>114</v>
      </c>
      <c r="E6" s="10">
        <v>31</v>
      </c>
    </row>
    <row r="7" spans="1:5" x14ac:dyDescent="0.25">
      <c r="A7" t="s">
        <v>117</v>
      </c>
      <c r="B7" s="13">
        <f>B3/B6</f>
        <v>0</v>
      </c>
      <c r="D7" t="s">
        <v>117</v>
      </c>
      <c r="E7" s="13">
        <v>8961.8625806451619</v>
      </c>
    </row>
    <row r="8" spans="1:5" x14ac:dyDescent="0.25">
      <c r="A8" t="s">
        <v>116</v>
      </c>
      <c r="B8" s="13" t="e">
        <f>B3/B4</f>
        <v>#DIV/0!</v>
      </c>
      <c r="D8" t="s">
        <v>116</v>
      </c>
      <c r="E8" s="13">
        <v>7.0208172386700527</v>
      </c>
    </row>
    <row r="9" spans="1:5" x14ac:dyDescent="0.25">
      <c r="A9" t="s">
        <v>115</v>
      </c>
      <c r="B9" s="13">
        <f>B3/B5</f>
        <v>0</v>
      </c>
      <c r="D9" t="s">
        <v>115</v>
      </c>
      <c r="E9" s="13">
        <v>13.816732596156426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1562A-405F-41A9-86C0-46CDD1ADDEDB}">
  <dimension ref="A1:B7"/>
  <sheetViews>
    <sheetView workbookViewId="0">
      <selection activeCell="B12" sqref="B12"/>
    </sheetView>
  </sheetViews>
  <sheetFormatPr defaultRowHeight="14.3" x14ac:dyDescent="0.25"/>
  <cols>
    <col min="1" max="1" width="19.375" bestFit="1" customWidth="1"/>
    <col min="2" max="2" width="14" style="16" bestFit="1" customWidth="1"/>
    <col min="3" max="3" width="20.375" bestFit="1" customWidth="1"/>
    <col min="4" max="204" width="18.75" bestFit="1" customWidth="1"/>
    <col min="205" max="205" width="10.25" bestFit="1" customWidth="1"/>
  </cols>
  <sheetData>
    <row r="1" spans="1:2" x14ac:dyDescent="0.25">
      <c r="A1" s="14" t="s">
        <v>4</v>
      </c>
      <c r="B1" s="19" t="s">
        <v>159</v>
      </c>
    </row>
    <row r="2" spans="1:2" x14ac:dyDescent="0.25">
      <c r="A2" s="14" t="s">
        <v>3</v>
      </c>
      <c r="B2" s="19" t="s">
        <v>49</v>
      </c>
    </row>
    <row r="4" spans="1:2" x14ac:dyDescent="0.25">
      <c r="A4" s="14" t="s">
        <v>158</v>
      </c>
    </row>
    <row r="5" spans="1:2" x14ac:dyDescent="0.25">
      <c r="A5" s="15" t="s">
        <v>156</v>
      </c>
      <c r="B5" s="16">
        <v>54041.66</v>
      </c>
    </row>
    <row r="6" spans="1:2" x14ac:dyDescent="0.25">
      <c r="A6" s="15" t="s">
        <v>157</v>
      </c>
      <c r="B6" s="17">
        <v>689178.17</v>
      </c>
    </row>
    <row r="7" spans="1:2" x14ac:dyDescent="0.25">
      <c r="A7" s="15" t="s">
        <v>160</v>
      </c>
      <c r="B7" s="18">
        <v>122700.89999999998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2026-03-24T19:29:33Z</dcterms:modified>
</cp:coreProperties>
</file>