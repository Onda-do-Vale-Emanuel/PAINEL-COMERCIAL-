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2F31A60C-5592-4643-B8B2-D93D6810B5A1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Planilha1!$A$1:$AU$197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2" l="1"/>
  <c r="B6" i="2"/>
  <c r="B4" i="2"/>
  <c r="B3" i="2"/>
  <c r="B7" i="2" s="1"/>
  <c r="B9" i="2" l="1"/>
  <c r="B8" i="2"/>
</calcChain>
</file>

<file path=xl/sharedStrings.xml><?xml version="1.0" encoding="utf-8"?>
<sst xmlns="http://schemas.openxmlformats.org/spreadsheetml/2006/main" count="3418" uniqueCount="221">
  <si>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</si>
  <si>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</si>
  <si>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</si>
  <si>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</si>
  <si>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</si>
  <si>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</si>
  <si>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</si>
  <si>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</si>
  <si>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</si>
  <si>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</si>
  <si>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</si>
  <si>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</si>
  <si>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</si>
  <si>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</si>
  <si>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</si>
  <si>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</si>
  <si>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</si>
  <si>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</si>
  <si>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</si>
  <si>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</si>
  <si>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</si>
  <si>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</si>
  <si>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</si>
  <si>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</si>
  <si>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</si>
  <si>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</si>
  <si>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</si>
  <si>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</si>
  <si>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</si>
  <si>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</si>
  <si>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</si>
  <si>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</si>
  <si>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</si>
  <si>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</si>
  <si>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</si>
  <si>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</si>
  <si>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</si>
  <si>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</si>
  <si>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</si>
  <si>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</si>
  <si>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</si>
  <si>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</si>
  <si>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</si>
  <si>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</si>
  <si>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</si>
  <si>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</si>
  <si>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</si>
  <si>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</si>
  <si>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</si>
  <si>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</si>
  <si>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</si>
  <si>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</si>
  <si>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</si>
  <si>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</si>
  <si>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</si>
  <si>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</si>
  <si>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</si>
  <si>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</si>
  <si>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</si>
  <si>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</si>
  <si>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</si>
  <si>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</si>
  <si>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</si>
  <si>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</si>
  <si>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</si>
  <si>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</si>
  <si>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</si>
  <si>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</si>
  <si>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</si>
  <si>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</si>
  <si>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</si>
  <si>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</si>
  <si>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</si>
  <si>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</si>
  <si>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</si>
  <si>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</si>
  <si>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</si>
  <si>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</si>
  <si>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</si>
  <si>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</si>
  <si>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</si>
  <si>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</si>
  <si>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</si>
  <si>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</si>
  <si>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</si>
  <si>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</si>
  <si>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</si>
  <si>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</si>
  <si>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</si>
  <si>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</si>
  <si>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</si>
  <si>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</si>
  <si>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</si>
  <si>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</si>
  <si>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</si>
  <si>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</si>
  <si>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</si>
  <si>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</si>
  <si>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</si>
  <si>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</si>
  <si>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</si>
  <si>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</si>
  <si>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</si>
  <si>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</si>
  <si>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</si>
  <si>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</si>
  <si>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</si>
  <si>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</si>
  <si>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</si>
  <si>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</si>
  <si>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</si>
  <si>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</si>
  <si>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</si>
  <si>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</si>
  <si>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</si>
  <si>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</si>
  <si>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</si>
  <si>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</si>
  <si>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</si>
  <si>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</si>
  <si>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</si>
  <si>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</si>
  <si>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</si>
  <si>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</si>
  <si>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</si>
  <si>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</si>
  <si>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</si>
  <si>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</si>
  <si>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</si>
  <si>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</si>
  <si>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</si>
  <si>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</si>
  <si>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</si>
  <si>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</si>
  <si>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</si>
  <si>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</si>
  <si>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</si>
  <si>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</si>
  <si>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</si>
  <si>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</si>
  <si>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</si>
  <si>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</si>
  <si>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</si>
  <si>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</si>
  <si>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</si>
  <si>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</si>
  <si>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</si>
  <si>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</si>
  <si>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</si>
  <si>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</si>
  <si>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</si>
  <si>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</si>
  <si>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</si>
  <si>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</si>
  <si>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</si>
  <si>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</si>
  <si>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</si>
  <si>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</si>
  <si>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</si>
  <si>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</si>
  <si>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</si>
  <si>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</si>
  <si>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</si>
  <si>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</si>
  <si>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</si>
  <si>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</si>
  <si>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GASPAR</t>
  </si>
  <si>
    <t>ARAQUARI</t>
  </si>
  <si>
    <t>42 DD</t>
  </si>
  <si>
    <t>POD BEBIDAS</t>
  </si>
  <si>
    <t>28 35 42 49 DD</t>
  </si>
  <si>
    <t>SC *** Nenhuma ***</t>
  </si>
  <si>
    <t>JARAGUA DO SUL</t>
  </si>
  <si>
    <t>ELLOS</t>
  </si>
  <si>
    <t>Limite de crédito inferior à soma dos valores pendentes.</t>
  </si>
  <si>
    <t>28 35 42 49 56 DD</t>
  </si>
  <si>
    <t>JUAREZ</t>
  </si>
  <si>
    <t>HIPER TEXTIL</t>
  </si>
  <si>
    <t>UNILUX</t>
  </si>
  <si>
    <t>REIKI</t>
  </si>
  <si>
    <t>SC CAMBORIU</t>
  </si>
  <si>
    <t>PAPINHA BABY</t>
  </si>
  <si>
    <t>30 45 60 75 DD</t>
  </si>
  <si>
    <t>SAMIRA INJETADOS LTDA</t>
  </si>
  <si>
    <t>SAO JOAO BATISTA</t>
  </si>
  <si>
    <t xml:space="preserve">SKIN </t>
  </si>
  <si>
    <t>TREK BRASIL</t>
  </si>
  <si>
    <t>ETIQUETAR</t>
  </si>
  <si>
    <t>CICAMPO</t>
  </si>
  <si>
    <t>TIMBO</t>
  </si>
  <si>
    <t>PACIFIC</t>
  </si>
  <si>
    <t>GRUPO IW8</t>
  </si>
  <si>
    <t>COREMMA</t>
  </si>
  <si>
    <t>QUEENPACK REPRESENTACOES LTDA</t>
  </si>
  <si>
    <t>7 DD</t>
  </si>
  <si>
    <t>GASTRO</t>
  </si>
  <si>
    <t>MICRONICS ENGINEERED FILTRATION GROUP</t>
  </si>
  <si>
    <t>DEYU FISHING NET</t>
  </si>
  <si>
    <t>MELATO METAIS</t>
  </si>
  <si>
    <t>BELA FLOR - SP</t>
  </si>
  <si>
    <t>SAO JOSE DO RIO PRETO</t>
  </si>
  <si>
    <t>RIO BRANCO</t>
  </si>
  <si>
    <t>REALSC EMBALAGENS</t>
  </si>
  <si>
    <t>PAFER</t>
  </si>
  <si>
    <t>DINAMAR</t>
  </si>
  <si>
    <t xml:space="preserve">SMART MAGENTA </t>
  </si>
  <si>
    <t>COOKOA - FABRICA DE ALIMENTOS</t>
  </si>
  <si>
    <t>STB</t>
  </si>
  <si>
    <t>YES EMBALAGENS</t>
  </si>
  <si>
    <t>WILLMIX</t>
  </si>
  <si>
    <t>VIDA BELA COSMETICOS</t>
  </si>
  <si>
    <t>CIAPLASTIC</t>
  </si>
  <si>
    <t>JORANI - GARDENMIX</t>
  </si>
  <si>
    <t>ANTROPOCENO ENGENHARIA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</si>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</sst>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sheetPr filterMode="1"/>
  <dimension ref="A1:AU1843"/>
  <sheetViews>
    <sheetView tabSelected="1" zoomScaleNormal="100" workbookViewId="0">
      <pane ySplit="1" topLeftCell="A161" activePane="bottomLeft" state="frozen"/>
      <selection pane="bottomLeft" activeCell="E167" sqref="E167:E197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hidden="1" x14ac:dyDescent="0.25">
      <c r="A2" t="s">
        <v>47</v>
      </c>
      <c r="B2" s="1">
        <v>38394</v>
      </c>
      <c r="C2" t="s">
        <v>48</v>
      </c>
      <c r="D2" t="s">
        <v>49</v>
      </c>
      <c r="E2" s="2">
        <v>46027</v>
      </c>
      <c r="F2" t="s">
        <v>50</v>
      </c>
      <c r="G2" t="s">
        <v>51</v>
      </c>
      <c r="H2" s="3">
        <v>26483</v>
      </c>
      <c r="I2" s="3">
        <v>26483</v>
      </c>
      <c r="J2">
        <v>0</v>
      </c>
      <c r="K2" s="3">
        <v>30455.45</v>
      </c>
      <c r="L2" s="3">
        <v>3792.3</v>
      </c>
      <c r="M2" s="3">
        <v>1900.38</v>
      </c>
      <c r="N2" t="s">
        <v>52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126</v>
      </c>
      <c r="V2" t="s">
        <v>56</v>
      </c>
      <c r="W2" t="s">
        <v>57</v>
      </c>
      <c r="X2" s="4">
        <v>0</v>
      </c>
      <c r="Y2" t="s">
        <v>58</v>
      </c>
      <c r="Z2" s="3">
        <v>3792.3</v>
      </c>
      <c r="AA2">
        <v>0</v>
      </c>
      <c r="AB2" s="3">
        <v>0</v>
      </c>
      <c r="AC2">
        <v>0</v>
      </c>
      <c r="AD2">
        <v>0</v>
      </c>
      <c r="AE2" s="3">
        <v>1600</v>
      </c>
      <c r="AF2" t="s">
        <v>54</v>
      </c>
      <c r="AG2" t="s">
        <v>59</v>
      </c>
      <c r="AI2" t="s">
        <v>60</v>
      </c>
      <c r="AJ2" t="s">
        <v>60</v>
      </c>
      <c r="AK2" s="5">
        <v>46027.438668981478</v>
      </c>
      <c r="AO2" t="s">
        <v>54</v>
      </c>
      <c r="AP2">
        <v>0</v>
      </c>
      <c r="AR2" t="s">
        <v>54</v>
      </c>
      <c r="AS2" t="s">
        <v>54</v>
      </c>
      <c r="AT2">
        <v>6611</v>
      </c>
      <c r="AU2" t="s">
        <v>55</v>
      </c>
    </row>
    <row r="3" spans="1:47" hidden="1" x14ac:dyDescent="0.25">
      <c r="A3" t="s">
        <v>47</v>
      </c>
      <c r="B3" s="1">
        <v>38395</v>
      </c>
      <c r="C3" t="s">
        <v>48</v>
      </c>
      <c r="D3" t="s">
        <v>49</v>
      </c>
      <c r="E3" s="2">
        <v>46027</v>
      </c>
      <c r="F3" t="s">
        <v>61</v>
      </c>
      <c r="G3" t="s">
        <v>51</v>
      </c>
      <c r="H3" s="3">
        <v>13167</v>
      </c>
      <c r="I3" s="3">
        <v>13167</v>
      </c>
      <c r="J3">
        <v>0</v>
      </c>
      <c r="K3" s="3">
        <v>15142.05</v>
      </c>
      <c r="L3" s="3">
        <v>1604.7</v>
      </c>
      <c r="M3" s="3">
        <v>994.91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126</v>
      </c>
      <c r="V3" t="s">
        <v>56</v>
      </c>
      <c r="W3" t="s">
        <v>57</v>
      </c>
      <c r="X3" s="4">
        <v>0</v>
      </c>
      <c r="Y3" t="s">
        <v>62</v>
      </c>
      <c r="Z3" s="3"/>
      <c r="AE3" s="3"/>
      <c r="AK3" s="5"/>
    </row>
    <row r="4" spans="1:47" hidden="1" x14ac:dyDescent="0.25">
      <c r="A4" t="s">
        <v>63</v>
      </c>
      <c r="B4" s="1">
        <v>0</v>
      </c>
      <c r="C4">
        <v>0</v>
      </c>
      <c r="D4" s="3">
        <v>1604.7</v>
      </c>
      <c r="E4" s="2">
        <v>0</v>
      </c>
      <c r="F4">
        <v>0</v>
      </c>
      <c r="G4" s="3">
        <v>1600</v>
      </c>
      <c r="H4" s="3" t="s">
        <v>54</v>
      </c>
      <c r="I4" s="3" t="s">
        <v>59</v>
      </c>
      <c r="J4" t="s">
        <v>64</v>
      </c>
      <c r="K4" s="3" t="s">
        <v>60</v>
      </c>
      <c r="L4" s="3" t="s">
        <v>60</v>
      </c>
      <c r="M4" s="3">
        <v>46027.476736111108</v>
      </c>
      <c r="Q4" t="s">
        <v>54</v>
      </c>
      <c r="R4">
        <v>0</v>
      </c>
      <c r="T4" t="s">
        <v>54</v>
      </c>
      <c r="U4" t="s">
        <v>54</v>
      </c>
      <c r="V4">
        <v>7006</v>
      </c>
      <c r="W4" t="s">
        <v>55</v>
      </c>
      <c r="X4" s="4"/>
      <c r="AE4" s="3"/>
      <c r="AK4" s="5"/>
    </row>
    <row r="5" spans="1:47" hidden="1" x14ac:dyDescent="0.25">
      <c r="A5" t="s">
        <v>47</v>
      </c>
      <c r="B5" s="1">
        <v>38396</v>
      </c>
      <c r="C5" s="3" t="s">
        <v>48</v>
      </c>
      <c r="D5" t="s">
        <v>49</v>
      </c>
      <c r="E5" s="2">
        <v>46027</v>
      </c>
      <c r="F5" t="s">
        <v>65</v>
      </c>
      <c r="G5" s="3" t="s">
        <v>66</v>
      </c>
      <c r="H5" s="3">
        <v>11994</v>
      </c>
      <c r="I5" s="3">
        <v>11994</v>
      </c>
      <c r="J5">
        <v>0</v>
      </c>
      <c r="K5" s="3">
        <v>13793.1</v>
      </c>
      <c r="L5" s="3">
        <v>1168</v>
      </c>
      <c r="M5" s="3">
        <v>724.16</v>
      </c>
      <c r="N5" t="s">
        <v>52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126</v>
      </c>
      <c r="V5" t="s">
        <v>56</v>
      </c>
      <c r="W5" t="s">
        <v>67</v>
      </c>
      <c r="X5" s="4">
        <v>0</v>
      </c>
      <c r="Y5" t="s">
        <v>58</v>
      </c>
      <c r="Z5">
        <v>0</v>
      </c>
      <c r="AA5">
        <v>0</v>
      </c>
      <c r="AB5" s="3">
        <v>1168</v>
      </c>
      <c r="AC5">
        <v>0</v>
      </c>
      <c r="AD5">
        <v>0</v>
      </c>
      <c r="AE5">
        <v>400</v>
      </c>
      <c r="AF5" t="s">
        <v>54</v>
      </c>
      <c r="AG5" t="s">
        <v>59</v>
      </c>
      <c r="AI5" t="s">
        <v>60</v>
      </c>
      <c r="AJ5" t="s">
        <v>60</v>
      </c>
      <c r="AK5" s="5">
        <v>46027.627013888887</v>
      </c>
      <c r="AO5" t="s">
        <v>54</v>
      </c>
      <c r="AP5">
        <v>0</v>
      </c>
      <c r="AR5" t="s">
        <v>54</v>
      </c>
      <c r="AS5" t="s">
        <v>54</v>
      </c>
      <c r="AT5">
        <v>1269</v>
      </c>
      <c r="AU5" t="s">
        <v>55</v>
      </c>
    </row>
    <row r="6" spans="1:47" hidden="1" x14ac:dyDescent="0.25">
      <c r="A6" t="s">
        <v>47</v>
      </c>
      <c r="B6" s="1">
        <v>38397</v>
      </c>
      <c r="C6" t="s">
        <v>48</v>
      </c>
      <c r="D6" t="s">
        <v>49</v>
      </c>
      <c r="E6" s="2">
        <v>46028</v>
      </c>
      <c r="F6" t="s">
        <v>68</v>
      </c>
      <c r="G6" t="s">
        <v>69</v>
      </c>
      <c r="H6" s="3">
        <v>3220</v>
      </c>
      <c r="I6" s="3">
        <v>3220</v>
      </c>
      <c r="J6">
        <v>0</v>
      </c>
      <c r="K6" s="3">
        <v>3703</v>
      </c>
      <c r="L6" s="3">
        <v>516</v>
      </c>
      <c r="M6" s="3">
        <v>242.52</v>
      </c>
      <c r="N6" t="s">
        <v>70</v>
      </c>
      <c r="O6" t="s">
        <v>53</v>
      </c>
      <c r="P6" t="s">
        <v>53</v>
      </c>
      <c r="Q6" t="s">
        <v>53</v>
      </c>
      <c r="R6" t="s">
        <v>54</v>
      </c>
      <c r="S6" t="s">
        <v>54</v>
      </c>
      <c r="T6" t="s">
        <v>55</v>
      </c>
      <c r="U6">
        <v>76</v>
      </c>
      <c r="V6" t="s">
        <v>71</v>
      </c>
      <c r="W6" t="s">
        <v>72</v>
      </c>
      <c r="X6" s="4">
        <v>0</v>
      </c>
      <c r="Y6" t="s">
        <v>62</v>
      </c>
      <c r="AB6" s="3"/>
      <c r="AE6" s="3"/>
      <c r="AK6" s="5"/>
    </row>
    <row r="7" spans="1:47" hidden="1" x14ac:dyDescent="0.25">
      <c r="A7" t="s">
        <v>63</v>
      </c>
      <c r="B7" s="1">
        <v>0</v>
      </c>
      <c r="C7">
        <v>0</v>
      </c>
      <c r="D7">
        <v>0</v>
      </c>
      <c r="E7" s="2">
        <v>0</v>
      </c>
      <c r="F7">
        <v>516</v>
      </c>
      <c r="G7" s="3">
        <v>400</v>
      </c>
      <c r="H7" s="3" t="s">
        <v>54</v>
      </c>
      <c r="I7" s="3" t="s">
        <v>59</v>
      </c>
      <c r="K7" s="3" t="s">
        <v>73</v>
      </c>
      <c r="L7" s="3" t="s">
        <v>73</v>
      </c>
      <c r="M7" s="3">
        <v>46028.488078703704</v>
      </c>
      <c r="Q7" t="s">
        <v>54</v>
      </c>
      <c r="R7">
        <v>0</v>
      </c>
      <c r="T7" t="s">
        <v>54</v>
      </c>
      <c r="U7" t="s">
        <v>54</v>
      </c>
      <c r="V7">
        <v>139</v>
      </c>
      <c r="W7" t="s">
        <v>55</v>
      </c>
      <c r="X7" s="4"/>
      <c r="Z7" s="3"/>
      <c r="AE7" s="3"/>
      <c r="AK7" s="5"/>
    </row>
    <row r="8" spans="1:47" hidden="1" x14ac:dyDescent="0.25">
      <c r="A8" t="s">
        <v>47</v>
      </c>
      <c r="B8" s="1">
        <v>38398</v>
      </c>
      <c r="C8" t="s">
        <v>48</v>
      </c>
      <c r="D8" t="s">
        <v>49</v>
      </c>
      <c r="E8" s="2">
        <v>46028</v>
      </c>
      <c r="F8" s="3" t="s">
        <v>74</v>
      </c>
      <c r="G8" s="3" t="s">
        <v>51</v>
      </c>
      <c r="H8" s="3">
        <v>3283</v>
      </c>
      <c r="I8" s="3">
        <v>3283</v>
      </c>
      <c r="J8">
        <v>0</v>
      </c>
      <c r="K8" s="3">
        <v>3775.45</v>
      </c>
      <c r="L8" s="3">
        <v>353</v>
      </c>
      <c r="M8" s="3">
        <v>218.86</v>
      </c>
      <c r="N8" t="s">
        <v>75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43</v>
      </c>
      <c r="W8" t="s">
        <v>72</v>
      </c>
      <c r="X8" s="4">
        <v>0</v>
      </c>
      <c r="Y8" t="s">
        <v>58</v>
      </c>
      <c r="Z8" s="3">
        <v>0</v>
      </c>
      <c r="AA8">
        <v>0</v>
      </c>
      <c r="AB8" s="3">
        <v>353</v>
      </c>
      <c r="AC8">
        <v>0</v>
      </c>
      <c r="AD8">
        <v>0</v>
      </c>
      <c r="AE8" s="3">
        <v>200</v>
      </c>
      <c r="AF8" t="s">
        <v>54</v>
      </c>
      <c r="AG8" t="s">
        <v>59</v>
      </c>
      <c r="AI8" t="s">
        <v>73</v>
      </c>
      <c r="AJ8" t="s">
        <v>73</v>
      </c>
      <c r="AK8" s="5">
        <v>46044.706817129627</v>
      </c>
      <c r="AO8" t="s">
        <v>54</v>
      </c>
      <c r="AP8">
        <v>0</v>
      </c>
      <c r="AR8" t="s">
        <v>54</v>
      </c>
      <c r="AS8" t="s">
        <v>54</v>
      </c>
      <c r="AT8">
        <v>8469</v>
      </c>
      <c r="AU8" t="s">
        <v>55</v>
      </c>
    </row>
    <row r="9" spans="1:47" hidden="1" x14ac:dyDescent="0.25">
      <c r="A9" t="s">
        <v>47</v>
      </c>
      <c r="B9" s="1">
        <v>38399</v>
      </c>
      <c r="C9" t="s">
        <v>48</v>
      </c>
      <c r="D9" t="s">
        <v>49</v>
      </c>
      <c r="E9" s="2">
        <v>46028</v>
      </c>
      <c r="F9" t="s">
        <v>76</v>
      </c>
      <c r="G9" t="s">
        <v>69</v>
      </c>
      <c r="H9" s="3">
        <v>14397</v>
      </c>
      <c r="I9" s="3">
        <v>14397</v>
      </c>
      <c r="J9">
        <v>0</v>
      </c>
      <c r="K9" s="3">
        <v>16556.55</v>
      </c>
      <c r="L9" s="3">
        <v>2219.1</v>
      </c>
      <c r="M9" s="3">
        <v>1042.99</v>
      </c>
      <c r="N9" t="s">
        <v>77</v>
      </c>
      <c r="O9" t="s">
        <v>53</v>
      </c>
      <c r="P9" t="s">
        <v>53</v>
      </c>
      <c r="Q9" t="s">
        <v>53</v>
      </c>
      <c r="R9" t="s">
        <v>54</v>
      </c>
      <c r="S9" t="s">
        <v>54</v>
      </c>
      <c r="T9" t="s">
        <v>55</v>
      </c>
      <c r="U9">
        <v>83</v>
      </c>
      <c r="W9" t="s">
        <v>78</v>
      </c>
      <c r="X9" s="4">
        <v>0</v>
      </c>
      <c r="Y9" t="s">
        <v>58</v>
      </c>
      <c r="Z9">
        <v>0</v>
      </c>
      <c r="AA9">
        <v>0</v>
      </c>
      <c r="AB9" s="3">
        <v>0</v>
      </c>
      <c r="AC9">
        <v>0</v>
      </c>
      <c r="AD9" s="3">
        <v>2219.1</v>
      </c>
      <c r="AE9" s="3">
        <v>2600</v>
      </c>
      <c r="AF9" t="s">
        <v>54</v>
      </c>
      <c r="AG9" t="s">
        <v>59</v>
      </c>
      <c r="AH9" t="s">
        <v>79</v>
      </c>
      <c r="AI9" t="s">
        <v>80</v>
      </c>
      <c r="AJ9" t="s">
        <v>73</v>
      </c>
      <c r="AK9" s="5">
        <v>46028.701481481483</v>
      </c>
      <c r="AO9" t="s">
        <v>54</v>
      </c>
      <c r="AP9">
        <v>0</v>
      </c>
      <c r="AR9" t="s">
        <v>54</v>
      </c>
      <c r="AS9" t="s">
        <v>54</v>
      </c>
      <c r="AT9">
        <v>3870</v>
      </c>
      <c r="AU9" t="s">
        <v>55</v>
      </c>
    </row>
    <row r="10" spans="1:47" hidden="1" x14ac:dyDescent="0.25">
      <c r="A10" t="s">
        <v>47</v>
      </c>
      <c r="B10" s="1">
        <v>38400</v>
      </c>
      <c r="C10" t="s">
        <v>48</v>
      </c>
      <c r="D10" t="s">
        <v>49</v>
      </c>
      <c r="E10" s="2">
        <v>46028</v>
      </c>
      <c r="F10" t="s">
        <v>76</v>
      </c>
      <c r="G10" s="3" t="s">
        <v>69</v>
      </c>
      <c r="H10" s="3">
        <v>14397</v>
      </c>
      <c r="I10" s="3">
        <v>14397</v>
      </c>
      <c r="J10">
        <v>0</v>
      </c>
      <c r="K10" s="3">
        <v>16556.55</v>
      </c>
      <c r="L10" s="3">
        <v>2219.1</v>
      </c>
      <c r="M10" s="3">
        <v>1042.99</v>
      </c>
      <c r="N10" t="s">
        <v>77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83</v>
      </c>
      <c r="W10" t="s">
        <v>78</v>
      </c>
      <c r="X10" s="4">
        <v>0</v>
      </c>
      <c r="Y10" t="s">
        <v>58</v>
      </c>
      <c r="Z10" s="3">
        <v>0</v>
      </c>
      <c r="AA10">
        <v>0</v>
      </c>
      <c r="AB10">
        <v>0</v>
      </c>
      <c r="AC10">
        <v>0</v>
      </c>
      <c r="AD10" s="3">
        <v>2219.1</v>
      </c>
      <c r="AE10" s="3">
        <v>2600</v>
      </c>
      <c r="AF10" t="s">
        <v>54</v>
      </c>
      <c r="AG10" t="s">
        <v>59</v>
      </c>
      <c r="AH10" t="s">
        <v>79</v>
      </c>
      <c r="AI10" t="s">
        <v>80</v>
      </c>
      <c r="AJ10" t="s">
        <v>73</v>
      </c>
      <c r="AK10" s="5">
        <v>46028.703252314815</v>
      </c>
      <c r="AO10" t="s">
        <v>54</v>
      </c>
      <c r="AP10">
        <v>0</v>
      </c>
      <c r="AR10" t="s">
        <v>54</v>
      </c>
      <c r="AS10" t="s">
        <v>54</v>
      </c>
      <c r="AT10">
        <v>3870</v>
      </c>
      <c r="AU10" t="s">
        <v>55</v>
      </c>
    </row>
    <row r="11" spans="1:47" hidden="1" x14ac:dyDescent="0.25">
      <c r="A11" t="s">
        <v>81</v>
      </c>
      <c r="B11" s="1">
        <v>38401</v>
      </c>
      <c r="C11" t="s">
        <v>48</v>
      </c>
      <c r="D11" t="s">
        <v>49</v>
      </c>
      <c r="E11" s="2">
        <v>46029</v>
      </c>
      <c r="F11" t="s">
        <v>82</v>
      </c>
      <c r="G11" t="s">
        <v>83</v>
      </c>
      <c r="H11" s="3">
        <v>2475</v>
      </c>
      <c r="I11" s="3">
        <v>2475</v>
      </c>
      <c r="J11">
        <v>0</v>
      </c>
      <c r="K11" s="3">
        <v>2475</v>
      </c>
      <c r="L11" s="3">
        <v>622.75</v>
      </c>
      <c r="M11" s="3">
        <v>228.55</v>
      </c>
      <c r="N11" t="s">
        <v>84</v>
      </c>
      <c r="O11" t="s">
        <v>53</v>
      </c>
      <c r="P11" t="s">
        <v>53</v>
      </c>
      <c r="Q11" t="s">
        <v>53</v>
      </c>
      <c r="R11" t="s">
        <v>54</v>
      </c>
      <c r="S11" t="s">
        <v>54</v>
      </c>
      <c r="T11" t="s">
        <v>55</v>
      </c>
      <c r="U11">
        <v>9</v>
      </c>
      <c r="V11" t="s">
        <v>71</v>
      </c>
      <c r="W11" t="s">
        <v>85</v>
      </c>
      <c r="X11" s="4">
        <v>0</v>
      </c>
      <c r="Y11" t="s">
        <v>62</v>
      </c>
      <c r="AB11" s="3"/>
      <c r="AE11" s="3"/>
      <c r="AK11" s="5"/>
    </row>
    <row r="12" spans="1:47" hidden="1" x14ac:dyDescent="0.25">
      <c r="A12" t="s">
        <v>63</v>
      </c>
      <c r="B12" s="1">
        <v>622.75</v>
      </c>
      <c r="C12">
        <v>0</v>
      </c>
      <c r="D12">
        <v>0</v>
      </c>
      <c r="E12" s="2">
        <v>0</v>
      </c>
      <c r="F12">
        <v>0</v>
      </c>
      <c r="G12">
        <v>500</v>
      </c>
      <c r="H12" s="3" t="s">
        <v>54</v>
      </c>
      <c r="I12" s="3" t="s">
        <v>59</v>
      </c>
      <c r="K12" s="3" t="s">
        <v>73</v>
      </c>
      <c r="L12" s="3" t="s">
        <v>73</v>
      </c>
      <c r="M12" s="3">
        <v>46029.349988425929</v>
      </c>
      <c r="Q12" t="s">
        <v>54</v>
      </c>
      <c r="R12">
        <v>0</v>
      </c>
      <c r="T12" t="s">
        <v>54</v>
      </c>
      <c r="U12" t="s">
        <v>54</v>
      </c>
      <c r="V12">
        <v>2154</v>
      </c>
      <c r="W12" t="s">
        <v>55</v>
      </c>
      <c r="X12" s="4"/>
      <c r="Z12" s="3"/>
      <c r="AD12" s="3"/>
      <c r="AE12" s="3"/>
      <c r="AK12" s="5"/>
    </row>
    <row r="13" spans="1:47" hidden="1" x14ac:dyDescent="0.25">
      <c r="A13" t="s">
        <v>81</v>
      </c>
      <c r="B13" s="3">
        <v>38402</v>
      </c>
      <c r="C13" t="s">
        <v>48</v>
      </c>
      <c r="D13" t="s">
        <v>49</v>
      </c>
      <c r="E13" s="2">
        <v>46029</v>
      </c>
      <c r="F13" t="s">
        <v>86</v>
      </c>
      <c r="G13" s="3" t="s">
        <v>87</v>
      </c>
      <c r="H13" s="3">
        <v>2475</v>
      </c>
      <c r="I13" s="3">
        <v>2475</v>
      </c>
      <c r="J13">
        <v>0</v>
      </c>
      <c r="K13" s="3">
        <v>2475</v>
      </c>
      <c r="L13" s="3">
        <v>622.75</v>
      </c>
      <c r="M13" s="3">
        <v>228.55</v>
      </c>
      <c r="N13" t="s">
        <v>84</v>
      </c>
      <c r="O13" t="s">
        <v>53</v>
      </c>
      <c r="P13" t="s">
        <v>53</v>
      </c>
      <c r="Q13" t="s">
        <v>53</v>
      </c>
      <c r="R13" t="s">
        <v>54</v>
      </c>
      <c r="S13" t="s">
        <v>54</v>
      </c>
      <c r="T13" t="s">
        <v>55</v>
      </c>
      <c r="U13">
        <v>9</v>
      </c>
      <c r="W13" t="s">
        <v>85</v>
      </c>
      <c r="X13" s="4">
        <v>0</v>
      </c>
      <c r="Y13" t="s">
        <v>62</v>
      </c>
      <c r="AK13" s="5"/>
    </row>
    <row r="14" spans="1:47" hidden="1" x14ac:dyDescent="0.25">
      <c r="A14" t="s">
        <v>63</v>
      </c>
      <c r="B14" s="1">
        <v>622.75</v>
      </c>
      <c r="C14" s="3">
        <v>0</v>
      </c>
      <c r="D14" s="3">
        <v>0</v>
      </c>
      <c r="E14" s="2">
        <v>0</v>
      </c>
      <c r="F14">
        <v>0</v>
      </c>
      <c r="G14" s="3">
        <v>500</v>
      </c>
      <c r="H14" s="3" t="s">
        <v>54</v>
      </c>
      <c r="I14" s="3" t="s">
        <v>59</v>
      </c>
      <c r="K14" s="3" t="s">
        <v>73</v>
      </c>
      <c r="L14" s="3" t="s">
        <v>73</v>
      </c>
      <c r="M14" s="3">
        <v>46029.355856481481</v>
      </c>
      <c r="Q14" t="s">
        <v>54</v>
      </c>
      <c r="R14">
        <v>0</v>
      </c>
      <c r="T14" t="s">
        <v>54</v>
      </c>
      <c r="U14" t="s">
        <v>54</v>
      </c>
      <c r="V14">
        <v>5254</v>
      </c>
      <c r="W14" t="s">
        <v>55</v>
      </c>
      <c r="X14" s="4"/>
      <c r="AE14" s="3"/>
      <c r="AK14" s="5"/>
    </row>
    <row r="15" spans="1:47" hidden="1" x14ac:dyDescent="0.25">
      <c r="A15" t="s">
        <v>47</v>
      </c>
      <c r="B15" s="1">
        <v>38403</v>
      </c>
      <c r="C15" t="s">
        <v>48</v>
      </c>
      <c r="D15" t="s">
        <v>49</v>
      </c>
      <c r="E15" s="2">
        <v>46029</v>
      </c>
      <c r="F15" t="s">
        <v>88</v>
      </c>
      <c r="G15" s="3" t="s">
        <v>89</v>
      </c>
      <c r="H15" s="3">
        <v>1963.5</v>
      </c>
      <c r="I15" s="3">
        <v>1963.5</v>
      </c>
      <c r="J15">
        <v>0</v>
      </c>
      <c r="K15" s="3">
        <v>2258.0300000000002</v>
      </c>
      <c r="L15" s="3">
        <v>496.65</v>
      </c>
      <c r="M15" s="3">
        <v>182.27</v>
      </c>
      <c r="N15" t="s">
        <v>84</v>
      </c>
      <c r="O15" t="s">
        <v>53</v>
      </c>
      <c r="P15" t="s">
        <v>53</v>
      </c>
      <c r="Q15" t="s">
        <v>53</v>
      </c>
      <c r="R15" t="s">
        <v>54</v>
      </c>
      <c r="S15" t="s">
        <v>54</v>
      </c>
      <c r="T15" t="s">
        <v>55</v>
      </c>
      <c r="U15">
        <v>9</v>
      </c>
      <c r="V15" t="s">
        <v>71</v>
      </c>
      <c r="W15" t="s">
        <v>90</v>
      </c>
      <c r="X15" s="4">
        <v>0</v>
      </c>
      <c r="Y15" t="s">
        <v>62</v>
      </c>
      <c r="Z15" s="3"/>
      <c r="AA15" s="3"/>
      <c r="AB15" s="3"/>
      <c r="AD15" s="3"/>
      <c r="AE15" s="3"/>
      <c r="AK15" s="5"/>
    </row>
    <row r="16" spans="1:47" hidden="1" x14ac:dyDescent="0.25">
      <c r="A16" t="s">
        <v>63</v>
      </c>
      <c r="B16" s="1">
        <v>496.65</v>
      </c>
      <c r="C16">
        <v>0</v>
      </c>
      <c r="D16">
        <v>0</v>
      </c>
      <c r="E16" s="2">
        <v>0</v>
      </c>
      <c r="F16">
        <v>0</v>
      </c>
      <c r="G16">
        <v>550</v>
      </c>
      <c r="H16" s="3" t="s">
        <v>54</v>
      </c>
      <c r="I16" s="3" t="s">
        <v>91</v>
      </c>
      <c r="K16" s="3" t="s">
        <v>92</v>
      </c>
      <c r="L16" s="3" t="s">
        <v>92</v>
      </c>
      <c r="M16" s="3">
        <v>46029.364594907405</v>
      </c>
      <c r="Q16" t="s">
        <v>54</v>
      </c>
      <c r="R16">
        <v>0</v>
      </c>
      <c r="T16" t="s">
        <v>54</v>
      </c>
      <c r="U16" t="s">
        <v>54</v>
      </c>
      <c r="V16">
        <v>2291</v>
      </c>
      <c r="W16" t="s">
        <v>55</v>
      </c>
      <c r="X16" s="4"/>
      <c r="Z16" s="3"/>
      <c r="AD16" s="3"/>
      <c r="AE16" s="3"/>
      <c r="AK16" s="5"/>
    </row>
    <row r="17" spans="1:47" hidden="1" x14ac:dyDescent="0.25">
      <c r="A17" t="s">
        <v>47</v>
      </c>
      <c r="B17" s="1">
        <v>38404</v>
      </c>
      <c r="C17" t="s">
        <v>48</v>
      </c>
      <c r="D17" t="s">
        <v>49</v>
      </c>
      <c r="E17" s="2">
        <v>46029</v>
      </c>
      <c r="F17" t="s">
        <v>93</v>
      </c>
      <c r="G17" s="3" t="s">
        <v>94</v>
      </c>
      <c r="H17" s="3">
        <v>2031.3</v>
      </c>
      <c r="I17" s="3">
        <v>2031.3</v>
      </c>
      <c r="J17">
        <v>0</v>
      </c>
      <c r="K17" s="3">
        <v>2335.9899999999998</v>
      </c>
      <c r="L17" s="3">
        <v>86.12</v>
      </c>
      <c r="M17" s="3">
        <v>57.47</v>
      </c>
      <c r="N17" t="s">
        <v>84</v>
      </c>
      <c r="O17" t="s">
        <v>53</v>
      </c>
      <c r="P17" t="s">
        <v>53</v>
      </c>
      <c r="Q17" t="s">
        <v>53</v>
      </c>
      <c r="R17" t="s">
        <v>54</v>
      </c>
      <c r="S17" t="s">
        <v>54</v>
      </c>
      <c r="T17" t="s">
        <v>55</v>
      </c>
      <c r="U17">
        <v>9</v>
      </c>
      <c r="V17" t="s">
        <v>71</v>
      </c>
      <c r="W17" t="s">
        <v>95</v>
      </c>
      <c r="X17" s="4">
        <v>0</v>
      </c>
      <c r="Y17" t="s">
        <v>62</v>
      </c>
      <c r="AD17" s="3"/>
      <c r="AE17" s="3"/>
      <c r="AK17" s="5"/>
    </row>
    <row r="18" spans="1:47" hidden="1" x14ac:dyDescent="0.25">
      <c r="A18" t="s">
        <v>63</v>
      </c>
      <c r="B18" s="1">
        <v>0</v>
      </c>
      <c r="C18">
        <v>0</v>
      </c>
      <c r="D18">
        <v>86.12</v>
      </c>
      <c r="E18" s="2">
        <v>0</v>
      </c>
      <c r="F18">
        <v>0</v>
      </c>
      <c r="G18">
        <v>90</v>
      </c>
      <c r="H18" s="3" t="s">
        <v>54</v>
      </c>
      <c r="I18" s="3" t="s">
        <v>59</v>
      </c>
      <c r="K18" s="3" t="s">
        <v>73</v>
      </c>
      <c r="L18" s="3" t="s">
        <v>73</v>
      </c>
      <c r="M18" s="3">
        <v>46029.448912037034</v>
      </c>
      <c r="Q18" t="s">
        <v>54</v>
      </c>
      <c r="R18">
        <v>0</v>
      </c>
      <c r="T18" t="s">
        <v>54</v>
      </c>
      <c r="U18" t="s">
        <v>54</v>
      </c>
      <c r="V18">
        <v>924</v>
      </c>
      <c r="W18" t="s">
        <v>55</v>
      </c>
      <c r="X18" s="4"/>
      <c r="AD18" s="3"/>
      <c r="AE18" s="3"/>
      <c r="AK18" s="5"/>
    </row>
    <row r="19" spans="1:47" hidden="1" x14ac:dyDescent="0.25">
      <c r="A19" t="s">
        <v>96</v>
      </c>
      <c r="B19" s="3">
        <v>38405</v>
      </c>
      <c r="C19" t="s">
        <v>48</v>
      </c>
      <c r="D19" s="3" t="s">
        <v>49</v>
      </c>
      <c r="E19" s="2">
        <v>46029</v>
      </c>
      <c r="F19" t="s">
        <v>97</v>
      </c>
      <c r="G19" s="3" t="s">
        <v>94</v>
      </c>
      <c r="H19" s="3">
        <v>11976</v>
      </c>
      <c r="I19" s="3">
        <v>11976</v>
      </c>
      <c r="J19">
        <v>0</v>
      </c>
      <c r="K19" s="3">
        <v>11976</v>
      </c>
      <c r="L19" s="3">
        <v>2923.2</v>
      </c>
      <c r="M19" s="3">
        <v>1072.81</v>
      </c>
      <c r="N19" t="s">
        <v>98</v>
      </c>
      <c r="O19" t="s">
        <v>53</v>
      </c>
      <c r="P19" t="s">
        <v>53</v>
      </c>
      <c r="Q19" t="s">
        <v>53</v>
      </c>
      <c r="R19" t="s">
        <v>54</v>
      </c>
      <c r="S19" t="s">
        <v>54</v>
      </c>
      <c r="T19" t="s">
        <v>55</v>
      </c>
      <c r="U19">
        <v>167</v>
      </c>
      <c r="V19" t="s">
        <v>99</v>
      </c>
      <c r="W19" t="s">
        <v>100</v>
      </c>
      <c r="X19" s="4">
        <v>0</v>
      </c>
      <c r="Y19" t="s">
        <v>58</v>
      </c>
      <c r="Z19" s="3">
        <v>2923.2</v>
      </c>
      <c r="AA19">
        <v>0</v>
      </c>
      <c r="AB19">
        <v>0</v>
      </c>
      <c r="AC19">
        <v>0</v>
      </c>
      <c r="AD19">
        <v>0</v>
      </c>
      <c r="AE19" s="3">
        <v>2400</v>
      </c>
      <c r="AF19" t="s">
        <v>54</v>
      </c>
      <c r="AG19" t="s">
        <v>59</v>
      </c>
      <c r="AI19" t="s">
        <v>73</v>
      </c>
      <c r="AJ19" t="s">
        <v>73</v>
      </c>
      <c r="AK19" s="5">
        <v>46029.466469907406</v>
      </c>
      <c r="AO19" t="s">
        <v>54</v>
      </c>
      <c r="AP19">
        <v>0</v>
      </c>
      <c r="AR19" t="s">
        <v>54</v>
      </c>
      <c r="AS19" t="s">
        <v>54</v>
      </c>
      <c r="AT19">
        <v>2778</v>
      </c>
      <c r="AU19" t="s">
        <v>55</v>
      </c>
    </row>
    <row r="20" spans="1:47" hidden="1" x14ac:dyDescent="0.25">
      <c r="A20" t="s">
        <v>47</v>
      </c>
      <c r="B20" s="1">
        <v>38406</v>
      </c>
      <c r="C20" t="s">
        <v>48</v>
      </c>
      <c r="D20" t="s">
        <v>49</v>
      </c>
      <c r="E20" s="2">
        <v>46029</v>
      </c>
      <c r="F20" t="s">
        <v>101</v>
      </c>
      <c r="G20" s="3" t="s">
        <v>94</v>
      </c>
      <c r="H20" s="3">
        <v>6440</v>
      </c>
      <c r="I20" s="3">
        <v>6440</v>
      </c>
      <c r="J20">
        <v>0</v>
      </c>
      <c r="K20" s="3">
        <v>7406</v>
      </c>
      <c r="L20" s="3">
        <v>1150</v>
      </c>
      <c r="M20" s="3">
        <v>426.06</v>
      </c>
      <c r="N20" t="s">
        <v>84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9</v>
      </c>
      <c r="V20" t="s">
        <v>71</v>
      </c>
      <c r="W20" t="s">
        <v>102</v>
      </c>
      <c r="X20" s="4">
        <v>0</v>
      </c>
      <c r="Y20" t="s">
        <v>58</v>
      </c>
      <c r="Z20" s="3">
        <v>1150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H20" t="s">
        <v>103</v>
      </c>
      <c r="AI20" t="s">
        <v>92</v>
      </c>
      <c r="AJ20" t="s">
        <v>92</v>
      </c>
      <c r="AK20" s="5">
        <v>46029.47457175926</v>
      </c>
      <c r="AO20" t="s">
        <v>54</v>
      </c>
      <c r="AP20">
        <v>0</v>
      </c>
      <c r="AR20" t="s">
        <v>54</v>
      </c>
      <c r="AS20" t="s">
        <v>54</v>
      </c>
      <c r="AT20">
        <v>161</v>
      </c>
      <c r="AU20" t="s">
        <v>55</v>
      </c>
    </row>
    <row r="21" spans="1:47" hidden="1" x14ac:dyDescent="0.25">
      <c r="A21" t="s">
        <v>47</v>
      </c>
      <c r="B21" s="1">
        <v>38407</v>
      </c>
      <c r="C21" t="s">
        <v>48</v>
      </c>
      <c r="D21" t="s">
        <v>49</v>
      </c>
      <c r="E21" s="2">
        <v>46029</v>
      </c>
      <c r="F21" t="s">
        <v>50</v>
      </c>
      <c r="G21" s="3" t="s">
        <v>51</v>
      </c>
      <c r="H21" s="3">
        <v>4183.2</v>
      </c>
      <c r="I21" s="3">
        <v>4183.2</v>
      </c>
      <c r="J21">
        <v>0</v>
      </c>
      <c r="K21" s="3">
        <v>4810.68</v>
      </c>
      <c r="L21">
        <v>596.64</v>
      </c>
      <c r="M21" s="3">
        <v>232.69</v>
      </c>
      <c r="N21" t="s">
        <v>52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126</v>
      </c>
      <c r="V21" t="s">
        <v>56</v>
      </c>
      <c r="W21" t="s">
        <v>57</v>
      </c>
      <c r="X21" s="4">
        <v>0</v>
      </c>
      <c r="Y21" t="s">
        <v>58</v>
      </c>
      <c r="Z21">
        <v>596.64</v>
      </c>
      <c r="AA21">
        <v>0</v>
      </c>
      <c r="AB21">
        <v>0</v>
      </c>
      <c r="AC21">
        <v>0</v>
      </c>
      <c r="AD21">
        <v>0</v>
      </c>
      <c r="AE21" s="3">
        <v>240</v>
      </c>
      <c r="AF21" t="s">
        <v>54</v>
      </c>
      <c r="AG21" t="s">
        <v>59</v>
      </c>
      <c r="AI21" t="s">
        <v>60</v>
      </c>
      <c r="AJ21" t="s">
        <v>60</v>
      </c>
      <c r="AK21" s="5">
        <v>46029.629131944443</v>
      </c>
      <c r="AO21" t="s">
        <v>54</v>
      </c>
      <c r="AP21">
        <v>0</v>
      </c>
      <c r="AR21" t="s">
        <v>54</v>
      </c>
      <c r="AS21" t="s">
        <v>54</v>
      </c>
      <c r="AT21">
        <v>6611</v>
      </c>
      <c r="AU21" t="s">
        <v>55</v>
      </c>
    </row>
    <row r="22" spans="1:47" hidden="1" x14ac:dyDescent="0.25">
      <c r="A22" t="s">
        <v>81</v>
      </c>
      <c r="B22" s="1">
        <v>38408</v>
      </c>
      <c r="C22" t="s">
        <v>48</v>
      </c>
      <c r="D22" t="s">
        <v>49</v>
      </c>
      <c r="E22" s="2">
        <v>46030</v>
      </c>
      <c r="F22" t="s">
        <v>104</v>
      </c>
      <c r="G22" t="s">
        <v>89</v>
      </c>
      <c r="H22" s="3">
        <v>4680</v>
      </c>
      <c r="I22" s="3">
        <v>4680</v>
      </c>
      <c r="J22">
        <v>0</v>
      </c>
      <c r="K22" s="3">
        <v>4680</v>
      </c>
      <c r="L22" s="3">
        <v>674</v>
      </c>
      <c r="M22" s="3">
        <v>257.26</v>
      </c>
      <c r="N22" t="s">
        <v>52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126</v>
      </c>
      <c r="V22" t="s">
        <v>56</v>
      </c>
      <c r="W22" t="s">
        <v>72</v>
      </c>
      <c r="X22" s="4">
        <v>0</v>
      </c>
      <c r="Y22" t="s">
        <v>58</v>
      </c>
      <c r="Z22" s="3">
        <v>674</v>
      </c>
      <c r="AA22">
        <v>0</v>
      </c>
      <c r="AB22">
        <v>0</v>
      </c>
      <c r="AC22">
        <v>0</v>
      </c>
      <c r="AD22">
        <v>0</v>
      </c>
      <c r="AE22" s="3">
        <v>1200</v>
      </c>
      <c r="AF22" t="s">
        <v>54</v>
      </c>
      <c r="AG22" t="s">
        <v>59</v>
      </c>
      <c r="AI22" t="s">
        <v>73</v>
      </c>
      <c r="AJ22" t="s">
        <v>73</v>
      </c>
      <c r="AK22" s="5">
        <v>46030.464837962965</v>
      </c>
      <c r="AO22" t="s">
        <v>54</v>
      </c>
      <c r="AP22">
        <v>0</v>
      </c>
      <c r="AR22" t="s">
        <v>54</v>
      </c>
      <c r="AS22" t="s">
        <v>54</v>
      </c>
      <c r="AT22">
        <v>7057</v>
      </c>
      <c r="AU22" t="s">
        <v>55</v>
      </c>
    </row>
    <row r="23" spans="1:47" hidden="1" x14ac:dyDescent="0.25">
      <c r="A23" t="s">
        <v>81</v>
      </c>
      <c r="B23" s="1">
        <v>38409</v>
      </c>
      <c r="C23" t="s">
        <v>48</v>
      </c>
      <c r="D23" s="3" t="s">
        <v>49</v>
      </c>
      <c r="E23" s="2">
        <v>46030</v>
      </c>
      <c r="F23" s="3" t="s">
        <v>105</v>
      </c>
      <c r="G23" s="3" t="s">
        <v>94</v>
      </c>
      <c r="H23" s="3">
        <v>6444</v>
      </c>
      <c r="I23" s="3">
        <v>6444</v>
      </c>
      <c r="J23">
        <v>0</v>
      </c>
      <c r="K23" s="3">
        <v>6444</v>
      </c>
      <c r="L23" s="3">
        <v>550.79999999999995</v>
      </c>
      <c r="M23" s="3">
        <v>341.5</v>
      </c>
      <c r="N23" t="s">
        <v>106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145</v>
      </c>
      <c r="W23" t="s">
        <v>107</v>
      </c>
      <c r="X23" s="4">
        <v>0</v>
      </c>
      <c r="Y23" t="s">
        <v>62</v>
      </c>
      <c r="Z23" s="3"/>
      <c r="AE23" s="3"/>
      <c r="AK23" s="5"/>
    </row>
    <row r="24" spans="1:47" hidden="1" x14ac:dyDescent="0.25">
      <c r="A24" t="s">
        <v>63</v>
      </c>
      <c r="B24" s="1">
        <v>0</v>
      </c>
      <c r="C24">
        <v>0</v>
      </c>
      <c r="D24">
        <v>550.79999999999995</v>
      </c>
      <c r="E24" s="2">
        <v>0</v>
      </c>
      <c r="F24">
        <v>0</v>
      </c>
      <c r="G24">
        <v>400</v>
      </c>
      <c r="H24" s="3" t="s">
        <v>54</v>
      </c>
      <c r="I24" s="3" t="s">
        <v>59</v>
      </c>
      <c r="K24" s="3" t="s">
        <v>73</v>
      </c>
      <c r="L24" t="s">
        <v>73</v>
      </c>
      <c r="M24" s="3">
        <v>46031.342152777775</v>
      </c>
      <c r="Q24" t="s">
        <v>54</v>
      </c>
      <c r="R24">
        <v>0</v>
      </c>
      <c r="T24" t="s">
        <v>54</v>
      </c>
      <c r="U24" t="s">
        <v>54</v>
      </c>
      <c r="V24">
        <v>8632</v>
      </c>
      <c r="W24" t="s">
        <v>55</v>
      </c>
      <c r="X24" s="4"/>
    </row>
    <row r="25" spans="1:47" hidden="1" x14ac:dyDescent="0.25">
      <c r="A25" t="s">
        <v>47</v>
      </c>
      <c r="B25" s="1">
        <v>38410</v>
      </c>
      <c r="C25" t="s">
        <v>48</v>
      </c>
      <c r="D25" t="s">
        <v>49</v>
      </c>
      <c r="E25" s="2">
        <v>46030</v>
      </c>
      <c r="F25" t="s">
        <v>108</v>
      </c>
      <c r="G25" s="3" t="s">
        <v>109</v>
      </c>
      <c r="H25" s="3">
        <v>60090</v>
      </c>
      <c r="I25" s="3">
        <v>60090</v>
      </c>
      <c r="J25">
        <v>0</v>
      </c>
      <c r="K25" s="3">
        <v>60090</v>
      </c>
      <c r="L25" s="3">
        <v>7701</v>
      </c>
      <c r="M25" s="3">
        <v>4774.62</v>
      </c>
      <c r="N25" t="s">
        <v>84</v>
      </c>
      <c r="O25" t="s">
        <v>53</v>
      </c>
      <c r="P25" t="s">
        <v>53</v>
      </c>
      <c r="Q25" t="s">
        <v>53</v>
      </c>
      <c r="R25" t="s">
        <v>54</v>
      </c>
      <c r="S25" t="s">
        <v>54</v>
      </c>
      <c r="T25" t="s">
        <v>55</v>
      </c>
      <c r="U25">
        <v>9</v>
      </c>
      <c r="V25" t="s">
        <v>56</v>
      </c>
      <c r="W25" t="s">
        <v>110</v>
      </c>
      <c r="X25" s="4">
        <v>0</v>
      </c>
      <c r="Y25" t="s">
        <v>58</v>
      </c>
      <c r="Z25">
        <v>0</v>
      </c>
      <c r="AA25">
        <v>0</v>
      </c>
      <c r="AB25" s="3">
        <v>7701</v>
      </c>
      <c r="AC25">
        <v>0</v>
      </c>
      <c r="AD25">
        <v>0</v>
      </c>
      <c r="AE25" s="3">
        <v>9000</v>
      </c>
      <c r="AF25" t="s">
        <v>54</v>
      </c>
      <c r="AG25" t="s">
        <v>59</v>
      </c>
      <c r="AI25" t="s">
        <v>92</v>
      </c>
      <c r="AJ25" t="s">
        <v>92</v>
      </c>
      <c r="AK25" s="5">
        <v>46030.667002314818</v>
      </c>
      <c r="AO25" t="s">
        <v>54</v>
      </c>
      <c r="AP25">
        <v>0</v>
      </c>
      <c r="AR25" t="s">
        <v>54</v>
      </c>
      <c r="AS25" t="s">
        <v>54</v>
      </c>
      <c r="AT25">
        <v>3124</v>
      </c>
      <c r="AU25" t="s">
        <v>55</v>
      </c>
    </row>
    <row r="26" spans="1:47" hidden="1" x14ac:dyDescent="0.25">
      <c r="A26" t="s">
        <v>47</v>
      </c>
      <c r="B26" s="1">
        <v>38411</v>
      </c>
      <c r="C26" t="s">
        <v>48</v>
      </c>
      <c r="D26" t="s">
        <v>49</v>
      </c>
      <c r="E26" s="2">
        <v>46030</v>
      </c>
      <c r="F26" t="s">
        <v>111</v>
      </c>
      <c r="G26" t="s">
        <v>69</v>
      </c>
      <c r="H26" s="3">
        <v>15300</v>
      </c>
      <c r="I26" s="3">
        <v>15300</v>
      </c>
      <c r="J26">
        <v>0</v>
      </c>
      <c r="K26" s="3">
        <v>17595</v>
      </c>
      <c r="L26" s="3">
        <v>3492</v>
      </c>
      <c r="M26" s="3">
        <v>1361.88</v>
      </c>
      <c r="N26" t="s">
        <v>52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126</v>
      </c>
      <c r="V26" t="s">
        <v>56</v>
      </c>
      <c r="W26" t="s">
        <v>95</v>
      </c>
      <c r="X26" s="4">
        <v>0</v>
      </c>
      <c r="Y26" t="s">
        <v>58</v>
      </c>
      <c r="Z26" s="3">
        <v>3492</v>
      </c>
      <c r="AA26">
        <v>0</v>
      </c>
      <c r="AB26" s="3">
        <v>0</v>
      </c>
      <c r="AC26">
        <v>0</v>
      </c>
      <c r="AD26">
        <v>0</v>
      </c>
      <c r="AE26" s="3">
        <v>3000</v>
      </c>
      <c r="AF26" t="s">
        <v>54</v>
      </c>
      <c r="AG26" t="s">
        <v>59</v>
      </c>
      <c r="AI26" t="s">
        <v>60</v>
      </c>
      <c r="AJ26" t="s">
        <v>60</v>
      </c>
      <c r="AK26" s="5">
        <v>46030.933159722219</v>
      </c>
      <c r="AO26" t="s">
        <v>54</v>
      </c>
      <c r="AP26">
        <v>0</v>
      </c>
      <c r="AR26" t="s">
        <v>54</v>
      </c>
      <c r="AS26" t="s">
        <v>54</v>
      </c>
      <c r="AT26">
        <v>1877</v>
      </c>
      <c r="AU26" t="s">
        <v>55</v>
      </c>
    </row>
    <row r="27" spans="1:47" hidden="1" x14ac:dyDescent="0.25">
      <c r="A27" t="s">
        <v>47</v>
      </c>
      <c r="B27" s="1">
        <v>38412</v>
      </c>
      <c r="C27" t="s">
        <v>48</v>
      </c>
      <c r="D27" s="3" t="s">
        <v>49</v>
      </c>
      <c r="E27" s="2">
        <v>46030</v>
      </c>
      <c r="F27" t="s">
        <v>112</v>
      </c>
      <c r="G27" s="3" t="s">
        <v>113</v>
      </c>
      <c r="H27">
        <v>870</v>
      </c>
      <c r="I27">
        <v>870</v>
      </c>
      <c r="J27">
        <v>0</v>
      </c>
      <c r="K27">
        <v>870</v>
      </c>
      <c r="L27">
        <v>143.4</v>
      </c>
      <c r="M27" s="3">
        <v>55.93</v>
      </c>
      <c r="N27" t="s">
        <v>52</v>
      </c>
      <c r="O27" t="s">
        <v>53</v>
      </c>
      <c r="P27" t="s">
        <v>53</v>
      </c>
      <c r="Q27" t="s">
        <v>53</v>
      </c>
      <c r="R27" t="s">
        <v>54</v>
      </c>
      <c r="S27" t="s">
        <v>54</v>
      </c>
      <c r="T27" t="s">
        <v>55</v>
      </c>
      <c r="U27">
        <v>126</v>
      </c>
      <c r="V27" t="s">
        <v>56</v>
      </c>
      <c r="W27" t="s">
        <v>114</v>
      </c>
      <c r="X27" s="4">
        <v>0</v>
      </c>
      <c r="Y27" t="s">
        <v>58</v>
      </c>
      <c r="Z27">
        <v>143.4</v>
      </c>
      <c r="AA27">
        <v>0</v>
      </c>
      <c r="AB27">
        <v>0</v>
      </c>
      <c r="AC27">
        <v>0</v>
      </c>
      <c r="AD27">
        <v>0</v>
      </c>
      <c r="AE27">
        <v>600</v>
      </c>
      <c r="AF27" t="s">
        <v>54</v>
      </c>
      <c r="AG27" t="s">
        <v>59</v>
      </c>
      <c r="AH27" t="s">
        <v>115</v>
      </c>
      <c r="AI27" t="s">
        <v>60</v>
      </c>
      <c r="AJ27" t="s">
        <v>60</v>
      </c>
      <c r="AK27" s="5">
        <v>46030.999918981484</v>
      </c>
      <c r="AO27" t="s">
        <v>54</v>
      </c>
      <c r="AP27">
        <v>0</v>
      </c>
      <c r="AR27" t="s">
        <v>54</v>
      </c>
      <c r="AS27" t="s">
        <v>54</v>
      </c>
      <c r="AT27">
        <v>4089</v>
      </c>
      <c r="AU27" t="s">
        <v>55</v>
      </c>
    </row>
    <row r="28" spans="1:47" hidden="1" x14ac:dyDescent="0.25">
      <c r="A28" t="s">
        <v>47</v>
      </c>
      <c r="B28" s="1">
        <v>38413</v>
      </c>
      <c r="C28" t="s">
        <v>48</v>
      </c>
      <c r="D28" t="s">
        <v>49</v>
      </c>
      <c r="E28" s="2">
        <v>46031</v>
      </c>
      <c r="F28" t="s">
        <v>93</v>
      </c>
      <c r="G28" t="s">
        <v>94</v>
      </c>
      <c r="H28" s="3">
        <v>2031.3</v>
      </c>
      <c r="I28" s="3">
        <v>2031.3</v>
      </c>
      <c r="J28">
        <v>0</v>
      </c>
      <c r="K28" s="3">
        <v>2335.9899999999998</v>
      </c>
      <c r="L28" s="3">
        <v>86.12</v>
      </c>
      <c r="M28" s="3">
        <v>57.47</v>
      </c>
      <c r="N28" t="s">
        <v>84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9</v>
      </c>
      <c r="V28" t="s">
        <v>71</v>
      </c>
      <c r="W28" t="s">
        <v>95</v>
      </c>
      <c r="X28" s="4">
        <v>0</v>
      </c>
      <c r="Y28" t="s">
        <v>62</v>
      </c>
      <c r="Z28" s="3"/>
      <c r="AK28" s="5"/>
    </row>
    <row r="29" spans="1:47" hidden="1" x14ac:dyDescent="0.25">
      <c r="A29" t="s">
        <v>63</v>
      </c>
      <c r="B29" s="1">
        <v>0</v>
      </c>
      <c r="C29">
        <v>0</v>
      </c>
      <c r="D29" s="3">
        <v>86.12</v>
      </c>
      <c r="E29" s="2">
        <v>0</v>
      </c>
      <c r="F29">
        <v>0</v>
      </c>
      <c r="G29" s="3">
        <v>90</v>
      </c>
      <c r="H29" s="3" t="s">
        <v>54</v>
      </c>
      <c r="I29" s="3" t="s">
        <v>59</v>
      </c>
      <c r="K29" s="3" t="s">
        <v>73</v>
      </c>
      <c r="L29" t="s">
        <v>73</v>
      </c>
      <c r="M29" s="3">
        <v>46034.353900462964</v>
      </c>
      <c r="Q29" t="s">
        <v>54</v>
      </c>
      <c r="R29">
        <v>0</v>
      </c>
      <c r="T29" t="s">
        <v>54</v>
      </c>
      <c r="U29" t="s">
        <v>54</v>
      </c>
      <c r="V29">
        <v>924</v>
      </c>
      <c r="W29" t="s">
        <v>55</v>
      </c>
      <c r="X29" s="4"/>
    </row>
    <row r="30" spans="1:47" hidden="1" x14ac:dyDescent="0.25">
      <c r="A30" t="s">
        <v>81</v>
      </c>
      <c r="B30" s="1">
        <v>38414</v>
      </c>
      <c r="C30" t="s">
        <v>48</v>
      </c>
      <c r="D30" t="s">
        <v>49</v>
      </c>
      <c r="E30" s="2">
        <v>46031</v>
      </c>
      <c r="F30" t="s">
        <v>116</v>
      </c>
      <c r="G30" t="s">
        <v>66</v>
      </c>
      <c r="H30" s="3">
        <v>13230</v>
      </c>
      <c r="I30" s="3">
        <v>13230</v>
      </c>
      <c r="J30">
        <v>0</v>
      </c>
      <c r="K30" s="3">
        <v>13230</v>
      </c>
      <c r="L30" s="3">
        <v>3669</v>
      </c>
      <c r="M30" s="3">
        <v>1346.52</v>
      </c>
      <c r="N30" t="s">
        <v>84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9</v>
      </c>
      <c r="W30" t="s">
        <v>117</v>
      </c>
      <c r="X30" s="4">
        <v>0</v>
      </c>
      <c r="Y30" t="s">
        <v>62</v>
      </c>
      <c r="AB30" s="3"/>
      <c r="AE30" s="3"/>
      <c r="AK30" s="5"/>
    </row>
    <row r="31" spans="1:47" hidden="1" x14ac:dyDescent="0.25">
      <c r="A31" t="s">
        <v>63</v>
      </c>
      <c r="B31" s="1">
        <v>3669</v>
      </c>
      <c r="C31">
        <v>0</v>
      </c>
      <c r="D31" s="3">
        <v>0</v>
      </c>
      <c r="E31" s="2">
        <v>0</v>
      </c>
      <c r="F31">
        <v>0</v>
      </c>
      <c r="G31" s="3">
        <v>3000</v>
      </c>
      <c r="H31" s="3" t="s">
        <v>54</v>
      </c>
      <c r="I31" s="3" t="s">
        <v>59</v>
      </c>
      <c r="K31" s="3" t="s">
        <v>73</v>
      </c>
      <c r="L31" t="s">
        <v>73</v>
      </c>
      <c r="M31" s="3">
        <v>46031.577048611114</v>
      </c>
      <c r="Q31" t="s">
        <v>54</v>
      </c>
      <c r="R31">
        <v>0</v>
      </c>
      <c r="T31" t="s">
        <v>54</v>
      </c>
      <c r="U31" t="s">
        <v>54</v>
      </c>
      <c r="V31">
        <v>8826</v>
      </c>
      <c r="W31" t="s">
        <v>55</v>
      </c>
      <c r="X31" s="4"/>
    </row>
    <row r="32" spans="1:47" hidden="1" x14ac:dyDescent="0.25">
      <c r="A32" t="s">
        <v>47</v>
      </c>
      <c r="B32" s="1">
        <v>38415</v>
      </c>
      <c r="C32" t="s">
        <v>48</v>
      </c>
      <c r="D32" t="s">
        <v>49</v>
      </c>
      <c r="E32" s="2">
        <v>46031</v>
      </c>
      <c r="F32" t="s">
        <v>118</v>
      </c>
      <c r="G32" s="3" t="s">
        <v>119</v>
      </c>
      <c r="H32" s="3">
        <v>1680</v>
      </c>
      <c r="I32" s="3">
        <v>1680</v>
      </c>
      <c r="J32">
        <v>0</v>
      </c>
      <c r="K32" s="3">
        <v>1932</v>
      </c>
      <c r="L32" s="3">
        <v>261.13</v>
      </c>
      <c r="M32" s="3">
        <v>150.15</v>
      </c>
      <c r="N32" t="s">
        <v>77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83</v>
      </c>
      <c r="W32" t="s">
        <v>85</v>
      </c>
      <c r="X32" s="4">
        <v>0</v>
      </c>
      <c r="Y32" t="s">
        <v>58</v>
      </c>
      <c r="Z32" s="3">
        <v>0</v>
      </c>
      <c r="AA32">
        <v>0</v>
      </c>
      <c r="AB32">
        <v>261.13</v>
      </c>
      <c r="AC32">
        <v>0</v>
      </c>
      <c r="AD32">
        <v>0</v>
      </c>
      <c r="AE32" s="3">
        <v>125</v>
      </c>
      <c r="AF32" t="s">
        <v>54</v>
      </c>
      <c r="AG32" t="s">
        <v>59</v>
      </c>
      <c r="AI32" t="s">
        <v>80</v>
      </c>
      <c r="AJ32" t="s">
        <v>73</v>
      </c>
      <c r="AK32" s="5">
        <v>46031.623749999999</v>
      </c>
      <c r="AO32" t="s">
        <v>54</v>
      </c>
      <c r="AP32">
        <v>0</v>
      </c>
      <c r="AR32" t="s">
        <v>54</v>
      </c>
      <c r="AS32" t="s">
        <v>54</v>
      </c>
      <c r="AT32">
        <v>4900</v>
      </c>
      <c r="AU32" t="s">
        <v>55</v>
      </c>
    </row>
    <row r="33" spans="1:47" hidden="1" x14ac:dyDescent="0.25">
      <c r="A33" t="s">
        <v>47</v>
      </c>
      <c r="B33" s="1">
        <v>38416</v>
      </c>
      <c r="C33" t="s">
        <v>48</v>
      </c>
      <c r="D33" t="s">
        <v>49</v>
      </c>
      <c r="E33" s="2">
        <v>46031</v>
      </c>
      <c r="F33" t="s">
        <v>118</v>
      </c>
      <c r="G33" t="s">
        <v>119</v>
      </c>
      <c r="H33" s="3">
        <v>1680</v>
      </c>
      <c r="I33" s="3">
        <v>1680</v>
      </c>
      <c r="J33">
        <v>0</v>
      </c>
      <c r="K33" s="3">
        <v>1932</v>
      </c>
      <c r="L33" s="3">
        <v>261.13</v>
      </c>
      <c r="M33" s="3">
        <v>150.15</v>
      </c>
      <c r="N33" t="s">
        <v>77</v>
      </c>
      <c r="O33" t="s">
        <v>53</v>
      </c>
      <c r="P33" t="s">
        <v>53</v>
      </c>
      <c r="Q33" t="s">
        <v>53</v>
      </c>
      <c r="R33" t="s">
        <v>54</v>
      </c>
      <c r="S33" t="s">
        <v>54</v>
      </c>
      <c r="T33" t="s">
        <v>55</v>
      </c>
      <c r="U33">
        <v>83</v>
      </c>
      <c r="W33" t="s">
        <v>85</v>
      </c>
      <c r="X33" s="4">
        <v>0</v>
      </c>
      <c r="Y33" t="s">
        <v>58</v>
      </c>
      <c r="Z33" s="3">
        <v>0</v>
      </c>
      <c r="AA33">
        <v>0</v>
      </c>
      <c r="AB33">
        <v>261.13</v>
      </c>
      <c r="AC33">
        <v>0</v>
      </c>
      <c r="AD33">
        <v>0</v>
      </c>
      <c r="AE33" s="3">
        <v>125</v>
      </c>
      <c r="AF33" t="s">
        <v>54</v>
      </c>
      <c r="AG33" t="s">
        <v>59</v>
      </c>
      <c r="AI33" t="s">
        <v>80</v>
      </c>
      <c r="AJ33" t="s">
        <v>73</v>
      </c>
      <c r="AK33" s="5">
        <v>46031.623969907407</v>
      </c>
      <c r="AO33" t="s">
        <v>54</v>
      </c>
      <c r="AP33">
        <v>0</v>
      </c>
      <c r="AR33" t="s">
        <v>54</v>
      </c>
      <c r="AS33" t="s">
        <v>54</v>
      </c>
      <c r="AT33">
        <v>4900</v>
      </c>
      <c r="AU33" t="s">
        <v>55</v>
      </c>
    </row>
    <row r="34" spans="1:47" hidden="1" x14ac:dyDescent="0.25">
      <c r="A34" t="s">
        <v>96</v>
      </c>
      <c r="B34" s="1">
        <v>38417</v>
      </c>
      <c r="C34" t="s">
        <v>48</v>
      </c>
      <c r="D34" t="s">
        <v>49</v>
      </c>
      <c r="E34" s="2">
        <v>46031</v>
      </c>
      <c r="F34" t="s">
        <v>120</v>
      </c>
      <c r="G34" t="s">
        <v>69</v>
      </c>
      <c r="H34" s="3">
        <v>30005.5</v>
      </c>
      <c r="I34" s="3">
        <v>30005.5</v>
      </c>
      <c r="J34">
        <v>0</v>
      </c>
      <c r="K34" s="3">
        <v>30005.5</v>
      </c>
      <c r="L34" s="3">
        <v>5101.55</v>
      </c>
      <c r="M34" s="3">
        <v>2397.73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121</v>
      </c>
      <c r="W34" t="s">
        <v>122</v>
      </c>
      <c r="X34" s="4">
        <v>0</v>
      </c>
      <c r="Y34" t="s">
        <v>58</v>
      </c>
      <c r="Z34" s="3">
        <v>0</v>
      </c>
      <c r="AA34">
        <v>0</v>
      </c>
      <c r="AB34">
        <v>0</v>
      </c>
      <c r="AC34">
        <v>0</v>
      </c>
      <c r="AD34" s="3">
        <v>5101.55</v>
      </c>
      <c r="AE34" s="3">
        <v>5750</v>
      </c>
      <c r="AF34" t="s">
        <v>54</v>
      </c>
      <c r="AG34" t="s">
        <v>59</v>
      </c>
      <c r="AH34" t="s">
        <v>79</v>
      </c>
      <c r="AI34" t="s">
        <v>80</v>
      </c>
      <c r="AJ34" t="s">
        <v>73</v>
      </c>
      <c r="AK34" s="5">
        <v>46031.642685185187</v>
      </c>
      <c r="AO34" t="s">
        <v>54</v>
      </c>
      <c r="AP34">
        <v>0</v>
      </c>
      <c r="AR34" t="s">
        <v>54</v>
      </c>
      <c r="AS34" t="s">
        <v>54</v>
      </c>
      <c r="AT34">
        <v>6081</v>
      </c>
      <c r="AU34" t="s">
        <v>55</v>
      </c>
    </row>
    <row r="35" spans="1:47" hidden="1" x14ac:dyDescent="0.25">
      <c r="A35" t="s">
        <v>96</v>
      </c>
      <c r="B35" s="1">
        <v>38418</v>
      </c>
      <c r="C35" t="s">
        <v>48</v>
      </c>
      <c r="D35" t="s">
        <v>49</v>
      </c>
      <c r="E35" s="2">
        <v>46031</v>
      </c>
      <c r="F35" s="3" t="s">
        <v>120</v>
      </c>
      <c r="G35" s="3" t="s">
        <v>69</v>
      </c>
      <c r="H35" s="3">
        <v>30005.5</v>
      </c>
      <c r="I35" s="3">
        <v>30005.5</v>
      </c>
      <c r="J35">
        <v>0</v>
      </c>
      <c r="K35" s="3">
        <v>30005.5</v>
      </c>
      <c r="L35" s="3">
        <v>5101.55</v>
      </c>
      <c r="M35" s="3">
        <v>2397.73</v>
      </c>
      <c r="N35" t="s">
        <v>77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83</v>
      </c>
      <c r="V35" t="s">
        <v>121</v>
      </c>
      <c r="W35" t="s">
        <v>122</v>
      </c>
      <c r="X35" s="4">
        <v>0</v>
      </c>
      <c r="Y35" t="s">
        <v>58</v>
      </c>
      <c r="Z35" s="3">
        <v>0</v>
      </c>
      <c r="AA35">
        <v>0</v>
      </c>
      <c r="AB35">
        <v>0</v>
      </c>
      <c r="AC35">
        <v>0</v>
      </c>
      <c r="AD35" s="3">
        <v>5101.55</v>
      </c>
      <c r="AE35" s="3">
        <v>5750</v>
      </c>
      <c r="AF35" t="s">
        <v>54</v>
      </c>
      <c r="AG35" t="s">
        <v>59</v>
      </c>
      <c r="AH35" t="s">
        <v>79</v>
      </c>
      <c r="AI35" t="s">
        <v>80</v>
      </c>
      <c r="AJ35" t="s">
        <v>73</v>
      </c>
      <c r="AK35" s="5">
        <v>46031.644004629627</v>
      </c>
      <c r="AO35" t="s">
        <v>54</v>
      </c>
      <c r="AP35">
        <v>0</v>
      </c>
      <c r="AR35" t="s">
        <v>54</v>
      </c>
      <c r="AS35" t="s">
        <v>54</v>
      </c>
      <c r="AT35">
        <v>6081</v>
      </c>
      <c r="AU35" t="s">
        <v>55</v>
      </c>
    </row>
    <row r="36" spans="1:47" hidden="1" x14ac:dyDescent="0.25">
      <c r="A36" t="s">
        <v>96</v>
      </c>
      <c r="B36" s="1">
        <v>38420</v>
      </c>
      <c r="C36" t="s">
        <v>48</v>
      </c>
      <c r="D36" s="3" t="s">
        <v>49</v>
      </c>
      <c r="E36" s="2">
        <v>46031</v>
      </c>
      <c r="F36" t="s">
        <v>120</v>
      </c>
      <c r="G36" s="3" t="s">
        <v>69</v>
      </c>
      <c r="H36" s="3">
        <v>30005.5</v>
      </c>
      <c r="I36" s="3">
        <v>30005.5</v>
      </c>
      <c r="J36">
        <v>0</v>
      </c>
      <c r="K36" s="3">
        <v>30005.5</v>
      </c>
      <c r="L36" s="3">
        <v>5101.55</v>
      </c>
      <c r="M36" s="3">
        <v>2397.73</v>
      </c>
      <c r="N36" t="s">
        <v>77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83</v>
      </c>
      <c r="V36" t="s">
        <v>121</v>
      </c>
      <c r="W36" t="s">
        <v>122</v>
      </c>
      <c r="X36" s="4">
        <v>0</v>
      </c>
      <c r="Y36" t="s">
        <v>58</v>
      </c>
      <c r="Z36" s="3">
        <v>0</v>
      </c>
      <c r="AA36">
        <v>0</v>
      </c>
      <c r="AB36">
        <v>0</v>
      </c>
      <c r="AC36">
        <v>0</v>
      </c>
      <c r="AD36" s="3">
        <v>5101.55</v>
      </c>
      <c r="AE36" s="3">
        <v>5750</v>
      </c>
      <c r="AF36" t="s">
        <v>54</v>
      </c>
      <c r="AG36" t="s">
        <v>59</v>
      </c>
      <c r="AH36" t="s">
        <v>79</v>
      </c>
      <c r="AI36" t="s">
        <v>73</v>
      </c>
      <c r="AJ36" t="s">
        <v>73</v>
      </c>
      <c r="AK36" s="5">
        <v>46031.644270833334</v>
      </c>
      <c r="AO36" t="s">
        <v>54</v>
      </c>
      <c r="AP36">
        <v>0</v>
      </c>
      <c r="AR36" t="s">
        <v>54</v>
      </c>
      <c r="AS36" t="s">
        <v>54</v>
      </c>
      <c r="AT36">
        <v>6081</v>
      </c>
      <c r="AU36" t="s">
        <v>55</v>
      </c>
    </row>
    <row r="37" spans="1:47" hidden="1" x14ac:dyDescent="0.25">
      <c r="A37" t="s">
        <v>96</v>
      </c>
      <c r="B37" s="1">
        <v>38421</v>
      </c>
      <c r="C37" t="s">
        <v>48</v>
      </c>
      <c r="D37" t="s">
        <v>49</v>
      </c>
      <c r="E37" s="2">
        <v>46031</v>
      </c>
      <c r="F37" s="3" t="s">
        <v>120</v>
      </c>
      <c r="G37" s="3" t="s">
        <v>69</v>
      </c>
      <c r="H37" s="3">
        <v>30005.5</v>
      </c>
      <c r="I37" s="3">
        <v>30005.5</v>
      </c>
      <c r="J37">
        <v>0</v>
      </c>
      <c r="K37" s="3">
        <v>30005.5</v>
      </c>
      <c r="L37" s="3">
        <v>5101.55</v>
      </c>
      <c r="M37" s="3">
        <v>2397.73</v>
      </c>
      <c r="N37" t="s">
        <v>77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83</v>
      </c>
      <c r="V37" t="s">
        <v>121</v>
      </c>
      <c r="W37" t="s">
        <v>122</v>
      </c>
      <c r="X37" s="4">
        <v>0</v>
      </c>
      <c r="Y37" t="s">
        <v>58</v>
      </c>
      <c r="Z37" s="3">
        <v>0</v>
      </c>
      <c r="AA37">
        <v>0</v>
      </c>
      <c r="AB37">
        <v>0</v>
      </c>
      <c r="AC37">
        <v>0</v>
      </c>
      <c r="AD37" s="3">
        <v>5101.55</v>
      </c>
      <c r="AE37" s="3">
        <v>5750</v>
      </c>
      <c r="AF37" t="s">
        <v>54</v>
      </c>
      <c r="AG37" t="s">
        <v>59</v>
      </c>
      <c r="AH37" t="s">
        <v>79</v>
      </c>
      <c r="AI37" t="s">
        <v>73</v>
      </c>
      <c r="AJ37" t="s">
        <v>73</v>
      </c>
      <c r="AK37" s="5">
        <v>46031.644467592596</v>
      </c>
      <c r="AO37" t="s">
        <v>54</v>
      </c>
      <c r="AP37">
        <v>0</v>
      </c>
      <c r="AR37" t="s">
        <v>54</v>
      </c>
      <c r="AS37" t="s">
        <v>54</v>
      </c>
      <c r="AT37">
        <v>6081</v>
      </c>
      <c r="AU37" t="s">
        <v>55</v>
      </c>
    </row>
    <row r="38" spans="1:47" hidden="1" x14ac:dyDescent="0.25">
      <c r="A38" t="s">
        <v>96</v>
      </c>
      <c r="B38" s="1">
        <v>38422</v>
      </c>
      <c r="C38" t="s">
        <v>48</v>
      </c>
      <c r="D38" s="3" t="s">
        <v>49</v>
      </c>
      <c r="E38" s="2">
        <v>46031</v>
      </c>
      <c r="F38" t="s">
        <v>120</v>
      </c>
      <c r="G38" s="3" t="s">
        <v>69</v>
      </c>
      <c r="H38" s="3">
        <v>30005.5</v>
      </c>
      <c r="I38" s="3">
        <v>30005.5</v>
      </c>
      <c r="J38">
        <v>0</v>
      </c>
      <c r="K38" s="3">
        <v>30005.5</v>
      </c>
      <c r="L38" s="3">
        <v>5101.55</v>
      </c>
      <c r="M38" s="3">
        <v>2397.73</v>
      </c>
      <c r="N38" t="s">
        <v>77</v>
      </c>
      <c r="O38" t="s">
        <v>53</v>
      </c>
      <c r="P38" t="s">
        <v>53</v>
      </c>
      <c r="Q38" t="s">
        <v>53</v>
      </c>
      <c r="R38" t="s">
        <v>54</v>
      </c>
      <c r="S38" t="s">
        <v>54</v>
      </c>
      <c r="T38" t="s">
        <v>55</v>
      </c>
      <c r="U38">
        <v>83</v>
      </c>
      <c r="V38" t="s">
        <v>121</v>
      </c>
      <c r="W38" t="s">
        <v>122</v>
      </c>
      <c r="X38" s="4">
        <v>0</v>
      </c>
      <c r="Y38" t="s">
        <v>58</v>
      </c>
      <c r="Z38">
        <v>0</v>
      </c>
      <c r="AA38">
        <v>0</v>
      </c>
      <c r="AB38">
        <v>0</v>
      </c>
      <c r="AC38">
        <v>0</v>
      </c>
      <c r="AD38" s="3">
        <v>5101.55</v>
      </c>
      <c r="AE38" s="3">
        <v>5750</v>
      </c>
      <c r="AF38" t="s">
        <v>54</v>
      </c>
      <c r="AG38" t="s">
        <v>59</v>
      </c>
      <c r="AH38" t="s">
        <v>79</v>
      </c>
      <c r="AI38" t="s">
        <v>73</v>
      </c>
      <c r="AJ38" t="s">
        <v>73</v>
      </c>
      <c r="AK38" s="5">
        <v>46031.644791666666</v>
      </c>
      <c r="AO38" t="s">
        <v>54</v>
      </c>
      <c r="AP38">
        <v>0</v>
      </c>
      <c r="AR38" t="s">
        <v>54</v>
      </c>
      <c r="AS38" t="s">
        <v>54</v>
      </c>
      <c r="AT38">
        <v>6081</v>
      </c>
      <c r="AU38" t="s">
        <v>55</v>
      </c>
    </row>
    <row r="39" spans="1:47" hidden="1" x14ac:dyDescent="0.25">
      <c r="A39" t="s">
        <v>96</v>
      </c>
      <c r="B39" s="1">
        <v>38423</v>
      </c>
      <c r="C39" t="s">
        <v>48</v>
      </c>
      <c r="D39" t="s">
        <v>49</v>
      </c>
      <c r="E39" s="2">
        <v>46031</v>
      </c>
      <c r="F39" t="s">
        <v>120</v>
      </c>
      <c r="G39" t="s">
        <v>69</v>
      </c>
      <c r="H39" s="3">
        <v>30005.5</v>
      </c>
      <c r="I39" s="3">
        <v>30005.5</v>
      </c>
      <c r="J39">
        <v>0</v>
      </c>
      <c r="K39" s="3">
        <v>30005.5</v>
      </c>
      <c r="L39" s="3">
        <v>5101.55</v>
      </c>
      <c r="M39" s="3">
        <v>2397.73</v>
      </c>
      <c r="N39" t="s">
        <v>77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83</v>
      </c>
      <c r="V39" t="s">
        <v>121</v>
      </c>
      <c r="W39" t="s">
        <v>122</v>
      </c>
      <c r="X39" s="4">
        <v>0</v>
      </c>
      <c r="Y39" t="s">
        <v>58</v>
      </c>
      <c r="Z39">
        <v>0</v>
      </c>
      <c r="AA39">
        <v>0</v>
      </c>
      <c r="AB39">
        <v>0</v>
      </c>
      <c r="AC39">
        <v>0</v>
      </c>
      <c r="AD39" s="3">
        <v>5101.55</v>
      </c>
      <c r="AE39" s="3">
        <v>5750</v>
      </c>
      <c r="AF39" t="s">
        <v>54</v>
      </c>
      <c r="AG39" t="s">
        <v>59</v>
      </c>
      <c r="AH39" t="s">
        <v>79</v>
      </c>
      <c r="AI39" t="s">
        <v>73</v>
      </c>
      <c r="AJ39" t="s">
        <v>73</v>
      </c>
      <c r="AK39" s="5">
        <v>46031.644618055558</v>
      </c>
      <c r="AO39" t="s">
        <v>54</v>
      </c>
      <c r="AP39">
        <v>0</v>
      </c>
      <c r="AR39" t="s">
        <v>54</v>
      </c>
      <c r="AS39" t="s">
        <v>54</v>
      </c>
      <c r="AT39">
        <v>6081</v>
      </c>
      <c r="AU39" t="s">
        <v>55</v>
      </c>
    </row>
    <row r="40" spans="1:47" hidden="1" x14ac:dyDescent="0.25">
      <c r="A40" t="s">
        <v>47</v>
      </c>
      <c r="B40" s="1">
        <v>38426</v>
      </c>
      <c r="C40" t="s">
        <v>48</v>
      </c>
      <c r="D40" t="s">
        <v>49</v>
      </c>
      <c r="E40" s="2">
        <v>46031</v>
      </c>
      <c r="F40" t="s">
        <v>123</v>
      </c>
      <c r="G40" t="s">
        <v>124</v>
      </c>
      <c r="H40" s="3">
        <v>11330</v>
      </c>
      <c r="I40" s="3">
        <v>11330</v>
      </c>
      <c r="J40">
        <v>0</v>
      </c>
      <c r="K40" s="3">
        <v>11330</v>
      </c>
      <c r="L40" s="3">
        <v>1922</v>
      </c>
      <c r="M40" s="3">
        <v>903.34</v>
      </c>
      <c r="N40" t="s">
        <v>52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126</v>
      </c>
      <c r="V40" t="s">
        <v>56</v>
      </c>
      <c r="W40" t="s">
        <v>95</v>
      </c>
      <c r="X40" s="4">
        <v>0</v>
      </c>
      <c r="Y40" t="s">
        <v>58</v>
      </c>
      <c r="Z40">
        <v>0</v>
      </c>
      <c r="AA40">
        <v>0</v>
      </c>
      <c r="AB40">
        <v>0</v>
      </c>
      <c r="AC40">
        <v>0</v>
      </c>
      <c r="AD40" s="3">
        <v>1922</v>
      </c>
      <c r="AE40" s="3">
        <v>2000</v>
      </c>
      <c r="AF40" t="s">
        <v>54</v>
      </c>
      <c r="AG40" t="s">
        <v>59</v>
      </c>
      <c r="AI40" t="s">
        <v>60</v>
      </c>
      <c r="AJ40" t="s">
        <v>60</v>
      </c>
      <c r="AK40" s="5">
        <v>46031.674016203702</v>
      </c>
      <c r="AO40" t="s">
        <v>54</v>
      </c>
      <c r="AP40">
        <v>0</v>
      </c>
      <c r="AR40" t="s">
        <v>54</v>
      </c>
      <c r="AS40" t="s">
        <v>54</v>
      </c>
      <c r="AT40">
        <v>8466</v>
      </c>
      <c r="AU40" t="s">
        <v>55</v>
      </c>
    </row>
    <row r="41" spans="1:47" hidden="1" x14ac:dyDescent="0.25">
      <c r="A41" t="s">
        <v>96</v>
      </c>
      <c r="B41" s="1">
        <v>38427</v>
      </c>
      <c r="C41" t="s">
        <v>48</v>
      </c>
      <c r="D41" t="s">
        <v>49</v>
      </c>
      <c r="E41" s="2">
        <v>46034</v>
      </c>
      <c r="F41" t="s">
        <v>125</v>
      </c>
      <c r="G41" s="3" t="s">
        <v>66</v>
      </c>
      <c r="H41" s="3">
        <v>17968</v>
      </c>
      <c r="I41" s="3">
        <v>17968</v>
      </c>
      <c r="J41">
        <v>0</v>
      </c>
      <c r="K41" s="3">
        <v>17968</v>
      </c>
      <c r="L41" s="3">
        <v>2654.4</v>
      </c>
      <c r="M41" s="3">
        <v>1474.99</v>
      </c>
      <c r="N41" t="s">
        <v>52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126</v>
      </c>
      <c r="V41" t="s">
        <v>56</v>
      </c>
      <c r="W41" t="s">
        <v>72</v>
      </c>
      <c r="X41" s="4">
        <v>0</v>
      </c>
      <c r="Y41" t="s">
        <v>58</v>
      </c>
      <c r="Z41">
        <v>0</v>
      </c>
      <c r="AA41">
        <v>0</v>
      </c>
      <c r="AB41" s="3">
        <v>1524.8</v>
      </c>
      <c r="AC41">
        <v>0</v>
      </c>
      <c r="AD41" s="3">
        <v>1129.5999999999999</v>
      </c>
      <c r="AE41" s="3">
        <v>1000</v>
      </c>
      <c r="AF41" t="s">
        <v>54</v>
      </c>
      <c r="AG41" t="s">
        <v>59</v>
      </c>
      <c r="AI41" t="s">
        <v>60</v>
      </c>
      <c r="AJ41" t="s">
        <v>73</v>
      </c>
      <c r="AK41" s="5">
        <v>46034.643159722225</v>
      </c>
      <c r="AO41" t="s">
        <v>54</v>
      </c>
      <c r="AP41">
        <v>0</v>
      </c>
      <c r="AR41" t="s">
        <v>54</v>
      </c>
      <c r="AS41" t="s">
        <v>54</v>
      </c>
      <c r="AT41">
        <v>5443</v>
      </c>
      <c r="AU41" t="s">
        <v>55</v>
      </c>
    </row>
    <row r="42" spans="1:47" hidden="1" x14ac:dyDescent="0.25">
      <c r="A42" t="s">
        <v>47</v>
      </c>
      <c r="B42" s="1">
        <v>38428</v>
      </c>
      <c r="C42" t="s">
        <v>48</v>
      </c>
      <c r="D42" t="s">
        <v>49</v>
      </c>
      <c r="E42" s="2">
        <v>46035</v>
      </c>
      <c r="F42" s="3" t="s">
        <v>126</v>
      </c>
      <c r="G42" s="3" t="s">
        <v>89</v>
      </c>
      <c r="H42" s="3">
        <v>5120</v>
      </c>
      <c r="I42" s="3">
        <v>5120</v>
      </c>
      <c r="J42">
        <v>0</v>
      </c>
      <c r="K42" s="3">
        <v>5888</v>
      </c>
      <c r="L42" s="3">
        <v>620.5</v>
      </c>
      <c r="M42" s="3">
        <v>384.71</v>
      </c>
      <c r="N42" t="s">
        <v>84</v>
      </c>
      <c r="O42" t="s">
        <v>53</v>
      </c>
      <c r="P42" t="s">
        <v>53</v>
      </c>
      <c r="Q42" t="s">
        <v>53</v>
      </c>
      <c r="R42" t="s">
        <v>54</v>
      </c>
      <c r="S42" t="s">
        <v>54</v>
      </c>
      <c r="T42" t="s">
        <v>55</v>
      </c>
      <c r="U42">
        <v>9</v>
      </c>
      <c r="V42" t="s">
        <v>71</v>
      </c>
      <c r="W42" t="s">
        <v>95</v>
      </c>
      <c r="X42" s="4">
        <v>0</v>
      </c>
      <c r="Y42" t="s">
        <v>58</v>
      </c>
      <c r="Z42">
        <v>0</v>
      </c>
      <c r="AA42">
        <v>0</v>
      </c>
      <c r="AB42">
        <v>620.5</v>
      </c>
      <c r="AC42">
        <v>0</v>
      </c>
      <c r="AD42" s="3">
        <v>0</v>
      </c>
      <c r="AE42" s="3">
        <v>500</v>
      </c>
      <c r="AF42" t="s">
        <v>54</v>
      </c>
      <c r="AG42" t="s">
        <v>59</v>
      </c>
      <c r="AI42" t="s">
        <v>73</v>
      </c>
      <c r="AJ42" t="s">
        <v>73</v>
      </c>
      <c r="AK42" s="5">
        <v>46035.417569444442</v>
      </c>
      <c r="AO42" t="s">
        <v>54</v>
      </c>
      <c r="AP42">
        <v>0</v>
      </c>
      <c r="AR42" t="s">
        <v>54</v>
      </c>
      <c r="AS42" t="s">
        <v>54</v>
      </c>
      <c r="AT42">
        <v>3204</v>
      </c>
      <c r="AU42" t="s">
        <v>55</v>
      </c>
    </row>
    <row r="43" spans="1:47" hidden="1" x14ac:dyDescent="0.25">
      <c r="A43" t="s">
        <v>47</v>
      </c>
      <c r="B43" s="1">
        <v>38429</v>
      </c>
      <c r="C43" t="s">
        <v>48</v>
      </c>
      <c r="D43" t="s">
        <v>49</v>
      </c>
      <c r="E43" s="2">
        <v>46035</v>
      </c>
      <c r="F43" t="s">
        <v>126</v>
      </c>
      <c r="G43" t="s">
        <v>89</v>
      </c>
      <c r="H43" s="3">
        <v>5120</v>
      </c>
      <c r="I43" s="3">
        <v>5120</v>
      </c>
      <c r="J43">
        <v>0</v>
      </c>
      <c r="K43" s="3">
        <v>5888</v>
      </c>
      <c r="L43" s="3">
        <v>620.5</v>
      </c>
      <c r="M43" s="3">
        <v>384.71</v>
      </c>
      <c r="N43" t="s">
        <v>84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9</v>
      </c>
      <c r="V43" t="s">
        <v>71</v>
      </c>
      <c r="W43" t="s">
        <v>95</v>
      </c>
      <c r="X43" s="4">
        <v>0</v>
      </c>
      <c r="Y43" t="s">
        <v>58</v>
      </c>
      <c r="Z43" s="3">
        <v>0</v>
      </c>
      <c r="AA43">
        <v>0</v>
      </c>
      <c r="AB43" s="3">
        <v>620.5</v>
      </c>
      <c r="AC43">
        <v>0</v>
      </c>
      <c r="AD43" s="3">
        <v>0</v>
      </c>
      <c r="AE43" s="3">
        <v>500</v>
      </c>
      <c r="AF43" t="s">
        <v>54</v>
      </c>
      <c r="AG43" t="s">
        <v>59</v>
      </c>
      <c r="AI43" t="s">
        <v>73</v>
      </c>
      <c r="AJ43" t="s">
        <v>73</v>
      </c>
      <c r="AK43" s="5">
        <v>46035.417627314811</v>
      </c>
      <c r="AO43" t="s">
        <v>54</v>
      </c>
      <c r="AP43">
        <v>0</v>
      </c>
      <c r="AR43" t="s">
        <v>54</v>
      </c>
      <c r="AS43" t="s">
        <v>54</v>
      </c>
      <c r="AT43">
        <v>3204</v>
      </c>
      <c r="AU43" t="s">
        <v>55</v>
      </c>
    </row>
    <row r="44" spans="1:47" hidden="1" x14ac:dyDescent="0.25">
      <c r="A44" t="s">
        <v>47</v>
      </c>
      <c r="B44" s="1">
        <v>38430</v>
      </c>
      <c r="C44" t="s">
        <v>48</v>
      </c>
      <c r="D44" t="s">
        <v>49</v>
      </c>
      <c r="E44" s="2">
        <v>46035</v>
      </c>
      <c r="F44" t="s">
        <v>126</v>
      </c>
      <c r="G44" s="3" t="s">
        <v>89</v>
      </c>
      <c r="H44" s="3">
        <v>2925</v>
      </c>
      <c r="I44" s="3">
        <v>2925</v>
      </c>
      <c r="J44">
        <v>0</v>
      </c>
      <c r="K44" s="3">
        <v>3363.75</v>
      </c>
      <c r="L44" s="3">
        <v>372.5</v>
      </c>
      <c r="M44" s="3">
        <v>230.95</v>
      </c>
      <c r="N44" t="s">
        <v>84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9</v>
      </c>
      <c r="V44" t="s">
        <v>71</v>
      </c>
      <c r="W44" t="s">
        <v>95</v>
      </c>
      <c r="X44" s="4">
        <v>0</v>
      </c>
      <c r="Y44" t="s">
        <v>58</v>
      </c>
      <c r="Z44" s="3">
        <v>0</v>
      </c>
      <c r="AA44">
        <v>0</v>
      </c>
      <c r="AB44" s="3">
        <v>372.5</v>
      </c>
      <c r="AC44">
        <v>0</v>
      </c>
      <c r="AD44">
        <v>0</v>
      </c>
      <c r="AE44" s="3">
        <v>500</v>
      </c>
      <c r="AF44" t="s">
        <v>54</v>
      </c>
      <c r="AG44" t="s">
        <v>59</v>
      </c>
      <c r="AI44" t="s">
        <v>73</v>
      </c>
      <c r="AJ44" t="s">
        <v>73</v>
      </c>
      <c r="AK44" s="5">
        <v>46035.460555555554</v>
      </c>
      <c r="AO44" t="s">
        <v>54</v>
      </c>
      <c r="AP44">
        <v>0</v>
      </c>
      <c r="AR44" t="s">
        <v>54</v>
      </c>
      <c r="AS44" t="s">
        <v>54</v>
      </c>
      <c r="AT44">
        <v>3204</v>
      </c>
      <c r="AU44" t="s">
        <v>55</v>
      </c>
    </row>
    <row r="45" spans="1:47" hidden="1" x14ac:dyDescent="0.25">
      <c r="A45" t="s">
        <v>96</v>
      </c>
      <c r="B45" s="1">
        <v>38431</v>
      </c>
      <c r="C45" t="s">
        <v>48</v>
      </c>
      <c r="D45" t="s">
        <v>49</v>
      </c>
      <c r="E45" s="2">
        <v>46035</v>
      </c>
      <c r="F45" t="s">
        <v>127</v>
      </c>
      <c r="G45" t="s">
        <v>109</v>
      </c>
      <c r="H45" s="3">
        <v>1278.5</v>
      </c>
      <c r="I45" s="3">
        <v>1278.5</v>
      </c>
      <c r="J45">
        <v>0</v>
      </c>
      <c r="K45" s="3">
        <v>1278.5</v>
      </c>
      <c r="L45" s="3">
        <v>207.5</v>
      </c>
      <c r="M45" s="3">
        <v>92.13</v>
      </c>
      <c r="N45" t="s">
        <v>84</v>
      </c>
      <c r="O45" t="s">
        <v>53</v>
      </c>
      <c r="P45" t="s">
        <v>53</v>
      </c>
      <c r="Q45" t="s">
        <v>53</v>
      </c>
      <c r="R45" t="s">
        <v>54</v>
      </c>
      <c r="S45" t="s">
        <v>54</v>
      </c>
      <c r="T45" t="s">
        <v>55</v>
      </c>
      <c r="U45">
        <v>9</v>
      </c>
      <c r="V45" t="s">
        <v>71</v>
      </c>
      <c r="W45" t="s">
        <v>114</v>
      </c>
      <c r="X45" s="4">
        <v>0</v>
      </c>
      <c r="Y45" t="s">
        <v>62</v>
      </c>
      <c r="Z45" s="3"/>
      <c r="AB45" s="3"/>
      <c r="AE45" s="3"/>
      <c r="AK45" s="5"/>
    </row>
    <row r="46" spans="1:47" hidden="1" x14ac:dyDescent="0.25">
      <c r="A46" t="s">
        <v>63</v>
      </c>
      <c r="B46" s="1">
        <v>207.5</v>
      </c>
      <c r="C46">
        <v>0</v>
      </c>
      <c r="D46">
        <v>0</v>
      </c>
      <c r="E46" s="2">
        <v>0</v>
      </c>
      <c r="F46">
        <v>0</v>
      </c>
      <c r="G46">
        <v>50</v>
      </c>
      <c r="H46" s="3" t="s">
        <v>54</v>
      </c>
      <c r="I46" s="3" t="s">
        <v>59</v>
      </c>
      <c r="J46" t="s">
        <v>128</v>
      </c>
      <c r="K46" s="3" t="s">
        <v>73</v>
      </c>
      <c r="L46" s="3" t="s">
        <v>73</v>
      </c>
      <c r="M46" s="3">
        <v>46035.491793981484</v>
      </c>
      <c r="Q46" t="s">
        <v>54</v>
      </c>
      <c r="R46">
        <v>0</v>
      </c>
      <c r="T46" t="s">
        <v>54</v>
      </c>
      <c r="U46" t="s">
        <v>54</v>
      </c>
      <c r="V46">
        <v>4963</v>
      </c>
      <c r="W46" t="s">
        <v>55</v>
      </c>
      <c r="X46" s="4"/>
      <c r="Z46" s="3"/>
      <c r="AB46" s="3"/>
      <c r="AE46" s="3"/>
      <c r="AK46" s="5"/>
    </row>
    <row r="47" spans="1:47" hidden="1" x14ac:dyDescent="0.25">
      <c r="A47" t="s">
        <v>96</v>
      </c>
      <c r="B47" s="1">
        <v>38432</v>
      </c>
      <c r="C47" t="s">
        <v>48</v>
      </c>
      <c r="D47" t="s">
        <v>49</v>
      </c>
      <c r="E47" s="2">
        <v>46035</v>
      </c>
      <c r="F47" t="s">
        <v>127</v>
      </c>
      <c r="G47" s="3" t="s">
        <v>109</v>
      </c>
      <c r="H47" s="3">
        <v>2557</v>
      </c>
      <c r="I47" s="3">
        <v>2557</v>
      </c>
      <c r="J47">
        <v>0</v>
      </c>
      <c r="K47" s="3">
        <v>2557</v>
      </c>
      <c r="L47" s="3">
        <v>415</v>
      </c>
      <c r="M47" s="3">
        <v>184.26</v>
      </c>
      <c r="N47" t="s">
        <v>84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9</v>
      </c>
      <c r="V47" t="s">
        <v>71</v>
      </c>
      <c r="W47" t="s">
        <v>114</v>
      </c>
      <c r="X47" s="4">
        <v>0</v>
      </c>
      <c r="Y47" t="s">
        <v>62</v>
      </c>
      <c r="AB47" s="3"/>
      <c r="AK47" s="5"/>
    </row>
    <row r="48" spans="1:47" hidden="1" x14ac:dyDescent="0.25">
      <c r="A48" t="s">
        <v>63</v>
      </c>
      <c r="B48" s="1">
        <v>415</v>
      </c>
      <c r="C48">
        <v>0</v>
      </c>
      <c r="D48">
        <v>0</v>
      </c>
      <c r="E48" s="2">
        <v>0</v>
      </c>
      <c r="F48">
        <v>0</v>
      </c>
      <c r="G48" s="3">
        <v>100</v>
      </c>
      <c r="H48" s="3" t="s">
        <v>54</v>
      </c>
      <c r="I48" s="3" t="s">
        <v>59</v>
      </c>
      <c r="J48" t="s">
        <v>128</v>
      </c>
      <c r="K48" s="3" t="s">
        <v>73</v>
      </c>
      <c r="L48" s="3" t="s">
        <v>73</v>
      </c>
      <c r="M48" s="3">
        <v>46035.490428240744</v>
      </c>
      <c r="Q48" t="s">
        <v>54</v>
      </c>
      <c r="R48">
        <v>0</v>
      </c>
      <c r="T48" t="s">
        <v>54</v>
      </c>
      <c r="U48" t="s">
        <v>54</v>
      </c>
      <c r="V48">
        <v>4963</v>
      </c>
      <c r="W48" t="s">
        <v>55</v>
      </c>
      <c r="X48" s="4"/>
      <c r="AK48" s="5"/>
    </row>
    <row r="49" spans="1:47" hidden="1" x14ac:dyDescent="0.25">
      <c r="A49" t="s">
        <v>47</v>
      </c>
      <c r="B49" s="1">
        <v>38433</v>
      </c>
      <c r="C49" t="s">
        <v>48</v>
      </c>
      <c r="D49" t="s">
        <v>49</v>
      </c>
      <c r="E49" s="2">
        <v>46035</v>
      </c>
      <c r="F49" t="s">
        <v>129</v>
      </c>
      <c r="G49" s="3" t="s">
        <v>130</v>
      </c>
      <c r="H49" s="3">
        <v>6480</v>
      </c>
      <c r="I49" s="3">
        <v>6480</v>
      </c>
      <c r="J49">
        <v>0</v>
      </c>
      <c r="K49" s="3">
        <v>7452</v>
      </c>
      <c r="L49" s="3">
        <v>1164</v>
      </c>
      <c r="M49" s="3">
        <v>488.88</v>
      </c>
      <c r="N49" t="s">
        <v>52</v>
      </c>
      <c r="O49" t="s">
        <v>53</v>
      </c>
      <c r="P49" t="s">
        <v>53</v>
      </c>
      <c r="Q49" t="s">
        <v>53</v>
      </c>
      <c r="R49" t="s">
        <v>54</v>
      </c>
      <c r="S49" t="s">
        <v>54</v>
      </c>
      <c r="T49" t="s">
        <v>55</v>
      </c>
      <c r="U49">
        <v>126</v>
      </c>
      <c r="V49" t="s">
        <v>56</v>
      </c>
      <c r="W49" t="s">
        <v>131</v>
      </c>
      <c r="X49" s="4">
        <v>0</v>
      </c>
      <c r="Y49" t="s">
        <v>62</v>
      </c>
      <c r="AB49" s="3"/>
      <c r="AE49" s="3"/>
      <c r="AK49" s="5"/>
    </row>
    <row r="50" spans="1:47" hidden="1" x14ac:dyDescent="0.25">
      <c r="A50" t="s">
        <v>63</v>
      </c>
      <c r="B50" s="1">
        <v>1164</v>
      </c>
      <c r="C50">
        <v>0</v>
      </c>
      <c r="D50">
        <v>0</v>
      </c>
      <c r="E50" s="2">
        <v>0</v>
      </c>
      <c r="F50">
        <v>0</v>
      </c>
      <c r="G50" s="3">
        <v>1000</v>
      </c>
      <c r="H50" s="3" t="s">
        <v>54</v>
      </c>
      <c r="I50" s="3" t="s">
        <v>59</v>
      </c>
      <c r="K50" s="3" t="s">
        <v>73</v>
      </c>
      <c r="L50" s="3" t="s">
        <v>73</v>
      </c>
      <c r="M50" s="3">
        <v>46035.629131944443</v>
      </c>
      <c r="Q50" t="s">
        <v>54</v>
      </c>
      <c r="R50">
        <v>0</v>
      </c>
      <c r="T50" t="s">
        <v>54</v>
      </c>
      <c r="U50" t="s">
        <v>54</v>
      </c>
      <c r="V50">
        <v>6379</v>
      </c>
      <c r="W50" t="s">
        <v>55</v>
      </c>
      <c r="X50" s="4"/>
      <c r="AB50" s="3"/>
      <c r="AE50" s="3"/>
      <c r="AK50" s="5"/>
    </row>
    <row r="51" spans="1:47" hidden="1" x14ac:dyDescent="0.25">
      <c r="A51" t="s">
        <v>81</v>
      </c>
      <c r="B51" s="1">
        <v>38434</v>
      </c>
      <c r="C51" t="s">
        <v>48</v>
      </c>
      <c r="D51" t="s">
        <v>49</v>
      </c>
      <c r="E51" s="2">
        <v>46035</v>
      </c>
      <c r="F51" t="s">
        <v>132</v>
      </c>
      <c r="G51" s="3" t="s">
        <v>87</v>
      </c>
      <c r="H51" s="3">
        <v>6760</v>
      </c>
      <c r="I51" s="3">
        <v>6760</v>
      </c>
      <c r="J51">
        <v>0</v>
      </c>
      <c r="K51" s="3">
        <v>6760</v>
      </c>
      <c r="L51" s="3">
        <v>1184</v>
      </c>
      <c r="M51" s="3">
        <v>680.8</v>
      </c>
      <c r="N51" t="s">
        <v>77</v>
      </c>
      <c r="O51" t="s">
        <v>53</v>
      </c>
      <c r="P51" t="s">
        <v>53</v>
      </c>
      <c r="Q51" t="s">
        <v>53</v>
      </c>
      <c r="R51" t="s">
        <v>54</v>
      </c>
      <c r="S51" t="s">
        <v>54</v>
      </c>
      <c r="T51" t="s">
        <v>55</v>
      </c>
      <c r="U51">
        <v>83</v>
      </c>
      <c r="V51" t="s">
        <v>56</v>
      </c>
      <c r="W51">
        <v>0</v>
      </c>
      <c r="X51" s="4">
        <v>0</v>
      </c>
      <c r="Y51" t="s">
        <v>58</v>
      </c>
      <c r="Z51">
        <v>0</v>
      </c>
      <c r="AA51">
        <v>0</v>
      </c>
      <c r="AB51" s="3">
        <v>1184</v>
      </c>
      <c r="AC51">
        <v>0</v>
      </c>
      <c r="AD51">
        <v>0</v>
      </c>
      <c r="AE51" s="3">
        <v>2000</v>
      </c>
      <c r="AF51" t="s">
        <v>54</v>
      </c>
      <c r="AG51" t="s">
        <v>59</v>
      </c>
      <c r="AI51" t="s">
        <v>80</v>
      </c>
      <c r="AJ51" t="s">
        <v>73</v>
      </c>
      <c r="AK51" s="5">
        <v>46035.724131944444</v>
      </c>
      <c r="AO51" t="s">
        <v>54</v>
      </c>
      <c r="AP51">
        <v>0</v>
      </c>
      <c r="AR51" t="s">
        <v>54</v>
      </c>
      <c r="AS51" t="s">
        <v>54</v>
      </c>
      <c r="AT51">
        <v>5289</v>
      </c>
      <c r="AU51" t="s">
        <v>55</v>
      </c>
    </row>
    <row r="52" spans="1:47" hidden="1" x14ac:dyDescent="0.25">
      <c r="A52" t="s">
        <v>47</v>
      </c>
      <c r="B52" s="1">
        <v>38435</v>
      </c>
      <c r="C52" t="s">
        <v>48</v>
      </c>
      <c r="D52" t="s">
        <v>49</v>
      </c>
      <c r="E52" s="2">
        <v>46035</v>
      </c>
      <c r="F52" t="s">
        <v>133</v>
      </c>
      <c r="G52" t="s">
        <v>89</v>
      </c>
      <c r="H52" s="3">
        <v>10630</v>
      </c>
      <c r="I52" s="3">
        <v>10630</v>
      </c>
      <c r="J52">
        <v>0</v>
      </c>
      <c r="K52" s="3">
        <v>12224.5</v>
      </c>
      <c r="L52" s="3">
        <v>1685</v>
      </c>
      <c r="M52" s="3">
        <v>876.2</v>
      </c>
      <c r="N52" t="s">
        <v>52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126</v>
      </c>
      <c r="V52" t="s">
        <v>56</v>
      </c>
      <c r="W52" t="s">
        <v>134</v>
      </c>
      <c r="X52" s="4">
        <v>0</v>
      </c>
      <c r="Y52" t="s">
        <v>58</v>
      </c>
      <c r="Z52" s="3">
        <v>0</v>
      </c>
      <c r="AA52">
        <v>0</v>
      </c>
      <c r="AB52" s="3">
        <v>0</v>
      </c>
      <c r="AC52">
        <v>0</v>
      </c>
      <c r="AD52" s="3">
        <v>1685</v>
      </c>
      <c r="AE52" s="3">
        <v>1000</v>
      </c>
      <c r="AF52" t="s">
        <v>54</v>
      </c>
      <c r="AG52" t="s">
        <v>59</v>
      </c>
      <c r="AI52" t="s">
        <v>60</v>
      </c>
      <c r="AJ52" t="s">
        <v>60</v>
      </c>
      <c r="AK52" s="5">
        <v>46035.861909722225</v>
      </c>
      <c r="AO52" t="s">
        <v>54</v>
      </c>
      <c r="AP52">
        <v>0</v>
      </c>
      <c r="AR52" t="s">
        <v>54</v>
      </c>
      <c r="AS52" t="s">
        <v>54</v>
      </c>
      <c r="AT52">
        <v>6130</v>
      </c>
      <c r="AU52" t="s">
        <v>55</v>
      </c>
    </row>
    <row r="53" spans="1:47" hidden="1" x14ac:dyDescent="0.25">
      <c r="A53" t="s">
        <v>47</v>
      </c>
      <c r="B53" s="1">
        <v>38436</v>
      </c>
      <c r="C53" t="s">
        <v>48</v>
      </c>
      <c r="D53" t="s">
        <v>49</v>
      </c>
      <c r="E53" s="2">
        <v>46036</v>
      </c>
      <c r="F53" t="s">
        <v>50</v>
      </c>
      <c r="G53" s="3" t="s">
        <v>51</v>
      </c>
      <c r="H53" s="3">
        <v>28250</v>
      </c>
      <c r="I53" s="3">
        <v>28250</v>
      </c>
      <c r="J53">
        <v>0</v>
      </c>
      <c r="K53" s="3">
        <v>32487.5</v>
      </c>
      <c r="L53" s="3">
        <v>5860</v>
      </c>
      <c r="M53" s="3">
        <v>2216.1799999999998</v>
      </c>
      <c r="N53" t="s">
        <v>52</v>
      </c>
      <c r="O53" t="s">
        <v>53</v>
      </c>
      <c r="P53" t="s">
        <v>53</v>
      </c>
      <c r="Q53" t="s">
        <v>53</v>
      </c>
      <c r="R53" t="s">
        <v>54</v>
      </c>
      <c r="S53" t="s">
        <v>54</v>
      </c>
      <c r="T53" t="s">
        <v>55</v>
      </c>
      <c r="U53">
        <v>126</v>
      </c>
      <c r="V53" t="s">
        <v>56</v>
      </c>
      <c r="W53" t="s">
        <v>57</v>
      </c>
      <c r="X53" s="4">
        <v>0</v>
      </c>
      <c r="Y53" t="s">
        <v>58</v>
      </c>
      <c r="Z53" s="3">
        <v>5860</v>
      </c>
      <c r="AA53">
        <v>0</v>
      </c>
      <c r="AB53">
        <v>0</v>
      </c>
      <c r="AC53">
        <v>0</v>
      </c>
      <c r="AD53" s="3">
        <v>0</v>
      </c>
      <c r="AE53" s="3">
        <v>10000</v>
      </c>
      <c r="AF53" t="s">
        <v>54</v>
      </c>
      <c r="AG53" t="s">
        <v>59</v>
      </c>
      <c r="AI53" t="s">
        <v>92</v>
      </c>
      <c r="AJ53" t="s">
        <v>73</v>
      </c>
      <c r="AK53" s="5">
        <v>46036.454861111109</v>
      </c>
      <c r="AO53" t="s">
        <v>54</v>
      </c>
      <c r="AP53">
        <v>0</v>
      </c>
      <c r="AR53" t="s">
        <v>54</v>
      </c>
      <c r="AS53" t="s">
        <v>54</v>
      </c>
      <c r="AT53">
        <v>6611</v>
      </c>
      <c r="AU53" t="s">
        <v>55</v>
      </c>
    </row>
    <row r="54" spans="1:47" hidden="1" x14ac:dyDescent="0.25">
      <c r="A54" t="s">
        <v>47</v>
      </c>
      <c r="B54" s="1">
        <v>38437</v>
      </c>
      <c r="C54" t="s">
        <v>48</v>
      </c>
      <c r="D54" t="s">
        <v>49</v>
      </c>
      <c r="E54" s="2">
        <v>46036</v>
      </c>
      <c r="F54" t="s">
        <v>135</v>
      </c>
      <c r="G54" t="s">
        <v>94</v>
      </c>
      <c r="H54" s="3">
        <v>9330</v>
      </c>
      <c r="I54" s="3">
        <v>9330</v>
      </c>
      <c r="J54">
        <v>0</v>
      </c>
      <c r="K54" s="3">
        <v>9330</v>
      </c>
      <c r="L54" s="3">
        <v>1983.5</v>
      </c>
      <c r="M54" s="3">
        <v>667.84</v>
      </c>
      <c r="N54" t="s">
        <v>52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126</v>
      </c>
      <c r="V54" t="s">
        <v>56</v>
      </c>
      <c r="W54" t="s">
        <v>117</v>
      </c>
      <c r="X54" s="4">
        <v>0</v>
      </c>
      <c r="Y54" t="s">
        <v>62</v>
      </c>
      <c r="Z54" s="3"/>
      <c r="AE54" s="3"/>
      <c r="AK54" s="5"/>
    </row>
    <row r="55" spans="1:47" hidden="1" x14ac:dyDescent="0.25">
      <c r="A55" t="s">
        <v>63</v>
      </c>
      <c r="B55" s="1">
        <v>1983.5</v>
      </c>
      <c r="C55">
        <v>0</v>
      </c>
      <c r="D55">
        <v>0</v>
      </c>
      <c r="E55" s="2">
        <v>0</v>
      </c>
      <c r="F55" s="3">
        <v>0</v>
      </c>
      <c r="G55" s="3">
        <v>25000</v>
      </c>
      <c r="H55" s="3" t="s">
        <v>54</v>
      </c>
      <c r="I55" s="3" t="s">
        <v>59</v>
      </c>
      <c r="K55" s="3" t="s">
        <v>73</v>
      </c>
      <c r="L55" s="3" t="s">
        <v>73</v>
      </c>
      <c r="M55" s="3">
        <v>46037.328819444447</v>
      </c>
      <c r="Q55" t="s">
        <v>54</v>
      </c>
      <c r="R55">
        <v>0</v>
      </c>
      <c r="T55" t="s">
        <v>54</v>
      </c>
      <c r="U55" t="s">
        <v>54</v>
      </c>
      <c r="V55">
        <v>3366</v>
      </c>
      <c r="W55" t="s">
        <v>55</v>
      </c>
      <c r="X55" s="4"/>
      <c r="Z55" s="3"/>
      <c r="AE55" s="3"/>
      <c r="AK55" s="5"/>
    </row>
    <row r="56" spans="1:47" hidden="1" x14ac:dyDescent="0.25">
      <c r="A56" t="s">
        <v>47</v>
      </c>
      <c r="B56" s="1">
        <v>38438</v>
      </c>
      <c r="C56" t="s">
        <v>48</v>
      </c>
      <c r="D56" t="s">
        <v>49</v>
      </c>
      <c r="E56" s="2">
        <v>46037</v>
      </c>
      <c r="F56" t="s">
        <v>101</v>
      </c>
      <c r="G56" s="3" t="s">
        <v>94</v>
      </c>
      <c r="H56" s="3">
        <v>23030</v>
      </c>
      <c r="I56" s="3">
        <v>23030</v>
      </c>
      <c r="J56">
        <v>0</v>
      </c>
      <c r="K56" s="3">
        <v>26484.5</v>
      </c>
      <c r="L56" s="3">
        <v>3401</v>
      </c>
      <c r="M56" s="3">
        <v>1902.72</v>
      </c>
      <c r="N56" t="s">
        <v>84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9</v>
      </c>
      <c r="V56" t="s">
        <v>71</v>
      </c>
      <c r="W56" t="s">
        <v>102</v>
      </c>
      <c r="X56" s="4">
        <v>0</v>
      </c>
      <c r="Y56" t="s">
        <v>58</v>
      </c>
      <c r="Z56">
        <v>710</v>
      </c>
      <c r="AA56">
        <v>0</v>
      </c>
      <c r="AB56" s="3">
        <v>2691</v>
      </c>
      <c r="AC56">
        <v>0</v>
      </c>
      <c r="AD56" s="3">
        <v>0</v>
      </c>
      <c r="AE56" s="3">
        <v>2000</v>
      </c>
      <c r="AF56" t="s">
        <v>54</v>
      </c>
      <c r="AG56" t="s">
        <v>59</v>
      </c>
      <c r="AH56" t="s">
        <v>103</v>
      </c>
      <c r="AI56" t="s">
        <v>92</v>
      </c>
      <c r="AJ56" t="s">
        <v>92</v>
      </c>
      <c r="AK56" s="5">
        <v>46037.309687499997</v>
      </c>
      <c r="AO56" t="s">
        <v>54</v>
      </c>
      <c r="AP56">
        <v>0</v>
      </c>
      <c r="AR56" t="s">
        <v>54</v>
      </c>
      <c r="AS56" t="s">
        <v>54</v>
      </c>
      <c r="AT56">
        <v>161</v>
      </c>
      <c r="AU56" t="s">
        <v>55</v>
      </c>
    </row>
    <row r="57" spans="1:47" hidden="1" x14ac:dyDescent="0.25">
      <c r="A57" t="s">
        <v>136</v>
      </c>
      <c r="B57" s="1">
        <v>38439</v>
      </c>
      <c r="C57" t="s">
        <v>48</v>
      </c>
      <c r="D57" t="s">
        <v>49</v>
      </c>
      <c r="E57" s="2">
        <v>46037</v>
      </c>
      <c r="F57" t="s">
        <v>207</v>
      </c>
      <c r="G57" s="3" t="s">
        <v>137</v>
      </c>
      <c r="H57" s="3">
        <v>16100</v>
      </c>
      <c r="I57" s="3">
        <v>16100</v>
      </c>
      <c r="J57">
        <v>0</v>
      </c>
      <c r="K57" s="3">
        <v>16100</v>
      </c>
      <c r="L57" s="3">
        <v>4892</v>
      </c>
      <c r="M57" s="3">
        <v>2141.16</v>
      </c>
      <c r="N57" t="s">
        <v>52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126</v>
      </c>
      <c r="V57" t="s">
        <v>56</v>
      </c>
      <c r="W57" t="s">
        <v>114</v>
      </c>
      <c r="X57" s="4">
        <v>0</v>
      </c>
      <c r="Y57" t="s">
        <v>62</v>
      </c>
      <c r="AD57" s="3"/>
      <c r="AE57" s="3"/>
      <c r="AK57" s="5"/>
    </row>
    <row r="58" spans="1:47" hidden="1" x14ac:dyDescent="0.25">
      <c r="A58" t="s">
        <v>63</v>
      </c>
      <c r="B58" s="1">
        <v>4892</v>
      </c>
      <c r="C58">
        <v>0</v>
      </c>
      <c r="D58">
        <v>0</v>
      </c>
      <c r="E58" s="2">
        <v>0</v>
      </c>
      <c r="F58" s="3">
        <v>0</v>
      </c>
      <c r="G58" s="3">
        <v>3000</v>
      </c>
      <c r="H58" s="3" t="s">
        <v>54</v>
      </c>
      <c r="I58" s="3" t="s">
        <v>59</v>
      </c>
      <c r="J58" t="s">
        <v>171</v>
      </c>
      <c r="K58" s="3" t="s">
        <v>60</v>
      </c>
      <c r="L58" s="3" t="s">
        <v>60</v>
      </c>
      <c r="M58" s="3">
        <v>46037.491076388891</v>
      </c>
      <c r="Q58" t="s">
        <v>54</v>
      </c>
      <c r="R58">
        <v>0</v>
      </c>
      <c r="T58" t="s">
        <v>54</v>
      </c>
      <c r="U58" t="s">
        <v>54</v>
      </c>
      <c r="V58">
        <v>8571</v>
      </c>
      <c r="W58" t="s">
        <v>55</v>
      </c>
      <c r="X58" s="4"/>
      <c r="AK58" s="5"/>
    </row>
    <row r="59" spans="1:47" hidden="1" x14ac:dyDescent="0.25">
      <c r="A59" t="s">
        <v>47</v>
      </c>
      <c r="B59" s="1">
        <v>38440</v>
      </c>
      <c r="C59" t="s">
        <v>48</v>
      </c>
      <c r="D59" t="s">
        <v>49</v>
      </c>
      <c r="E59" s="2">
        <v>46037</v>
      </c>
      <c r="F59" t="s">
        <v>138</v>
      </c>
      <c r="G59" s="3" t="s">
        <v>89</v>
      </c>
      <c r="H59" s="3">
        <v>3600</v>
      </c>
      <c r="I59" s="3">
        <v>3600</v>
      </c>
      <c r="J59">
        <v>0</v>
      </c>
      <c r="K59" s="3">
        <v>4140</v>
      </c>
      <c r="L59" s="3">
        <v>439</v>
      </c>
      <c r="M59" s="3">
        <v>272.18</v>
      </c>
      <c r="N59" t="s">
        <v>52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126</v>
      </c>
      <c r="V59" t="s">
        <v>56</v>
      </c>
      <c r="W59" t="s">
        <v>95</v>
      </c>
      <c r="X59" s="4">
        <v>0</v>
      </c>
      <c r="Y59" t="s">
        <v>58</v>
      </c>
      <c r="Z59" s="3">
        <v>0</v>
      </c>
      <c r="AA59">
        <v>0</v>
      </c>
      <c r="AB59">
        <v>439</v>
      </c>
      <c r="AC59">
        <v>0</v>
      </c>
      <c r="AD59">
        <v>0</v>
      </c>
      <c r="AE59" s="3">
        <v>500</v>
      </c>
      <c r="AF59" t="s">
        <v>54</v>
      </c>
      <c r="AG59" t="s">
        <v>59</v>
      </c>
      <c r="AI59" t="s">
        <v>73</v>
      </c>
      <c r="AJ59" t="s">
        <v>73</v>
      </c>
      <c r="AK59" s="5">
        <v>46037.576493055552</v>
      </c>
      <c r="AO59" t="s">
        <v>54</v>
      </c>
      <c r="AP59">
        <v>0</v>
      </c>
      <c r="AR59" t="s">
        <v>54</v>
      </c>
      <c r="AS59" t="s">
        <v>54</v>
      </c>
      <c r="AT59">
        <v>7224</v>
      </c>
      <c r="AU59" t="s">
        <v>55</v>
      </c>
    </row>
    <row r="60" spans="1:47" hidden="1" x14ac:dyDescent="0.25">
      <c r="A60" t="s">
        <v>81</v>
      </c>
      <c r="B60" s="1">
        <v>38442</v>
      </c>
      <c r="C60" t="s">
        <v>48</v>
      </c>
      <c r="D60" t="s">
        <v>49</v>
      </c>
      <c r="E60" s="2">
        <v>46037</v>
      </c>
      <c r="F60" t="s">
        <v>139</v>
      </c>
      <c r="G60" t="s">
        <v>140</v>
      </c>
      <c r="H60" s="3">
        <v>8146</v>
      </c>
      <c r="I60" s="3">
        <v>8146</v>
      </c>
      <c r="J60">
        <v>0</v>
      </c>
      <c r="K60" s="3">
        <v>8146</v>
      </c>
      <c r="L60" s="3">
        <v>2266.9</v>
      </c>
      <c r="M60" s="3">
        <v>736.75</v>
      </c>
      <c r="N60" t="s">
        <v>77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83</v>
      </c>
      <c r="W60" t="s">
        <v>72</v>
      </c>
      <c r="X60" s="4">
        <v>0</v>
      </c>
      <c r="Y60" t="s">
        <v>58</v>
      </c>
      <c r="Z60" s="3">
        <v>2266.9</v>
      </c>
      <c r="AA60">
        <v>0</v>
      </c>
      <c r="AB60">
        <v>0</v>
      </c>
      <c r="AC60">
        <v>0</v>
      </c>
      <c r="AD60">
        <v>0</v>
      </c>
      <c r="AE60" s="3">
        <v>2300</v>
      </c>
      <c r="AF60" t="s">
        <v>54</v>
      </c>
      <c r="AG60" t="s">
        <v>59</v>
      </c>
      <c r="AH60" t="s">
        <v>103</v>
      </c>
      <c r="AI60" t="s">
        <v>80</v>
      </c>
      <c r="AJ60" t="s">
        <v>73</v>
      </c>
      <c r="AK60" s="5">
        <v>46038.333622685182</v>
      </c>
      <c r="AO60" t="s">
        <v>54</v>
      </c>
      <c r="AP60">
        <v>0</v>
      </c>
      <c r="AR60" t="s">
        <v>54</v>
      </c>
      <c r="AS60" t="s">
        <v>54</v>
      </c>
      <c r="AT60">
        <v>3465</v>
      </c>
      <c r="AU60" t="s">
        <v>55</v>
      </c>
    </row>
    <row r="61" spans="1:47" hidden="1" x14ac:dyDescent="0.25">
      <c r="A61" t="s">
        <v>96</v>
      </c>
      <c r="B61" s="1">
        <v>38443</v>
      </c>
      <c r="C61" t="s">
        <v>48</v>
      </c>
      <c r="D61" s="3" t="s">
        <v>49</v>
      </c>
      <c r="E61" s="2">
        <v>46037</v>
      </c>
      <c r="F61" t="s">
        <v>141</v>
      </c>
      <c r="G61" s="3" t="s">
        <v>94</v>
      </c>
      <c r="H61" s="3">
        <v>4122</v>
      </c>
      <c r="I61" s="3">
        <v>4122</v>
      </c>
      <c r="J61">
        <v>0</v>
      </c>
      <c r="K61" s="3">
        <v>4122</v>
      </c>
      <c r="L61" s="3">
        <v>1069.2</v>
      </c>
      <c r="M61" s="3">
        <v>310.07</v>
      </c>
      <c r="N61" t="s">
        <v>106</v>
      </c>
      <c r="O61" t="s">
        <v>53</v>
      </c>
      <c r="P61" t="s">
        <v>53</v>
      </c>
      <c r="Q61" t="s">
        <v>53</v>
      </c>
      <c r="R61" t="s">
        <v>54</v>
      </c>
      <c r="S61" t="s">
        <v>54</v>
      </c>
      <c r="T61" t="s">
        <v>55</v>
      </c>
      <c r="U61">
        <v>145</v>
      </c>
      <c r="W61" t="s">
        <v>142</v>
      </c>
      <c r="X61" s="4">
        <v>0</v>
      </c>
      <c r="Y61" t="s">
        <v>62</v>
      </c>
      <c r="Z61" s="3"/>
      <c r="AE61" s="3"/>
      <c r="AK61" s="5"/>
    </row>
    <row r="62" spans="1:47" hidden="1" x14ac:dyDescent="0.25">
      <c r="A62" t="s">
        <v>63</v>
      </c>
      <c r="B62" s="1">
        <v>1069.2</v>
      </c>
      <c r="C62">
        <v>0</v>
      </c>
      <c r="D62">
        <v>0</v>
      </c>
      <c r="E62" s="2">
        <v>0</v>
      </c>
      <c r="F62">
        <v>0</v>
      </c>
      <c r="G62" s="3">
        <v>1800</v>
      </c>
      <c r="H62" s="3" t="s">
        <v>54</v>
      </c>
      <c r="I62" s="3" t="s">
        <v>59</v>
      </c>
      <c r="J62" t="s">
        <v>143</v>
      </c>
      <c r="K62" s="3" t="s">
        <v>73</v>
      </c>
      <c r="L62" s="3" t="s">
        <v>73</v>
      </c>
      <c r="M62" s="3">
        <v>46037.664467592593</v>
      </c>
      <c r="Q62" t="s">
        <v>54</v>
      </c>
      <c r="R62">
        <v>0</v>
      </c>
      <c r="T62" t="s">
        <v>54</v>
      </c>
      <c r="U62" t="s">
        <v>54</v>
      </c>
      <c r="V62">
        <v>8241</v>
      </c>
      <c r="W62" t="s">
        <v>55</v>
      </c>
      <c r="X62" s="4"/>
      <c r="AB62" s="3"/>
      <c r="AD62" s="3"/>
      <c r="AE62" s="3"/>
      <c r="AK62" s="5"/>
    </row>
    <row r="63" spans="1:47" hidden="1" x14ac:dyDescent="0.25">
      <c r="A63" t="s">
        <v>96</v>
      </c>
      <c r="B63" s="1">
        <v>38444</v>
      </c>
      <c r="C63" t="s">
        <v>48</v>
      </c>
      <c r="D63" s="3" t="s">
        <v>49</v>
      </c>
      <c r="E63" s="2">
        <v>46037</v>
      </c>
      <c r="F63" t="s">
        <v>144</v>
      </c>
      <c r="G63" s="3" t="s">
        <v>66</v>
      </c>
      <c r="H63" s="3">
        <v>15024</v>
      </c>
      <c r="I63" s="3">
        <v>15024</v>
      </c>
      <c r="J63">
        <v>0</v>
      </c>
      <c r="K63" s="3">
        <v>15024</v>
      </c>
      <c r="L63" s="3">
        <v>2781.6</v>
      </c>
      <c r="M63" s="3">
        <v>1307.3499999999999</v>
      </c>
      <c r="N63" t="s">
        <v>106</v>
      </c>
      <c r="O63" t="s">
        <v>53</v>
      </c>
      <c r="P63" t="s">
        <v>53</v>
      </c>
      <c r="Q63" t="s">
        <v>53</v>
      </c>
      <c r="R63" t="s">
        <v>54</v>
      </c>
      <c r="S63" t="s">
        <v>54</v>
      </c>
      <c r="T63" t="s">
        <v>55</v>
      </c>
      <c r="U63">
        <v>145</v>
      </c>
      <c r="V63" t="s">
        <v>145</v>
      </c>
      <c r="W63" t="s">
        <v>146</v>
      </c>
      <c r="X63" s="4">
        <v>0</v>
      </c>
      <c r="Y63" t="s">
        <v>58</v>
      </c>
      <c r="Z63">
        <v>0</v>
      </c>
      <c r="AA63">
        <v>0</v>
      </c>
      <c r="AB63">
        <v>0</v>
      </c>
      <c r="AC63">
        <v>0</v>
      </c>
      <c r="AD63" s="3">
        <v>2781.6</v>
      </c>
      <c r="AE63" s="3">
        <v>2400</v>
      </c>
      <c r="AF63" t="s">
        <v>54</v>
      </c>
      <c r="AG63" t="s">
        <v>59</v>
      </c>
      <c r="AI63" t="s">
        <v>73</v>
      </c>
      <c r="AJ63" t="s">
        <v>73</v>
      </c>
      <c r="AK63" s="5">
        <v>46037.702175925922</v>
      </c>
      <c r="AO63" t="s">
        <v>54</v>
      </c>
      <c r="AP63">
        <v>0</v>
      </c>
      <c r="AR63" t="s">
        <v>54</v>
      </c>
      <c r="AS63" t="s">
        <v>54</v>
      </c>
      <c r="AT63">
        <v>1301</v>
      </c>
      <c r="AU63" t="s">
        <v>55</v>
      </c>
    </row>
    <row r="64" spans="1:47" hidden="1" x14ac:dyDescent="0.25">
      <c r="A64" t="s">
        <v>96</v>
      </c>
      <c r="B64" s="1">
        <v>38445</v>
      </c>
      <c r="C64" t="s">
        <v>48</v>
      </c>
      <c r="D64" t="s">
        <v>49</v>
      </c>
      <c r="E64" s="2">
        <v>46037</v>
      </c>
      <c r="F64" t="s">
        <v>144</v>
      </c>
      <c r="G64" t="s">
        <v>66</v>
      </c>
      <c r="H64" s="3">
        <v>18780</v>
      </c>
      <c r="I64" s="3">
        <v>18780</v>
      </c>
      <c r="J64">
        <v>0</v>
      </c>
      <c r="K64" s="3">
        <v>18780</v>
      </c>
      <c r="L64" s="3">
        <v>3477</v>
      </c>
      <c r="M64" s="3">
        <v>1634.19</v>
      </c>
      <c r="N64" t="s">
        <v>106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145</v>
      </c>
      <c r="V64" t="s">
        <v>145</v>
      </c>
      <c r="W64" t="s">
        <v>146</v>
      </c>
      <c r="X64" s="4">
        <v>0</v>
      </c>
      <c r="Y64" t="s">
        <v>58</v>
      </c>
      <c r="Z64">
        <v>0</v>
      </c>
      <c r="AA64">
        <v>0</v>
      </c>
      <c r="AB64">
        <v>0</v>
      </c>
      <c r="AC64">
        <v>0</v>
      </c>
      <c r="AD64" s="3">
        <v>3477</v>
      </c>
      <c r="AE64" s="3">
        <v>3000</v>
      </c>
      <c r="AF64" t="s">
        <v>54</v>
      </c>
      <c r="AG64" t="s">
        <v>59</v>
      </c>
      <c r="AI64" t="s">
        <v>73</v>
      </c>
      <c r="AJ64" t="s">
        <v>73</v>
      </c>
      <c r="AK64" s="5">
        <v>46037.702291666668</v>
      </c>
      <c r="AO64" t="s">
        <v>54</v>
      </c>
      <c r="AP64">
        <v>0</v>
      </c>
      <c r="AR64" t="s">
        <v>54</v>
      </c>
      <c r="AS64" t="s">
        <v>54</v>
      </c>
      <c r="AT64">
        <v>1301</v>
      </c>
      <c r="AU64" t="s">
        <v>55</v>
      </c>
    </row>
    <row r="65" spans="1:47" hidden="1" x14ac:dyDescent="0.25">
      <c r="A65" t="s">
        <v>81</v>
      </c>
      <c r="B65" s="1">
        <v>38446</v>
      </c>
      <c r="C65" t="s">
        <v>48</v>
      </c>
      <c r="D65" s="3" t="s">
        <v>49</v>
      </c>
      <c r="E65" s="2">
        <v>46037</v>
      </c>
      <c r="F65" t="s">
        <v>144</v>
      </c>
      <c r="G65" s="3" t="s">
        <v>66</v>
      </c>
      <c r="H65" s="3">
        <v>22536</v>
      </c>
      <c r="I65" s="3">
        <v>22536</v>
      </c>
      <c r="J65">
        <v>0</v>
      </c>
      <c r="K65" s="3">
        <v>22536</v>
      </c>
      <c r="L65" s="3">
        <v>4172.3999999999996</v>
      </c>
      <c r="M65" s="3">
        <v>1961.03</v>
      </c>
      <c r="N65" t="s">
        <v>106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145</v>
      </c>
      <c r="V65" t="s">
        <v>145</v>
      </c>
      <c r="W65" t="s">
        <v>146</v>
      </c>
      <c r="X65" s="4">
        <v>0</v>
      </c>
      <c r="Y65" t="s">
        <v>58</v>
      </c>
      <c r="Z65">
        <v>0</v>
      </c>
      <c r="AA65">
        <v>0</v>
      </c>
      <c r="AB65">
        <v>0</v>
      </c>
      <c r="AC65">
        <v>0</v>
      </c>
      <c r="AD65" s="3">
        <v>4172.3999999999996</v>
      </c>
      <c r="AE65" s="3">
        <v>3600</v>
      </c>
      <c r="AF65" t="s">
        <v>54</v>
      </c>
      <c r="AG65" t="s">
        <v>59</v>
      </c>
      <c r="AI65" t="s">
        <v>73</v>
      </c>
      <c r="AJ65" t="s">
        <v>73</v>
      </c>
      <c r="AK65" s="5">
        <v>46037.702465277776</v>
      </c>
      <c r="AO65" t="s">
        <v>54</v>
      </c>
      <c r="AP65">
        <v>0</v>
      </c>
      <c r="AR65" t="s">
        <v>54</v>
      </c>
      <c r="AS65" t="s">
        <v>54</v>
      </c>
      <c r="AT65">
        <v>1301</v>
      </c>
      <c r="AU65" t="s">
        <v>55</v>
      </c>
    </row>
    <row r="66" spans="1:47" hidden="1" x14ac:dyDescent="0.25">
      <c r="A66" t="s">
        <v>81</v>
      </c>
      <c r="B66" s="1">
        <v>38447</v>
      </c>
      <c r="C66" t="s">
        <v>48</v>
      </c>
      <c r="D66" t="s">
        <v>49</v>
      </c>
      <c r="E66" s="2">
        <v>46037</v>
      </c>
      <c r="F66" t="s">
        <v>144</v>
      </c>
      <c r="G66" s="3" t="s">
        <v>66</v>
      </c>
      <c r="H66" s="3">
        <v>26292</v>
      </c>
      <c r="I66" s="3">
        <v>26292</v>
      </c>
      <c r="J66">
        <v>0</v>
      </c>
      <c r="K66" s="3">
        <v>26292</v>
      </c>
      <c r="L66" s="3">
        <v>4867.8</v>
      </c>
      <c r="M66" s="3">
        <v>2287.87</v>
      </c>
      <c r="N66" t="s">
        <v>106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145</v>
      </c>
      <c r="V66" t="s">
        <v>145</v>
      </c>
      <c r="W66" t="s">
        <v>146</v>
      </c>
      <c r="X66" s="4">
        <v>0</v>
      </c>
      <c r="Y66" t="s">
        <v>58</v>
      </c>
      <c r="Z66" s="3">
        <v>0</v>
      </c>
      <c r="AA66">
        <v>0</v>
      </c>
      <c r="AB66" s="3">
        <v>0</v>
      </c>
      <c r="AC66">
        <v>0</v>
      </c>
      <c r="AD66" s="3">
        <v>4867.8</v>
      </c>
      <c r="AE66" s="3">
        <v>4200</v>
      </c>
      <c r="AF66" t="s">
        <v>54</v>
      </c>
      <c r="AG66" t="s">
        <v>59</v>
      </c>
      <c r="AI66" t="s">
        <v>73</v>
      </c>
      <c r="AJ66" t="s">
        <v>73</v>
      </c>
      <c r="AK66" s="5">
        <v>46037.702615740738</v>
      </c>
      <c r="AO66" t="s">
        <v>54</v>
      </c>
      <c r="AP66">
        <v>0</v>
      </c>
      <c r="AR66" t="s">
        <v>54</v>
      </c>
      <c r="AS66" t="s">
        <v>54</v>
      </c>
      <c r="AT66">
        <v>1301</v>
      </c>
      <c r="AU66" t="s">
        <v>55</v>
      </c>
    </row>
    <row r="67" spans="1:47" hidden="1" x14ac:dyDescent="0.25">
      <c r="A67" t="s">
        <v>81</v>
      </c>
      <c r="B67" s="1">
        <v>38448</v>
      </c>
      <c r="C67" t="s">
        <v>48</v>
      </c>
      <c r="D67" s="3" t="s">
        <v>49</v>
      </c>
      <c r="E67" s="2">
        <v>46037</v>
      </c>
      <c r="F67" t="s">
        <v>144</v>
      </c>
      <c r="G67" s="3" t="s">
        <v>66</v>
      </c>
      <c r="H67" s="3">
        <v>26292</v>
      </c>
      <c r="I67" s="3">
        <v>26292</v>
      </c>
      <c r="J67">
        <v>0</v>
      </c>
      <c r="K67" s="3">
        <v>26292</v>
      </c>
      <c r="L67" s="3">
        <v>4867.8</v>
      </c>
      <c r="M67" s="3">
        <v>2287.87</v>
      </c>
      <c r="N67" t="s">
        <v>106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145</v>
      </c>
      <c r="W67" t="s">
        <v>146</v>
      </c>
      <c r="X67" s="4">
        <v>0</v>
      </c>
      <c r="Y67" t="s">
        <v>58</v>
      </c>
      <c r="Z67">
        <v>0</v>
      </c>
      <c r="AA67">
        <v>0</v>
      </c>
      <c r="AB67">
        <v>0</v>
      </c>
      <c r="AC67">
        <v>0</v>
      </c>
      <c r="AD67" s="3">
        <v>4867.8</v>
      </c>
      <c r="AE67" s="3">
        <v>4200</v>
      </c>
      <c r="AF67" t="s">
        <v>54</v>
      </c>
      <c r="AG67" t="s">
        <v>59</v>
      </c>
      <c r="AI67" t="s">
        <v>73</v>
      </c>
      <c r="AJ67" t="s">
        <v>73</v>
      </c>
      <c r="AK67" s="5">
        <v>46037.702766203707</v>
      </c>
      <c r="AO67" t="s">
        <v>54</v>
      </c>
      <c r="AP67">
        <v>0</v>
      </c>
      <c r="AR67" t="s">
        <v>54</v>
      </c>
      <c r="AS67" t="s">
        <v>54</v>
      </c>
      <c r="AT67">
        <v>1301</v>
      </c>
      <c r="AU67" t="s">
        <v>55</v>
      </c>
    </row>
    <row r="68" spans="1:47" hidden="1" x14ac:dyDescent="0.25">
      <c r="A68" t="s">
        <v>81</v>
      </c>
      <c r="B68" s="1">
        <v>38449</v>
      </c>
      <c r="C68" t="s">
        <v>48</v>
      </c>
      <c r="D68" t="s">
        <v>49</v>
      </c>
      <c r="E68" s="2">
        <v>46037</v>
      </c>
      <c r="F68" t="s">
        <v>144</v>
      </c>
      <c r="G68" s="3" t="s">
        <v>66</v>
      </c>
      <c r="H68" s="3">
        <v>26292</v>
      </c>
      <c r="I68" s="3">
        <v>26292</v>
      </c>
      <c r="J68">
        <v>0</v>
      </c>
      <c r="K68" s="3">
        <v>26292</v>
      </c>
      <c r="L68" s="3">
        <v>4867.8</v>
      </c>
      <c r="M68" s="3">
        <v>2287.87</v>
      </c>
      <c r="N68" t="s">
        <v>106</v>
      </c>
      <c r="O68" t="s">
        <v>53</v>
      </c>
      <c r="P68" t="s">
        <v>53</v>
      </c>
      <c r="Q68" t="s">
        <v>53</v>
      </c>
      <c r="R68" t="s">
        <v>54</v>
      </c>
      <c r="S68" t="s">
        <v>54</v>
      </c>
      <c r="T68" t="s">
        <v>55</v>
      </c>
      <c r="U68">
        <v>145</v>
      </c>
      <c r="V68" t="s">
        <v>145</v>
      </c>
      <c r="W68" t="s">
        <v>146</v>
      </c>
      <c r="X68" s="4">
        <v>0</v>
      </c>
      <c r="Y68" t="s">
        <v>58</v>
      </c>
      <c r="Z68">
        <v>0</v>
      </c>
      <c r="AA68">
        <v>0</v>
      </c>
      <c r="AB68">
        <v>0</v>
      </c>
      <c r="AC68">
        <v>0</v>
      </c>
      <c r="AD68" s="3">
        <v>4867.8</v>
      </c>
      <c r="AE68" s="3">
        <v>4200</v>
      </c>
      <c r="AF68" t="s">
        <v>54</v>
      </c>
      <c r="AG68" t="s">
        <v>59</v>
      </c>
      <c r="AI68" t="s">
        <v>73</v>
      </c>
      <c r="AJ68" t="s">
        <v>73</v>
      </c>
      <c r="AK68" s="5">
        <v>46037.702893518515</v>
      </c>
      <c r="AO68" t="s">
        <v>54</v>
      </c>
      <c r="AP68">
        <v>0</v>
      </c>
      <c r="AR68" t="s">
        <v>54</v>
      </c>
      <c r="AS68" t="s">
        <v>54</v>
      </c>
      <c r="AT68">
        <v>1301</v>
      </c>
      <c r="AU68" t="s">
        <v>55</v>
      </c>
    </row>
    <row r="69" spans="1:47" hidden="1" x14ac:dyDescent="0.25">
      <c r="A69" t="s">
        <v>47</v>
      </c>
      <c r="B69" s="1">
        <v>38450</v>
      </c>
      <c r="C69" t="s">
        <v>48</v>
      </c>
      <c r="D69" t="s">
        <v>49</v>
      </c>
      <c r="E69" s="2">
        <v>46037</v>
      </c>
      <c r="F69" t="s">
        <v>88</v>
      </c>
      <c r="G69" t="s">
        <v>89</v>
      </c>
      <c r="H69" s="3">
        <v>2105</v>
      </c>
      <c r="I69" s="3">
        <v>2105</v>
      </c>
      <c r="J69">
        <v>0</v>
      </c>
      <c r="K69" s="3">
        <v>2420.75</v>
      </c>
      <c r="L69" s="3">
        <v>473</v>
      </c>
      <c r="M69" s="3">
        <v>173.59</v>
      </c>
      <c r="N69" t="s">
        <v>84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9</v>
      </c>
      <c r="V69" t="s">
        <v>71</v>
      </c>
      <c r="W69" t="s">
        <v>90</v>
      </c>
      <c r="X69" s="4">
        <v>0</v>
      </c>
      <c r="Y69" t="s">
        <v>62</v>
      </c>
      <c r="AD69" s="3"/>
      <c r="AE69" s="3"/>
      <c r="AK69" s="5"/>
    </row>
    <row r="70" spans="1:47" hidden="1" x14ac:dyDescent="0.25">
      <c r="A70" t="s">
        <v>63</v>
      </c>
      <c r="B70" s="1">
        <v>473</v>
      </c>
      <c r="C70">
        <v>0</v>
      </c>
      <c r="D70" s="3">
        <v>0</v>
      </c>
      <c r="E70" s="2">
        <v>0</v>
      </c>
      <c r="F70">
        <v>0</v>
      </c>
      <c r="G70" s="3">
        <v>500</v>
      </c>
      <c r="H70" s="3" t="s">
        <v>54</v>
      </c>
      <c r="I70" s="3" t="s">
        <v>91</v>
      </c>
      <c r="K70" s="3" t="s">
        <v>73</v>
      </c>
      <c r="L70" s="3" t="s">
        <v>73</v>
      </c>
      <c r="M70" s="3">
        <v>46041.431597222225</v>
      </c>
      <c r="Q70" t="s">
        <v>54</v>
      </c>
      <c r="R70">
        <v>0</v>
      </c>
      <c r="T70" t="s">
        <v>54</v>
      </c>
      <c r="U70" t="s">
        <v>54</v>
      </c>
      <c r="V70">
        <v>2291</v>
      </c>
      <c r="W70" t="s">
        <v>55</v>
      </c>
      <c r="X70" s="4"/>
      <c r="AB70" s="3"/>
      <c r="AE70" s="3"/>
      <c r="AK70" s="5"/>
    </row>
    <row r="71" spans="1:47" hidden="1" x14ac:dyDescent="0.25">
      <c r="A71" t="s">
        <v>47</v>
      </c>
      <c r="B71" s="1">
        <v>38451</v>
      </c>
      <c r="C71" t="s">
        <v>48</v>
      </c>
      <c r="D71" t="s">
        <v>49</v>
      </c>
      <c r="E71" s="2">
        <v>46038</v>
      </c>
      <c r="F71" s="3" t="s">
        <v>147</v>
      </c>
      <c r="G71" s="3" t="s">
        <v>89</v>
      </c>
      <c r="H71" s="3">
        <v>33350</v>
      </c>
      <c r="I71" s="3">
        <v>33350</v>
      </c>
      <c r="J71">
        <v>0</v>
      </c>
      <c r="K71" s="3">
        <v>38352.5</v>
      </c>
      <c r="L71" s="3">
        <v>5077.5</v>
      </c>
      <c r="M71" s="3">
        <v>3148.05</v>
      </c>
      <c r="N71" t="s">
        <v>52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126</v>
      </c>
      <c r="V71" t="s">
        <v>56</v>
      </c>
      <c r="W71" t="s">
        <v>95</v>
      </c>
      <c r="X71" s="4">
        <v>0</v>
      </c>
      <c r="Y71" t="s">
        <v>62</v>
      </c>
      <c r="AD71" s="3"/>
      <c r="AE71" s="3"/>
      <c r="AK71" s="5"/>
    </row>
    <row r="72" spans="1:47" hidden="1" x14ac:dyDescent="0.25">
      <c r="A72" t="s">
        <v>63</v>
      </c>
      <c r="B72" s="1">
        <v>0</v>
      </c>
      <c r="C72">
        <v>0</v>
      </c>
      <c r="D72" s="3">
        <v>5077.5</v>
      </c>
      <c r="E72" s="2">
        <v>0</v>
      </c>
      <c r="F72">
        <v>0</v>
      </c>
      <c r="G72" s="3">
        <v>2500</v>
      </c>
      <c r="H72" s="3" t="s">
        <v>54</v>
      </c>
      <c r="I72" s="3" t="s">
        <v>59</v>
      </c>
      <c r="J72" t="s">
        <v>148</v>
      </c>
      <c r="K72" s="3" t="s">
        <v>60</v>
      </c>
      <c r="L72" s="3" t="s">
        <v>60</v>
      </c>
      <c r="M72" s="3">
        <v>46038.656400462962</v>
      </c>
      <c r="Q72" t="s">
        <v>54</v>
      </c>
      <c r="R72">
        <v>0</v>
      </c>
      <c r="T72" t="s">
        <v>54</v>
      </c>
      <c r="U72" t="s">
        <v>54</v>
      </c>
      <c r="V72">
        <v>8478</v>
      </c>
      <c r="W72" t="s">
        <v>55</v>
      </c>
      <c r="X72" s="4"/>
      <c r="AB72" s="3"/>
      <c r="AK72" s="5"/>
    </row>
    <row r="73" spans="1:47" hidden="1" x14ac:dyDescent="0.25">
      <c r="A73" t="s">
        <v>47</v>
      </c>
      <c r="B73" s="1">
        <v>38452</v>
      </c>
      <c r="C73" t="s">
        <v>48</v>
      </c>
      <c r="D73" t="s">
        <v>49</v>
      </c>
      <c r="E73" s="2">
        <v>46038</v>
      </c>
      <c r="F73" t="s">
        <v>147</v>
      </c>
      <c r="G73" t="s">
        <v>89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52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126</v>
      </c>
      <c r="V73" t="s">
        <v>56</v>
      </c>
      <c r="W73" t="s">
        <v>95</v>
      </c>
      <c r="X73" s="4">
        <v>0</v>
      </c>
      <c r="Y73" t="s">
        <v>62</v>
      </c>
      <c r="AB73" s="3"/>
      <c r="AD73" s="3"/>
      <c r="AE73" s="3"/>
      <c r="AK73" s="5"/>
    </row>
    <row r="74" spans="1:47" hidden="1" x14ac:dyDescent="0.25">
      <c r="A74" t="s">
        <v>63</v>
      </c>
      <c r="B74" s="3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54</v>
      </c>
      <c r="I74" s="3" t="s">
        <v>59</v>
      </c>
      <c r="J74" t="s">
        <v>148</v>
      </c>
      <c r="K74" s="3" t="s">
        <v>60</v>
      </c>
      <c r="L74" s="3" t="s">
        <v>60</v>
      </c>
      <c r="M74" s="3">
        <v>46038.658368055556</v>
      </c>
      <c r="Q74" t="s">
        <v>54</v>
      </c>
      <c r="R74">
        <v>0</v>
      </c>
      <c r="T74" t="s">
        <v>54</v>
      </c>
      <c r="U74" t="s">
        <v>54</v>
      </c>
      <c r="V74">
        <v>8478</v>
      </c>
      <c r="W74" t="s">
        <v>55</v>
      </c>
      <c r="X74" s="4"/>
      <c r="Z74" s="3"/>
      <c r="AD74" s="3"/>
      <c r="AE74" s="3"/>
      <c r="AK74" s="5"/>
    </row>
    <row r="75" spans="1:47" hidden="1" x14ac:dyDescent="0.25">
      <c r="A75" t="s">
        <v>47</v>
      </c>
      <c r="B75" s="1">
        <v>38453</v>
      </c>
      <c r="C75" t="s">
        <v>48</v>
      </c>
      <c r="D75" t="s">
        <v>49</v>
      </c>
      <c r="E75" s="2">
        <v>46038</v>
      </c>
      <c r="F75" t="s">
        <v>147</v>
      </c>
      <c r="G75" t="s">
        <v>89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62</v>
      </c>
      <c r="Z75" s="3"/>
      <c r="AD75" s="3"/>
      <c r="AE75" s="3"/>
      <c r="AK75" s="5"/>
    </row>
    <row r="76" spans="1:47" hidden="1" x14ac:dyDescent="0.25">
      <c r="A76" t="s">
        <v>63</v>
      </c>
      <c r="B76" s="1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54</v>
      </c>
      <c r="I76" s="3" t="s">
        <v>59</v>
      </c>
      <c r="J76" t="s">
        <v>148</v>
      </c>
      <c r="K76" s="3" t="s">
        <v>60</v>
      </c>
      <c r="L76" s="3" t="s">
        <v>60</v>
      </c>
      <c r="M76" s="3">
        <v>46038.659675925926</v>
      </c>
      <c r="Q76" t="s">
        <v>54</v>
      </c>
      <c r="R76">
        <v>0</v>
      </c>
      <c r="T76" t="s">
        <v>54</v>
      </c>
      <c r="U76" t="s">
        <v>54</v>
      </c>
      <c r="V76">
        <v>8478</v>
      </c>
      <c r="W76" t="s">
        <v>55</v>
      </c>
      <c r="X76" s="4"/>
      <c r="Z76" s="3"/>
      <c r="AD76" s="3"/>
      <c r="AE76" s="3"/>
      <c r="AK76" s="5"/>
    </row>
    <row r="77" spans="1:47" hidden="1" x14ac:dyDescent="0.25">
      <c r="A77" t="s">
        <v>47</v>
      </c>
      <c r="B77" s="3">
        <v>38454</v>
      </c>
      <c r="C77" t="s">
        <v>48</v>
      </c>
      <c r="D77" t="s">
        <v>49</v>
      </c>
      <c r="E77" s="2">
        <v>46038</v>
      </c>
      <c r="F77" s="3" t="s">
        <v>147</v>
      </c>
      <c r="G77" s="3" t="s">
        <v>89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52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126</v>
      </c>
      <c r="V77" t="s">
        <v>56</v>
      </c>
      <c r="W77" t="s">
        <v>95</v>
      </c>
      <c r="X77" s="4">
        <v>0</v>
      </c>
      <c r="Y77" t="s">
        <v>62</v>
      </c>
      <c r="AD77" s="3"/>
      <c r="AE77" s="3"/>
      <c r="AK77" s="5"/>
    </row>
    <row r="78" spans="1:47" hidden="1" x14ac:dyDescent="0.25">
      <c r="A78" t="s">
        <v>63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54</v>
      </c>
      <c r="I78" s="3" t="s">
        <v>59</v>
      </c>
      <c r="J78" t="s">
        <v>148</v>
      </c>
      <c r="K78" s="3" t="s">
        <v>60</v>
      </c>
      <c r="L78" s="3" t="s">
        <v>60</v>
      </c>
      <c r="M78" s="3">
        <v>46038.661157407405</v>
      </c>
      <c r="Q78" t="s">
        <v>54</v>
      </c>
      <c r="R78">
        <v>0</v>
      </c>
      <c r="T78" t="s">
        <v>54</v>
      </c>
      <c r="U78" t="s">
        <v>54</v>
      </c>
      <c r="V78">
        <v>8478</v>
      </c>
      <c r="W78" t="s">
        <v>55</v>
      </c>
      <c r="X78" s="4"/>
      <c r="AD78" s="3"/>
      <c r="AE78" s="3"/>
      <c r="AK78" s="5"/>
    </row>
    <row r="79" spans="1:47" hidden="1" x14ac:dyDescent="0.25">
      <c r="A79" t="s">
        <v>96</v>
      </c>
      <c r="B79" s="1">
        <v>38455</v>
      </c>
      <c r="C79" t="s">
        <v>48</v>
      </c>
      <c r="D79" t="s">
        <v>49</v>
      </c>
      <c r="E79" s="2">
        <v>46041</v>
      </c>
      <c r="F79" s="3" t="s">
        <v>141</v>
      </c>
      <c r="G79" s="3" t="s">
        <v>94</v>
      </c>
      <c r="H79" s="3">
        <v>1962.5</v>
      </c>
      <c r="I79" s="3">
        <v>1962.5</v>
      </c>
      <c r="J79">
        <v>0</v>
      </c>
      <c r="K79" s="3">
        <v>1962.5</v>
      </c>
      <c r="L79" s="3">
        <v>525</v>
      </c>
      <c r="M79" s="3">
        <v>152.25</v>
      </c>
      <c r="N79" t="s">
        <v>106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145</v>
      </c>
      <c r="W79" t="s">
        <v>142</v>
      </c>
      <c r="X79" s="4">
        <v>0</v>
      </c>
      <c r="Y79" t="s">
        <v>62</v>
      </c>
      <c r="AB79" s="3"/>
      <c r="AD79" s="3"/>
      <c r="AE79" s="3"/>
      <c r="AK79" s="5"/>
    </row>
    <row r="80" spans="1:47" hidden="1" x14ac:dyDescent="0.25">
      <c r="A80" t="s">
        <v>63</v>
      </c>
      <c r="B80" s="1">
        <v>525</v>
      </c>
      <c r="C80">
        <v>0</v>
      </c>
      <c r="D80" s="3">
        <v>0</v>
      </c>
      <c r="E80" s="2">
        <v>0</v>
      </c>
      <c r="F80">
        <v>0</v>
      </c>
      <c r="G80" s="3">
        <v>1250</v>
      </c>
      <c r="H80" s="3" t="s">
        <v>54</v>
      </c>
      <c r="I80" s="3" t="s">
        <v>59</v>
      </c>
      <c r="J80" t="s">
        <v>143</v>
      </c>
      <c r="K80" s="3" t="s">
        <v>73</v>
      </c>
      <c r="L80" s="3" t="s">
        <v>73</v>
      </c>
      <c r="M80" s="3">
        <v>46041.456805555557</v>
      </c>
      <c r="Q80" t="s">
        <v>54</v>
      </c>
      <c r="R80">
        <v>0</v>
      </c>
      <c r="T80" t="s">
        <v>54</v>
      </c>
      <c r="U80" t="s">
        <v>54</v>
      </c>
      <c r="V80">
        <v>8241</v>
      </c>
      <c r="W80" t="s">
        <v>55</v>
      </c>
      <c r="X80" s="4"/>
      <c r="Z80" s="3"/>
      <c r="AD80" s="3"/>
      <c r="AE80" s="3"/>
      <c r="AK80" s="5"/>
    </row>
    <row r="81" spans="1:47" hidden="1" x14ac:dyDescent="0.25">
      <c r="A81" t="s">
        <v>96</v>
      </c>
      <c r="B81" s="1">
        <v>38456</v>
      </c>
      <c r="C81" t="s">
        <v>48</v>
      </c>
      <c r="D81" t="s">
        <v>49</v>
      </c>
      <c r="E81" s="2">
        <v>46041</v>
      </c>
      <c r="F81" t="s">
        <v>141</v>
      </c>
      <c r="G81" s="3" t="s">
        <v>94</v>
      </c>
      <c r="H81" s="3">
        <v>1962.5</v>
      </c>
      <c r="I81" s="3">
        <v>1962.5</v>
      </c>
      <c r="J81">
        <v>0</v>
      </c>
      <c r="K81" s="3">
        <v>1962.5</v>
      </c>
      <c r="L81" s="3">
        <v>525</v>
      </c>
      <c r="M81" s="3">
        <v>152.25</v>
      </c>
      <c r="N81" t="s">
        <v>106</v>
      </c>
      <c r="O81" t="s">
        <v>53</v>
      </c>
      <c r="P81" t="s">
        <v>53</v>
      </c>
      <c r="Q81" t="s">
        <v>53</v>
      </c>
      <c r="R81" t="s">
        <v>54</v>
      </c>
      <c r="S81" t="s">
        <v>54</v>
      </c>
      <c r="T81" t="s">
        <v>55</v>
      </c>
      <c r="U81">
        <v>145</v>
      </c>
      <c r="W81" t="s">
        <v>142</v>
      </c>
      <c r="X81" s="4">
        <v>0</v>
      </c>
      <c r="Y81" t="s">
        <v>62</v>
      </c>
      <c r="AB81" s="3"/>
      <c r="AD81" s="3"/>
      <c r="AE81" s="3"/>
      <c r="AK81" s="5"/>
    </row>
    <row r="82" spans="1:47" hidden="1" x14ac:dyDescent="0.25">
      <c r="A82" t="s">
        <v>63</v>
      </c>
      <c r="B82" s="1">
        <v>525</v>
      </c>
      <c r="C82">
        <v>0</v>
      </c>
      <c r="D82">
        <v>0</v>
      </c>
      <c r="E82" s="2">
        <v>0</v>
      </c>
      <c r="F82">
        <v>0</v>
      </c>
      <c r="G82" s="3">
        <v>1250</v>
      </c>
      <c r="H82" s="3" t="s">
        <v>54</v>
      </c>
      <c r="I82" s="3" t="s">
        <v>59</v>
      </c>
      <c r="J82" t="s">
        <v>143</v>
      </c>
      <c r="K82" s="3" t="s">
        <v>73</v>
      </c>
      <c r="L82" s="3" t="s">
        <v>73</v>
      </c>
      <c r="M82" s="3">
        <v>46041.456990740742</v>
      </c>
      <c r="Q82" t="s">
        <v>54</v>
      </c>
      <c r="R82">
        <v>0</v>
      </c>
      <c r="T82" t="s">
        <v>54</v>
      </c>
      <c r="U82" t="s">
        <v>54</v>
      </c>
      <c r="V82">
        <v>8241</v>
      </c>
      <c r="W82" t="s">
        <v>55</v>
      </c>
      <c r="X82" s="4"/>
      <c r="Z82" s="3"/>
      <c r="AB82" s="3"/>
      <c r="AD82" s="3"/>
      <c r="AE82" s="3"/>
      <c r="AK82" s="5"/>
    </row>
    <row r="83" spans="1:47" hidden="1" x14ac:dyDescent="0.25">
      <c r="A83" t="s">
        <v>47</v>
      </c>
      <c r="B83" s="1">
        <v>38457</v>
      </c>
      <c r="C83" t="s">
        <v>48</v>
      </c>
      <c r="D83" t="s">
        <v>49</v>
      </c>
      <c r="E83" s="2">
        <v>46041</v>
      </c>
      <c r="F83" t="s">
        <v>149</v>
      </c>
      <c r="G83" s="3" t="s">
        <v>66</v>
      </c>
      <c r="H83" s="3">
        <v>333</v>
      </c>
      <c r="I83" s="3">
        <v>333</v>
      </c>
      <c r="J83">
        <v>0</v>
      </c>
      <c r="K83" s="3">
        <v>382.95</v>
      </c>
      <c r="L83" s="3">
        <v>83.4</v>
      </c>
      <c r="M83" s="3">
        <v>29.19</v>
      </c>
      <c r="N83" t="s">
        <v>84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9</v>
      </c>
      <c r="V83" t="s">
        <v>71</v>
      </c>
      <c r="W83" t="s">
        <v>57</v>
      </c>
      <c r="X83" s="4">
        <v>0</v>
      </c>
      <c r="Y83" t="s">
        <v>58</v>
      </c>
      <c r="Z83">
        <v>83.4</v>
      </c>
      <c r="AA83">
        <v>0</v>
      </c>
      <c r="AB83" s="3">
        <v>0</v>
      </c>
      <c r="AC83">
        <v>0</v>
      </c>
      <c r="AD83" s="3">
        <v>0</v>
      </c>
      <c r="AE83" s="3">
        <v>300</v>
      </c>
      <c r="AF83" t="s">
        <v>54</v>
      </c>
      <c r="AG83" t="s">
        <v>59</v>
      </c>
      <c r="AI83" t="s">
        <v>73</v>
      </c>
      <c r="AJ83" t="s">
        <v>73</v>
      </c>
      <c r="AK83" s="5">
        <v>46041.456504629627</v>
      </c>
      <c r="AO83" t="s">
        <v>54</v>
      </c>
      <c r="AP83">
        <v>0</v>
      </c>
      <c r="AR83" t="s">
        <v>54</v>
      </c>
      <c r="AS83" t="s">
        <v>54</v>
      </c>
      <c r="AT83">
        <v>1009</v>
      </c>
      <c r="AU83" t="s">
        <v>55</v>
      </c>
    </row>
    <row r="84" spans="1:47" hidden="1" x14ac:dyDescent="0.25">
      <c r="A84" t="s">
        <v>47</v>
      </c>
      <c r="B84" s="1">
        <v>38459</v>
      </c>
      <c r="C84" t="s">
        <v>48</v>
      </c>
      <c r="D84" t="s">
        <v>49</v>
      </c>
      <c r="E84" s="2">
        <v>46041</v>
      </c>
      <c r="F84" t="s">
        <v>149</v>
      </c>
      <c r="G84" t="s">
        <v>66</v>
      </c>
      <c r="H84" s="3">
        <v>333</v>
      </c>
      <c r="I84" s="3">
        <v>333</v>
      </c>
      <c r="J84">
        <v>0</v>
      </c>
      <c r="K84" s="3">
        <v>382.95</v>
      </c>
      <c r="L84" s="3">
        <v>83.4</v>
      </c>
      <c r="M84" s="3">
        <v>29.19</v>
      </c>
      <c r="N84" t="s">
        <v>84</v>
      </c>
      <c r="O84" t="s">
        <v>53</v>
      </c>
      <c r="P84" t="s">
        <v>53</v>
      </c>
      <c r="Q84" t="s">
        <v>53</v>
      </c>
      <c r="R84" t="s">
        <v>54</v>
      </c>
      <c r="S84" t="s">
        <v>54</v>
      </c>
      <c r="T84" t="s">
        <v>55</v>
      </c>
      <c r="U84">
        <v>9</v>
      </c>
      <c r="V84" t="s">
        <v>71</v>
      </c>
      <c r="W84" t="s">
        <v>57</v>
      </c>
      <c r="X84" s="4">
        <v>0</v>
      </c>
      <c r="Y84" t="s">
        <v>58</v>
      </c>
      <c r="Z84">
        <v>83.4</v>
      </c>
      <c r="AA84">
        <v>0</v>
      </c>
      <c r="AB84">
        <v>0</v>
      </c>
      <c r="AC84">
        <v>0</v>
      </c>
      <c r="AD84">
        <v>0</v>
      </c>
      <c r="AE84">
        <v>300</v>
      </c>
      <c r="AF84" t="s">
        <v>54</v>
      </c>
      <c r="AG84" t="s">
        <v>59</v>
      </c>
      <c r="AI84" t="s">
        <v>73</v>
      </c>
      <c r="AJ84" t="s">
        <v>73</v>
      </c>
      <c r="AK84" s="5">
        <v>46041.456585648149</v>
      </c>
      <c r="AO84" t="s">
        <v>54</v>
      </c>
      <c r="AP84">
        <v>0</v>
      </c>
      <c r="AR84" t="s">
        <v>54</v>
      </c>
      <c r="AS84" t="s">
        <v>54</v>
      </c>
      <c r="AT84">
        <v>1009</v>
      </c>
      <c r="AU84" t="s">
        <v>55</v>
      </c>
    </row>
    <row r="85" spans="1:47" hidden="1" x14ac:dyDescent="0.25">
      <c r="A85" t="s">
        <v>47</v>
      </c>
      <c r="B85" s="1">
        <v>38460</v>
      </c>
      <c r="C85" t="s">
        <v>48</v>
      </c>
      <c r="D85" t="s">
        <v>49</v>
      </c>
      <c r="E85" s="2">
        <v>46041</v>
      </c>
      <c r="F85" t="s">
        <v>68</v>
      </c>
      <c r="G85" t="s">
        <v>69</v>
      </c>
      <c r="H85" s="3">
        <v>11212</v>
      </c>
      <c r="I85" s="3">
        <v>11212</v>
      </c>
      <c r="J85">
        <v>0</v>
      </c>
      <c r="K85" s="3">
        <v>12893.8</v>
      </c>
      <c r="L85" s="3">
        <v>1642</v>
      </c>
      <c r="M85" s="3">
        <v>778.99</v>
      </c>
      <c r="N85" t="s">
        <v>70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76</v>
      </c>
      <c r="V85" t="s">
        <v>71</v>
      </c>
      <c r="W85" t="s">
        <v>72</v>
      </c>
      <c r="X85" s="4">
        <v>0</v>
      </c>
      <c r="Y85" t="s">
        <v>62</v>
      </c>
      <c r="Z85" s="3"/>
      <c r="AB85" s="3"/>
      <c r="AE85" s="3"/>
      <c r="AK85" s="5"/>
    </row>
    <row r="86" spans="1:47" hidden="1" x14ac:dyDescent="0.25">
      <c r="A86" t="s">
        <v>63</v>
      </c>
      <c r="B86" s="3">
        <v>512.79999999999995</v>
      </c>
      <c r="C86">
        <v>0</v>
      </c>
      <c r="D86">
        <v>0</v>
      </c>
      <c r="E86" s="2">
        <v>0</v>
      </c>
      <c r="F86" s="3">
        <v>1129.2</v>
      </c>
      <c r="G86" s="3">
        <v>1400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46041.456666666665</v>
      </c>
      <c r="Q86" t="s">
        <v>54</v>
      </c>
      <c r="R86">
        <v>0</v>
      </c>
      <c r="T86" t="s">
        <v>54</v>
      </c>
      <c r="U86" t="s">
        <v>54</v>
      </c>
      <c r="V86">
        <v>139</v>
      </c>
      <c r="W86" t="s">
        <v>55</v>
      </c>
      <c r="X86" s="4"/>
      <c r="AK86" s="5"/>
    </row>
    <row r="87" spans="1:47" hidden="1" x14ac:dyDescent="0.25">
      <c r="A87" t="s">
        <v>96</v>
      </c>
      <c r="B87" s="1">
        <v>38461</v>
      </c>
      <c r="C87" t="s">
        <v>48</v>
      </c>
      <c r="D87" t="s">
        <v>49</v>
      </c>
      <c r="E87" s="2">
        <v>46041</v>
      </c>
      <c r="F87" t="s">
        <v>150</v>
      </c>
      <c r="G87" s="3" t="s">
        <v>151</v>
      </c>
      <c r="H87" s="3">
        <v>9384</v>
      </c>
      <c r="I87" s="3">
        <v>9384</v>
      </c>
      <c r="J87">
        <v>0</v>
      </c>
      <c r="K87" s="3">
        <v>9384</v>
      </c>
      <c r="L87" s="3">
        <v>1102.4000000000001</v>
      </c>
      <c r="M87" s="3">
        <v>655.93</v>
      </c>
      <c r="N87" t="s">
        <v>52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126</v>
      </c>
      <c r="V87" t="s">
        <v>56</v>
      </c>
      <c r="W87" t="s">
        <v>152</v>
      </c>
      <c r="X87" s="4">
        <v>0</v>
      </c>
      <c r="Y87" t="s">
        <v>58</v>
      </c>
      <c r="Z87">
        <v>0</v>
      </c>
      <c r="AA87">
        <v>0</v>
      </c>
      <c r="AB87" s="3">
        <v>1102.4000000000001</v>
      </c>
      <c r="AC87">
        <v>0</v>
      </c>
      <c r="AD87">
        <v>0</v>
      </c>
      <c r="AE87" s="3">
        <v>800</v>
      </c>
      <c r="AF87" t="s">
        <v>54</v>
      </c>
      <c r="AG87" t="s">
        <v>59</v>
      </c>
      <c r="AI87" t="s">
        <v>73</v>
      </c>
      <c r="AJ87" t="s">
        <v>73</v>
      </c>
      <c r="AK87" s="5">
        <v>46041.482766203706</v>
      </c>
      <c r="AO87" t="s">
        <v>54</v>
      </c>
      <c r="AP87">
        <v>0</v>
      </c>
      <c r="AR87" t="s">
        <v>54</v>
      </c>
      <c r="AS87" t="s">
        <v>54</v>
      </c>
      <c r="AT87">
        <v>4340</v>
      </c>
      <c r="AU87" t="s">
        <v>55</v>
      </c>
    </row>
    <row r="88" spans="1:47" hidden="1" x14ac:dyDescent="0.25">
      <c r="A88" t="s">
        <v>96</v>
      </c>
      <c r="B88" s="1">
        <v>38463</v>
      </c>
      <c r="C88" t="s">
        <v>48</v>
      </c>
      <c r="D88" t="s">
        <v>49</v>
      </c>
      <c r="E88" s="2">
        <v>46042</v>
      </c>
      <c r="F88" t="s">
        <v>153</v>
      </c>
      <c r="G88" t="s">
        <v>66</v>
      </c>
      <c r="H88" s="3">
        <v>3708</v>
      </c>
      <c r="I88" s="3">
        <v>3708</v>
      </c>
      <c r="J88">
        <v>0</v>
      </c>
      <c r="K88" s="3">
        <v>3708</v>
      </c>
      <c r="L88" s="3">
        <v>691.2</v>
      </c>
      <c r="M88" s="3">
        <v>324.86</v>
      </c>
      <c r="N88" t="s">
        <v>52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126</v>
      </c>
      <c r="V88" t="s">
        <v>56</v>
      </c>
      <c r="W88" t="s">
        <v>95</v>
      </c>
      <c r="X88" s="4">
        <v>0</v>
      </c>
      <c r="Y88" t="s">
        <v>58</v>
      </c>
      <c r="Z88">
        <v>0</v>
      </c>
      <c r="AA88">
        <v>0</v>
      </c>
      <c r="AB88">
        <v>0</v>
      </c>
      <c r="AC88">
        <v>0</v>
      </c>
      <c r="AD88" s="3">
        <v>691.2</v>
      </c>
      <c r="AE88" s="3">
        <v>1200</v>
      </c>
      <c r="AF88" t="s">
        <v>54</v>
      </c>
      <c r="AG88" t="s">
        <v>59</v>
      </c>
      <c r="AI88" t="s">
        <v>73</v>
      </c>
      <c r="AJ88" t="s">
        <v>92</v>
      </c>
      <c r="AK88" s="5">
        <v>46042.607210648152</v>
      </c>
      <c r="AO88" t="s">
        <v>54</v>
      </c>
      <c r="AP88">
        <v>0</v>
      </c>
      <c r="AR88" t="s">
        <v>54</v>
      </c>
      <c r="AS88" t="s">
        <v>54</v>
      </c>
      <c r="AT88">
        <v>7472</v>
      </c>
      <c r="AU88" t="s">
        <v>55</v>
      </c>
    </row>
    <row r="89" spans="1:47" hidden="1" x14ac:dyDescent="0.25">
      <c r="A89" t="s">
        <v>47</v>
      </c>
      <c r="B89" s="1">
        <v>38464</v>
      </c>
      <c r="C89" t="s">
        <v>48</v>
      </c>
      <c r="D89" t="s">
        <v>49</v>
      </c>
      <c r="E89" s="2">
        <v>46042</v>
      </c>
      <c r="F89" t="s">
        <v>112</v>
      </c>
      <c r="G89" s="3" t="s">
        <v>113</v>
      </c>
      <c r="H89" s="3">
        <v>8160</v>
      </c>
      <c r="I89" s="3">
        <v>8160</v>
      </c>
      <c r="J89">
        <v>0</v>
      </c>
      <c r="K89" s="3">
        <v>8160</v>
      </c>
      <c r="L89" s="3">
        <v>1118</v>
      </c>
      <c r="M89" s="3">
        <v>609.30999999999995</v>
      </c>
      <c r="N89" t="s">
        <v>52</v>
      </c>
      <c r="O89" t="s">
        <v>53</v>
      </c>
      <c r="P89" t="s">
        <v>53</v>
      </c>
      <c r="Q89" t="s">
        <v>53</v>
      </c>
      <c r="R89" t="s">
        <v>54</v>
      </c>
      <c r="S89" t="s">
        <v>54</v>
      </c>
      <c r="T89" t="s">
        <v>55</v>
      </c>
      <c r="U89">
        <v>126</v>
      </c>
      <c r="V89" t="s">
        <v>56</v>
      </c>
      <c r="W89" t="s">
        <v>78</v>
      </c>
      <c r="X89" s="4">
        <v>0</v>
      </c>
      <c r="Y89" t="s">
        <v>58</v>
      </c>
      <c r="Z89" s="3">
        <v>1118</v>
      </c>
      <c r="AA89">
        <v>0</v>
      </c>
      <c r="AB89" s="3">
        <v>0</v>
      </c>
      <c r="AC89">
        <v>0</v>
      </c>
      <c r="AD89" s="3">
        <v>0</v>
      </c>
      <c r="AE89" s="3">
        <v>2000</v>
      </c>
      <c r="AF89" t="s">
        <v>54</v>
      </c>
      <c r="AG89" t="s">
        <v>59</v>
      </c>
      <c r="AH89" t="s">
        <v>115</v>
      </c>
      <c r="AI89" t="s">
        <v>92</v>
      </c>
      <c r="AJ89" t="s">
        <v>92</v>
      </c>
      <c r="AK89" s="5">
        <v>46042.608483796299</v>
      </c>
      <c r="AO89" t="s">
        <v>54</v>
      </c>
      <c r="AP89">
        <v>0</v>
      </c>
      <c r="AR89" t="s">
        <v>54</v>
      </c>
      <c r="AS89" t="s">
        <v>54</v>
      </c>
      <c r="AT89">
        <v>4089</v>
      </c>
      <c r="AU89" t="s">
        <v>55</v>
      </c>
    </row>
    <row r="90" spans="1:47" hidden="1" x14ac:dyDescent="0.25">
      <c r="A90" t="s">
        <v>47</v>
      </c>
      <c r="B90" s="1">
        <v>38465</v>
      </c>
      <c r="C90" t="s">
        <v>48</v>
      </c>
      <c r="D90" t="s">
        <v>49</v>
      </c>
      <c r="E90" s="2">
        <v>46042</v>
      </c>
      <c r="F90" t="s">
        <v>154</v>
      </c>
      <c r="G90" t="s">
        <v>89</v>
      </c>
      <c r="H90" s="3">
        <v>2239.1999999999998</v>
      </c>
      <c r="I90" s="3">
        <v>2239.1999999999998</v>
      </c>
      <c r="J90">
        <v>0</v>
      </c>
      <c r="K90" s="3">
        <v>2575.08</v>
      </c>
      <c r="L90" s="3">
        <v>466.56</v>
      </c>
      <c r="M90" s="3">
        <v>171.23</v>
      </c>
      <c r="N90" t="s">
        <v>106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145</v>
      </c>
      <c r="V90" t="s">
        <v>145</v>
      </c>
      <c r="W90" t="s">
        <v>85</v>
      </c>
      <c r="X90" s="4">
        <v>0</v>
      </c>
      <c r="Y90" t="s">
        <v>62</v>
      </c>
      <c r="AD90" s="3"/>
      <c r="AE90" s="3"/>
      <c r="AK90" s="5"/>
    </row>
    <row r="91" spans="1:47" hidden="1" x14ac:dyDescent="0.25">
      <c r="A91" t="s">
        <v>63</v>
      </c>
      <c r="B91" s="1">
        <v>466.56</v>
      </c>
      <c r="C91">
        <v>0</v>
      </c>
      <c r="D91">
        <v>0</v>
      </c>
      <c r="E91" s="2">
        <v>0</v>
      </c>
      <c r="F91">
        <v>0</v>
      </c>
      <c r="G91" s="3">
        <v>720</v>
      </c>
      <c r="H91" s="3" t="s">
        <v>54</v>
      </c>
      <c r="I91" s="3" t="s">
        <v>59</v>
      </c>
      <c r="J91" t="s">
        <v>148</v>
      </c>
      <c r="K91" s="3" t="s">
        <v>73</v>
      </c>
      <c r="L91" s="3" t="s">
        <v>73</v>
      </c>
      <c r="M91" s="3">
        <v>46042.694409722222</v>
      </c>
      <c r="Q91" t="s">
        <v>54</v>
      </c>
      <c r="R91">
        <v>0</v>
      </c>
      <c r="T91" t="s">
        <v>54</v>
      </c>
      <c r="U91" t="s">
        <v>54</v>
      </c>
      <c r="V91">
        <v>7814</v>
      </c>
      <c r="W91" t="s">
        <v>55</v>
      </c>
      <c r="X91" s="4"/>
      <c r="AD91" s="3"/>
      <c r="AE91" s="3"/>
      <c r="AK91" s="5"/>
    </row>
    <row r="92" spans="1:47" hidden="1" x14ac:dyDescent="0.25">
      <c r="A92" t="s">
        <v>96</v>
      </c>
      <c r="B92" s="1">
        <v>38466</v>
      </c>
      <c r="C92" t="s">
        <v>48</v>
      </c>
      <c r="D92" s="3" t="s">
        <v>49</v>
      </c>
      <c r="E92" s="2">
        <v>46043</v>
      </c>
      <c r="F92" t="s">
        <v>207</v>
      </c>
      <c r="G92" s="3" t="s">
        <v>137</v>
      </c>
      <c r="H92" s="3">
        <v>5350</v>
      </c>
      <c r="I92" s="3">
        <v>5350</v>
      </c>
      <c r="J92">
        <v>0</v>
      </c>
      <c r="K92" s="3">
        <v>5350</v>
      </c>
      <c r="L92" s="3">
        <v>4892</v>
      </c>
      <c r="M92" s="3">
        <v>2310.08</v>
      </c>
      <c r="N92" t="s">
        <v>52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126</v>
      </c>
      <c r="V92" t="s">
        <v>56</v>
      </c>
      <c r="W92">
        <v>0</v>
      </c>
      <c r="X92" s="4">
        <v>0</v>
      </c>
      <c r="Y92" t="s">
        <v>62</v>
      </c>
      <c r="AB92" s="3"/>
      <c r="AD92" s="3"/>
      <c r="AE92" s="3"/>
      <c r="AK92" s="5"/>
    </row>
    <row r="93" spans="1:47" hidden="1" x14ac:dyDescent="0.25">
      <c r="A93" t="s">
        <v>63</v>
      </c>
      <c r="B93" s="3">
        <v>4892</v>
      </c>
      <c r="C93">
        <v>0</v>
      </c>
      <c r="D93">
        <v>0</v>
      </c>
      <c r="E93" s="2">
        <v>0</v>
      </c>
      <c r="F93">
        <v>0</v>
      </c>
      <c r="G93" s="3">
        <v>3000</v>
      </c>
      <c r="H93" s="3" t="s">
        <v>54</v>
      </c>
      <c r="I93" s="3" t="s">
        <v>59</v>
      </c>
      <c r="J93" t="s">
        <v>171</v>
      </c>
      <c r="K93" s="3" t="s">
        <v>92</v>
      </c>
      <c r="L93" s="3" t="s">
        <v>92</v>
      </c>
      <c r="M93" s="3">
        <v>46043.400405092594</v>
      </c>
      <c r="Q93" t="s">
        <v>54</v>
      </c>
      <c r="R93">
        <v>0</v>
      </c>
      <c r="T93" t="s">
        <v>54</v>
      </c>
      <c r="U93" t="s">
        <v>54</v>
      </c>
      <c r="V93">
        <v>8571</v>
      </c>
      <c r="W93" t="s">
        <v>55</v>
      </c>
      <c r="X93" s="4"/>
      <c r="AD93" s="3"/>
      <c r="AE93" s="3"/>
      <c r="AK93" s="5"/>
    </row>
    <row r="94" spans="1:47" hidden="1" x14ac:dyDescent="0.25">
      <c r="A94" t="s">
        <v>96</v>
      </c>
      <c r="B94" s="3">
        <v>38469</v>
      </c>
      <c r="C94" t="s">
        <v>48</v>
      </c>
      <c r="D94" t="s">
        <v>49</v>
      </c>
      <c r="E94" s="2">
        <v>46044</v>
      </c>
      <c r="F94" t="s">
        <v>155</v>
      </c>
      <c r="G94" s="3" t="s">
        <v>156</v>
      </c>
      <c r="H94" s="3">
        <v>13130.35</v>
      </c>
      <c r="I94" s="3">
        <v>13130.35</v>
      </c>
      <c r="J94">
        <v>0</v>
      </c>
      <c r="K94" s="3">
        <v>13130.35</v>
      </c>
      <c r="L94" s="3">
        <v>2707.8</v>
      </c>
      <c r="M94" s="3">
        <v>1056.05</v>
      </c>
      <c r="N94" t="s">
        <v>98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167</v>
      </c>
      <c r="V94" t="s">
        <v>99</v>
      </c>
      <c r="W94" t="s">
        <v>134</v>
      </c>
      <c r="X94" s="4">
        <v>0</v>
      </c>
      <c r="Y94" t="s">
        <v>58</v>
      </c>
      <c r="Z94" s="3">
        <v>2707.8</v>
      </c>
      <c r="AA94">
        <v>0</v>
      </c>
      <c r="AB94" s="3">
        <v>0</v>
      </c>
      <c r="AC94">
        <v>0</v>
      </c>
      <c r="AD94">
        <v>0</v>
      </c>
      <c r="AE94" s="3">
        <v>1250</v>
      </c>
      <c r="AF94" t="s">
        <v>54</v>
      </c>
      <c r="AG94" t="s">
        <v>59</v>
      </c>
      <c r="AI94" t="s">
        <v>73</v>
      </c>
      <c r="AJ94" t="s">
        <v>73</v>
      </c>
      <c r="AK94" s="5">
        <v>46044.595682870371</v>
      </c>
      <c r="AO94" t="s">
        <v>54</v>
      </c>
      <c r="AP94">
        <v>0</v>
      </c>
      <c r="AR94" t="s">
        <v>54</v>
      </c>
      <c r="AS94" t="s">
        <v>54</v>
      </c>
      <c r="AT94">
        <v>8561</v>
      </c>
      <c r="AU94" t="s">
        <v>55</v>
      </c>
    </row>
    <row r="95" spans="1:47" hidden="1" x14ac:dyDescent="0.25">
      <c r="A95" t="s">
        <v>47</v>
      </c>
      <c r="B95" s="1">
        <v>38470</v>
      </c>
      <c r="C95" t="s">
        <v>48</v>
      </c>
      <c r="D95" t="s">
        <v>49</v>
      </c>
      <c r="E95" s="2">
        <v>46044</v>
      </c>
      <c r="F95" t="s">
        <v>157</v>
      </c>
      <c r="G95" t="s">
        <v>158</v>
      </c>
      <c r="H95" s="3">
        <v>5258</v>
      </c>
      <c r="I95" s="3">
        <v>5258</v>
      </c>
      <c r="J95">
        <v>0</v>
      </c>
      <c r="K95" s="3">
        <v>6046.7</v>
      </c>
      <c r="L95" s="3">
        <v>1234.2</v>
      </c>
      <c r="M95" s="3">
        <v>382.6</v>
      </c>
      <c r="N95" t="s">
        <v>52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126</v>
      </c>
      <c r="V95" t="s">
        <v>56</v>
      </c>
      <c r="W95" t="s">
        <v>114</v>
      </c>
      <c r="X95" s="4">
        <v>0</v>
      </c>
      <c r="Y95" t="s">
        <v>62</v>
      </c>
      <c r="AD95" s="3"/>
      <c r="AE95" s="3"/>
      <c r="AK95" s="5"/>
    </row>
    <row r="96" spans="1:47" hidden="1" x14ac:dyDescent="0.25">
      <c r="A96" t="s">
        <v>63</v>
      </c>
      <c r="B96" s="1">
        <v>0</v>
      </c>
      <c r="C96">
        <v>0</v>
      </c>
      <c r="D96">
        <v>0</v>
      </c>
      <c r="E96" s="2">
        <v>0</v>
      </c>
      <c r="F96" s="3">
        <v>1234.2</v>
      </c>
      <c r="G96" s="3">
        <v>2200</v>
      </c>
      <c r="H96" s="3" t="s">
        <v>54</v>
      </c>
      <c r="I96" s="3" t="s">
        <v>59</v>
      </c>
      <c r="J96" t="s">
        <v>159</v>
      </c>
      <c r="K96" s="3" t="s">
        <v>60</v>
      </c>
      <c r="L96" s="3" t="s">
        <v>60</v>
      </c>
      <c r="M96" s="3">
        <v>46044.665081018517</v>
      </c>
      <c r="Q96" t="s">
        <v>54</v>
      </c>
      <c r="R96">
        <v>0</v>
      </c>
      <c r="T96" t="s">
        <v>54</v>
      </c>
      <c r="U96" t="s">
        <v>54</v>
      </c>
      <c r="V96">
        <v>8595</v>
      </c>
      <c r="W96" t="s">
        <v>55</v>
      </c>
      <c r="X96" s="4"/>
      <c r="Z96" s="3"/>
      <c r="AB96" s="3"/>
      <c r="AD96" s="3"/>
      <c r="AE96" s="3"/>
      <c r="AK96" s="5"/>
    </row>
    <row r="97" spans="1:47" hidden="1" x14ac:dyDescent="0.25">
      <c r="A97" t="s">
        <v>47</v>
      </c>
      <c r="B97" s="3">
        <v>38471</v>
      </c>
      <c r="C97" t="s">
        <v>48</v>
      </c>
      <c r="D97" t="s">
        <v>49</v>
      </c>
      <c r="E97" s="2">
        <v>46044</v>
      </c>
      <c r="F97" t="s">
        <v>74</v>
      </c>
      <c r="G97" s="3" t="s">
        <v>51</v>
      </c>
      <c r="H97" s="3">
        <v>10372</v>
      </c>
      <c r="I97" s="3">
        <v>10372</v>
      </c>
      <c r="J97">
        <v>0</v>
      </c>
      <c r="K97" s="3">
        <v>11927.8</v>
      </c>
      <c r="L97" s="3">
        <v>1115.2</v>
      </c>
      <c r="M97" s="3">
        <v>711.5</v>
      </c>
      <c r="N97" t="s">
        <v>75</v>
      </c>
      <c r="O97" t="s">
        <v>53</v>
      </c>
      <c r="P97" t="s">
        <v>53</v>
      </c>
      <c r="Q97" t="s">
        <v>53</v>
      </c>
      <c r="R97" t="s">
        <v>54</v>
      </c>
      <c r="S97" t="s">
        <v>54</v>
      </c>
      <c r="T97" t="s">
        <v>55</v>
      </c>
      <c r="U97">
        <v>43</v>
      </c>
      <c r="W97" t="s">
        <v>72</v>
      </c>
      <c r="X97" s="4">
        <v>0</v>
      </c>
      <c r="Y97" t="s">
        <v>58</v>
      </c>
      <c r="Z97">
        <v>0</v>
      </c>
      <c r="AA97">
        <v>0</v>
      </c>
      <c r="AB97" s="3">
        <v>1115.2</v>
      </c>
      <c r="AC97">
        <v>0</v>
      </c>
      <c r="AD97">
        <v>0</v>
      </c>
      <c r="AE97">
        <v>800</v>
      </c>
      <c r="AF97" t="s">
        <v>54</v>
      </c>
      <c r="AG97" t="s">
        <v>59</v>
      </c>
      <c r="AI97" t="s">
        <v>73</v>
      </c>
      <c r="AJ97" t="s">
        <v>73</v>
      </c>
      <c r="AK97" s="5">
        <v>46044.708749999998</v>
      </c>
      <c r="AO97" t="s">
        <v>54</v>
      </c>
      <c r="AP97">
        <v>0</v>
      </c>
      <c r="AR97" t="s">
        <v>54</v>
      </c>
      <c r="AS97" t="s">
        <v>54</v>
      </c>
      <c r="AT97">
        <v>8469</v>
      </c>
      <c r="AU97" t="s">
        <v>55</v>
      </c>
    </row>
    <row r="98" spans="1:47" hidden="1" x14ac:dyDescent="0.25">
      <c r="A98" t="s">
        <v>47</v>
      </c>
      <c r="B98" s="1">
        <v>38472</v>
      </c>
      <c r="C98" t="s">
        <v>48</v>
      </c>
      <c r="D98" t="s">
        <v>49</v>
      </c>
      <c r="E98" s="2">
        <v>46044</v>
      </c>
      <c r="F98" t="s">
        <v>160</v>
      </c>
      <c r="G98" s="3" t="s">
        <v>109</v>
      </c>
      <c r="H98" s="3">
        <v>65830</v>
      </c>
      <c r="I98" s="3">
        <v>65830</v>
      </c>
      <c r="J98">
        <v>0</v>
      </c>
      <c r="K98" s="3">
        <v>75704.5</v>
      </c>
      <c r="L98" s="3">
        <v>9907.5</v>
      </c>
      <c r="M98" s="3">
        <v>4687.45</v>
      </c>
      <c r="N98" t="s">
        <v>77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83</v>
      </c>
      <c r="W98" t="s">
        <v>161</v>
      </c>
      <c r="X98" s="4">
        <v>0</v>
      </c>
      <c r="Y98" t="s">
        <v>58</v>
      </c>
      <c r="Z98" s="3">
        <v>0</v>
      </c>
      <c r="AA98">
        <v>0</v>
      </c>
      <c r="AB98" s="3">
        <v>294.5</v>
      </c>
      <c r="AC98">
        <v>0</v>
      </c>
      <c r="AD98" s="3">
        <v>9613</v>
      </c>
      <c r="AE98" s="3">
        <v>11500</v>
      </c>
      <c r="AF98" t="s">
        <v>54</v>
      </c>
      <c r="AG98" t="s">
        <v>59</v>
      </c>
      <c r="AI98" t="s">
        <v>80</v>
      </c>
      <c r="AJ98" t="s">
        <v>73</v>
      </c>
      <c r="AK98" s="5">
        <v>46045.324247685188</v>
      </c>
      <c r="AO98" t="s">
        <v>54</v>
      </c>
      <c r="AP98">
        <v>0</v>
      </c>
      <c r="AR98" t="s">
        <v>54</v>
      </c>
      <c r="AS98" t="s">
        <v>54</v>
      </c>
      <c r="AT98">
        <v>4386</v>
      </c>
      <c r="AU98" t="s">
        <v>55</v>
      </c>
    </row>
    <row r="99" spans="1:47" hidden="1" x14ac:dyDescent="0.25">
      <c r="A99" t="s">
        <v>81</v>
      </c>
      <c r="B99" s="1">
        <v>38473</v>
      </c>
      <c r="C99" t="s">
        <v>48</v>
      </c>
      <c r="D99" t="s">
        <v>49</v>
      </c>
      <c r="E99" s="2">
        <v>46045</v>
      </c>
      <c r="F99" t="s">
        <v>139</v>
      </c>
      <c r="G99" s="3" t="s">
        <v>140</v>
      </c>
      <c r="H99" s="3">
        <v>4264.2</v>
      </c>
      <c r="I99" s="3">
        <v>4264.2</v>
      </c>
      <c r="J99">
        <v>0</v>
      </c>
      <c r="K99" s="3">
        <v>4264.2</v>
      </c>
      <c r="L99" s="3">
        <v>735.54</v>
      </c>
      <c r="M99" s="3">
        <v>345.7</v>
      </c>
      <c r="N99" t="s">
        <v>77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83</v>
      </c>
      <c r="W99" t="s">
        <v>72</v>
      </c>
      <c r="X99" s="4">
        <v>0</v>
      </c>
      <c r="Y99" t="s">
        <v>58</v>
      </c>
      <c r="Z99">
        <v>0</v>
      </c>
      <c r="AA99">
        <v>0</v>
      </c>
      <c r="AB99" s="3">
        <v>0</v>
      </c>
      <c r="AC99">
        <v>0</v>
      </c>
      <c r="AD99">
        <v>735.54</v>
      </c>
      <c r="AE99">
        <v>460</v>
      </c>
      <c r="AF99" t="s">
        <v>54</v>
      </c>
      <c r="AG99" t="s">
        <v>59</v>
      </c>
      <c r="AH99" t="s">
        <v>103</v>
      </c>
      <c r="AI99" t="s">
        <v>80</v>
      </c>
      <c r="AJ99" t="s">
        <v>73</v>
      </c>
      <c r="AK99" s="5">
        <v>46045.480324074073</v>
      </c>
      <c r="AO99" t="s">
        <v>54</v>
      </c>
      <c r="AP99">
        <v>0</v>
      </c>
      <c r="AR99" t="s">
        <v>54</v>
      </c>
      <c r="AS99" t="s">
        <v>54</v>
      </c>
      <c r="AT99">
        <v>3465</v>
      </c>
      <c r="AU99" t="s">
        <v>55</v>
      </c>
    </row>
    <row r="100" spans="1:47" hidden="1" x14ac:dyDescent="0.25">
      <c r="A100" t="s">
        <v>47</v>
      </c>
      <c r="B100" s="1">
        <v>38474</v>
      </c>
      <c r="C100" t="s">
        <v>48</v>
      </c>
      <c r="D100" t="s">
        <v>49</v>
      </c>
      <c r="E100" s="2">
        <v>46045</v>
      </c>
      <c r="F100" s="3" t="s">
        <v>101</v>
      </c>
      <c r="G100" s="3" t="s">
        <v>94</v>
      </c>
      <c r="H100" s="3">
        <v>2288.9</v>
      </c>
      <c r="I100" s="3">
        <v>2288.9</v>
      </c>
      <c r="J100">
        <v>0</v>
      </c>
      <c r="K100" s="3">
        <v>2632.24</v>
      </c>
      <c r="L100" s="3">
        <v>400.65</v>
      </c>
      <c r="M100" s="3">
        <v>217.92</v>
      </c>
      <c r="N100" t="s">
        <v>84</v>
      </c>
      <c r="O100" t="s">
        <v>53</v>
      </c>
      <c r="P100" t="s">
        <v>53</v>
      </c>
      <c r="Q100" t="s">
        <v>53</v>
      </c>
      <c r="R100" t="s">
        <v>54</v>
      </c>
      <c r="S100" t="s">
        <v>54</v>
      </c>
      <c r="T100" t="s">
        <v>55</v>
      </c>
      <c r="U100">
        <v>9</v>
      </c>
      <c r="V100" t="s">
        <v>71</v>
      </c>
      <c r="W100" t="s">
        <v>102</v>
      </c>
      <c r="X100" s="4">
        <v>0</v>
      </c>
      <c r="Y100" t="s">
        <v>58</v>
      </c>
      <c r="Z100">
        <v>59.85</v>
      </c>
      <c r="AA100">
        <v>0</v>
      </c>
      <c r="AB100" s="3">
        <v>340.8</v>
      </c>
      <c r="AC100">
        <v>0</v>
      </c>
      <c r="AD100">
        <v>0</v>
      </c>
      <c r="AE100" s="3">
        <v>80</v>
      </c>
      <c r="AF100" t="s">
        <v>54</v>
      </c>
      <c r="AG100" t="s">
        <v>59</v>
      </c>
      <c r="AH100" t="s">
        <v>103</v>
      </c>
      <c r="AI100" t="s">
        <v>73</v>
      </c>
      <c r="AJ100" t="s">
        <v>73</v>
      </c>
      <c r="AK100" s="5">
        <v>46045.474953703706</v>
      </c>
      <c r="AO100" t="s">
        <v>54</v>
      </c>
      <c r="AP100">
        <v>0</v>
      </c>
      <c r="AR100" t="s">
        <v>54</v>
      </c>
      <c r="AS100" t="s">
        <v>54</v>
      </c>
      <c r="AT100">
        <v>161</v>
      </c>
      <c r="AU100" t="s">
        <v>55</v>
      </c>
    </row>
    <row r="101" spans="1:47" hidden="1" x14ac:dyDescent="0.25">
      <c r="A101" t="s">
        <v>96</v>
      </c>
      <c r="B101" s="1">
        <v>38475</v>
      </c>
      <c r="C101" t="s">
        <v>48</v>
      </c>
      <c r="D101" s="3" t="s">
        <v>49</v>
      </c>
      <c r="E101" s="2">
        <v>46048</v>
      </c>
      <c r="F101" t="s">
        <v>162</v>
      </c>
      <c r="G101" s="3" t="s">
        <v>66</v>
      </c>
      <c r="H101" s="3">
        <v>225</v>
      </c>
      <c r="I101" s="3">
        <v>225</v>
      </c>
      <c r="J101">
        <v>0</v>
      </c>
      <c r="K101" s="3">
        <v>225</v>
      </c>
      <c r="L101" s="3">
        <v>82.5</v>
      </c>
      <c r="M101" s="3">
        <v>23.93</v>
      </c>
      <c r="N101" t="s">
        <v>52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126</v>
      </c>
      <c r="V101" t="s">
        <v>56</v>
      </c>
      <c r="W101" t="s">
        <v>163</v>
      </c>
      <c r="X101" s="4">
        <v>0</v>
      </c>
      <c r="Y101" t="s">
        <v>58</v>
      </c>
      <c r="Z101" s="3">
        <v>82.5</v>
      </c>
      <c r="AA101">
        <v>0</v>
      </c>
      <c r="AB101" s="3">
        <v>0</v>
      </c>
      <c r="AC101">
        <v>0</v>
      </c>
      <c r="AD101" s="3">
        <v>0</v>
      </c>
      <c r="AE101" s="3">
        <v>2500</v>
      </c>
      <c r="AF101" t="s">
        <v>54</v>
      </c>
      <c r="AG101" t="s">
        <v>59</v>
      </c>
      <c r="AH101" t="s">
        <v>164</v>
      </c>
      <c r="AI101" t="s">
        <v>60</v>
      </c>
      <c r="AJ101" t="s">
        <v>60</v>
      </c>
      <c r="AK101" s="5">
        <v>46048.431967592594</v>
      </c>
      <c r="AO101" t="s">
        <v>54</v>
      </c>
      <c r="AP101">
        <v>0</v>
      </c>
      <c r="AR101" t="s">
        <v>54</v>
      </c>
      <c r="AS101" t="s">
        <v>54</v>
      </c>
      <c r="AT101">
        <v>5486</v>
      </c>
      <c r="AU101" t="s">
        <v>55</v>
      </c>
    </row>
    <row r="102" spans="1:47" hidden="1" x14ac:dyDescent="0.25">
      <c r="A102" t="s">
        <v>96</v>
      </c>
      <c r="B102" s="1">
        <v>38476</v>
      </c>
      <c r="C102" t="s">
        <v>48</v>
      </c>
      <c r="D102" s="3" t="s">
        <v>49</v>
      </c>
      <c r="E102" s="2">
        <v>46048</v>
      </c>
      <c r="F102" t="s">
        <v>165</v>
      </c>
      <c r="G102" s="3" t="s">
        <v>69</v>
      </c>
      <c r="H102" s="3">
        <v>9160</v>
      </c>
      <c r="I102" s="3">
        <v>9160</v>
      </c>
      <c r="J102">
        <v>0</v>
      </c>
      <c r="K102" s="3">
        <v>9160</v>
      </c>
      <c r="L102" s="3">
        <v>1610</v>
      </c>
      <c r="M102" s="3">
        <v>925.75</v>
      </c>
      <c r="N102" t="s">
        <v>52</v>
      </c>
      <c r="O102" t="s">
        <v>53</v>
      </c>
      <c r="P102" t="s">
        <v>53</v>
      </c>
      <c r="Q102" t="s">
        <v>53</v>
      </c>
      <c r="R102" t="s">
        <v>54</v>
      </c>
      <c r="S102" t="s">
        <v>54</v>
      </c>
      <c r="T102" t="s">
        <v>55</v>
      </c>
      <c r="U102">
        <v>126</v>
      </c>
      <c r="V102" t="s">
        <v>56</v>
      </c>
      <c r="W102" t="s">
        <v>152</v>
      </c>
      <c r="X102" s="4">
        <v>0</v>
      </c>
      <c r="Y102" t="s">
        <v>58</v>
      </c>
      <c r="Z102" s="3">
        <v>0</v>
      </c>
      <c r="AA102">
        <v>0</v>
      </c>
      <c r="AB102" s="3">
        <v>1610</v>
      </c>
      <c r="AC102">
        <v>0</v>
      </c>
      <c r="AD102" s="3">
        <v>0</v>
      </c>
      <c r="AE102" s="3">
        <v>2000</v>
      </c>
      <c r="AF102" t="s">
        <v>54</v>
      </c>
      <c r="AG102" t="s">
        <v>59</v>
      </c>
      <c r="AI102" t="s">
        <v>60</v>
      </c>
      <c r="AJ102" t="s">
        <v>60</v>
      </c>
      <c r="AK102" s="5">
        <v>46048.455706018518</v>
      </c>
      <c r="AO102" t="s">
        <v>54</v>
      </c>
      <c r="AP102">
        <v>0</v>
      </c>
      <c r="AR102" t="s">
        <v>54</v>
      </c>
      <c r="AS102" t="s">
        <v>54</v>
      </c>
      <c r="AT102">
        <v>322</v>
      </c>
      <c r="AU102" t="s">
        <v>55</v>
      </c>
    </row>
    <row r="103" spans="1:47" hidden="1" x14ac:dyDescent="0.25">
      <c r="A103" t="s">
        <v>47</v>
      </c>
      <c r="B103" s="1">
        <v>38477</v>
      </c>
      <c r="C103" t="s">
        <v>48</v>
      </c>
      <c r="D103" t="s">
        <v>49</v>
      </c>
      <c r="E103" s="2">
        <v>46048</v>
      </c>
      <c r="F103" t="s">
        <v>129</v>
      </c>
      <c r="G103" t="s">
        <v>130</v>
      </c>
      <c r="H103" s="3">
        <v>14902</v>
      </c>
      <c r="I103" s="3">
        <v>14902</v>
      </c>
      <c r="J103">
        <v>0</v>
      </c>
      <c r="K103" s="3">
        <v>17137.3</v>
      </c>
      <c r="L103" s="3">
        <v>2835.2</v>
      </c>
      <c r="M103" s="3">
        <v>1095.97</v>
      </c>
      <c r="N103" t="s">
        <v>52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126</v>
      </c>
      <c r="V103" t="s">
        <v>56</v>
      </c>
      <c r="W103" t="s">
        <v>131</v>
      </c>
      <c r="X103" s="4">
        <v>0</v>
      </c>
      <c r="Y103" t="s">
        <v>62</v>
      </c>
      <c r="AA103" s="3"/>
      <c r="AB103" s="3"/>
      <c r="AE103" s="3"/>
      <c r="AK103" s="5"/>
    </row>
    <row r="104" spans="1:47" hidden="1" x14ac:dyDescent="0.25">
      <c r="A104" t="s">
        <v>63</v>
      </c>
      <c r="B104" s="1">
        <v>2713.2</v>
      </c>
      <c r="C104">
        <v>0</v>
      </c>
      <c r="D104">
        <v>0</v>
      </c>
      <c r="E104" s="2">
        <v>0</v>
      </c>
      <c r="F104">
        <v>122</v>
      </c>
      <c r="G104" s="3">
        <v>3200</v>
      </c>
      <c r="H104" s="3" t="s">
        <v>54</v>
      </c>
      <c r="I104" s="3" t="s">
        <v>59</v>
      </c>
      <c r="K104" s="3" t="s">
        <v>60</v>
      </c>
      <c r="L104" s="3" t="s">
        <v>60</v>
      </c>
      <c r="M104" s="3">
        <v>46048.487233796295</v>
      </c>
      <c r="Q104" t="s">
        <v>54</v>
      </c>
      <c r="R104">
        <v>0</v>
      </c>
      <c r="T104" t="s">
        <v>54</v>
      </c>
      <c r="U104" t="s">
        <v>54</v>
      </c>
      <c r="V104">
        <v>6379</v>
      </c>
      <c r="W104" t="s">
        <v>55</v>
      </c>
      <c r="X104" s="4"/>
      <c r="Z104" s="3"/>
      <c r="AB104" s="3"/>
      <c r="AD104" s="3"/>
      <c r="AE104" s="3"/>
      <c r="AK104" s="5"/>
    </row>
    <row r="105" spans="1:47" hidden="1" x14ac:dyDescent="0.25">
      <c r="A105" t="s">
        <v>47</v>
      </c>
      <c r="B105" s="1">
        <v>38478</v>
      </c>
      <c r="C105" t="s">
        <v>48</v>
      </c>
      <c r="D105" t="s">
        <v>49</v>
      </c>
      <c r="E105" s="2">
        <v>46048</v>
      </c>
      <c r="F105" t="s">
        <v>118</v>
      </c>
      <c r="G105" t="s">
        <v>119</v>
      </c>
      <c r="H105" s="3">
        <v>1648</v>
      </c>
      <c r="I105" s="3">
        <v>1648</v>
      </c>
      <c r="J105">
        <v>0</v>
      </c>
      <c r="K105" s="3">
        <v>1895.2</v>
      </c>
      <c r="L105" s="3">
        <v>256.60000000000002</v>
      </c>
      <c r="M105" s="3">
        <v>147.55000000000001</v>
      </c>
      <c r="N105" t="s">
        <v>77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83</v>
      </c>
      <c r="W105" t="s">
        <v>85</v>
      </c>
      <c r="X105" s="4">
        <v>0</v>
      </c>
      <c r="Y105" t="s">
        <v>58</v>
      </c>
      <c r="Z105" s="3">
        <v>0</v>
      </c>
      <c r="AA105">
        <v>0</v>
      </c>
      <c r="AB105" s="3">
        <v>256.60000000000002</v>
      </c>
      <c r="AC105">
        <v>0</v>
      </c>
      <c r="AD105">
        <v>0</v>
      </c>
      <c r="AE105" s="3">
        <v>200</v>
      </c>
      <c r="AF105" t="s">
        <v>54</v>
      </c>
      <c r="AG105" t="s">
        <v>59</v>
      </c>
      <c r="AI105" t="s">
        <v>80</v>
      </c>
      <c r="AJ105" t="s">
        <v>73</v>
      </c>
      <c r="AK105" s="5">
        <v>46048.551793981482</v>
      </c>
      <c r="AO105" t="s">
        <v>54</v>
      </c>
      <c r="AP105">
        <v>0</v>
      </c>
      <c r="AR105" t="s">
        <v>54</v>
      </c>
      <c r="AS105" t="s">
        <v>54</v>
      </c>
      <c r="AT105">
        <v>4900</v>
      </c>
      <c r="AU105" t="s">
        <v>55</v>
      </c>
    </row>
    <row r="106" spans="1:47" hidden="1" x14ac:dyDescent="0.25">
      <c r="A106" t="s">
        <v>47</v>
      </c>
      <c r="B106" s="1">
        <v>38479</v>
      </c>
      <c r="C106" t="s">
        <v>48</v>
      </c>
      <c r="D106" t="s">
        <v>49</v>
      </c>
      <c r="E106" s="2">
        <v>46048</v>
      </c>
      <c r="F106" t="s">
        <v>118</v>
      </c>
      <c r="G106" t="s">
        <v>119</v>
      </c>
      <c r="H106" s="3">
        <v>1648</v>
      </c>
      <c r="I106" s="3">
        <v>1648</v>
      </c>
      <c r="J106">
        <v>0</v>
      </c>
      <c r="K106" s="3">
        <v>1895.2</v>
      </c>
      <c r="L106" s="3">
        <v>256.60000000000002</v>
      </c>
      <c r="M106" s="3">
        <v>147.55000000000001</v>
      </c>
      <c r="N106" t="s">
        <v>77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83</v>
      </c>
      <c r="W106" t="s">
        <v>85</v>
      </c>
      <c r="X106" s="4">
        <v>0</v>
      </c>
      <c r="Y106" t="s">
        <v>58</v>
      </c>
      <c r="Z106" s="3">
        <v>0</v>
      </c>
      <c r="AA106">
        <v>0</v>
      </c>
      <c r="AB106">
        <v>256.60000000000002</v>
      </c>
      <c r="AC106">
        <v>0</v>
      </c>
      <c r="AD106" s="3">
        <v>0</v>
      </c>
      <c r="AE106" s="3">
        <v>200</v>
      </c>
      <c r="AF106" t="s">
        <v>54</v>
      </c>
      <c r="AG106" t="s">
        <v>59</v>
      </c>
      <c r="AI106" t="s">
        <v>80</v>
      </c>
      <c r="AJ106" t="s">
        <v>73</v>
      </c>
      <c r="AK106" s="5">
        <v>46048.551932870374</v>
      </c>
      <c r="AO106" t="s">
        <v>54</v>
      </c>
      <c r="AP106">
        <v>0</v>
      </c>
      <c r="AR106" t="s">
        <v>54</v>
      </c>
      <c r="AS106" t="s">
        <v>54</v>
      </c>
      <c r="AT106">
        <v>4900</v>
      </c>
      <c r="AU106" t="s">
        <v>55</v>
      </c>
    </row>
    <row r="107" spans="1:47" hidden="1" x14ac:dyDescent="0.25">
      <c r="A107" t="s">
        <v>47</v>
      </c>
      <c r="B107" s="1">
        <v>38480</v>
      </c>
      <c r="C107" t="s">
        <v>48</v>
      </c>
      <c r="D107" t="s">
        <v>49</v>
      </c>
      <c r="E107" s="2">
        <v>46049</v>
      </c>
      <c r="F107" t="s">
        <v>213</v>
      </c>
      <c r="G107" s="3" t="s">
        <v>137</v>
      </c>
      <c r="H107" s="3">
        <v>5655</v>
      </c>
      <c r="I107" s="3">
        <v>5655</v>
      </c>
      <c r="J107">
        <v>0</v>
      </c>
      <c r="K107" s="3">
        <v>6487.5</v>
      </c>
      <c r="L107" s="3">
        <v>1144.5</v>
      </c>
      <c r="M107" s="3">
        <v>420.03</v>
      </c>
      <c r="N107" t="s">
        <v>98</v>
      </c>
      <c r="O107" t="s">
        <v>53</v>
      </c>
      <c r="P107" t="s">
        <v>53</v>
      </c>
      <c r="Q107" t="s">
        <v>53</v>
      </c>
      <c r="R107" t="s">
        <v>54</v>
      </c>
      <c r="S107" t="s">
        <v>54</v>
      </c>
      <c r="T107" t="s">
        <v>55</v>
      </c>
      <c r="U107">
        <v>167</v>
      </c>
      <c r="V107" t="s">
        <v>99</v>
      </c>
      <c r="W107" t="s">
        <v>95</v>
      </c>
      <c r="X107" s="4">
        <v>0</v>
      </c>
      <c r="Y107" t="s">
        <v>62</v>
      </c>
      <c r="AB107" s="3"/>
      <c r="AE107" s="3"/>
      <c r="AK107" s="5"/>
    </row>
    <row r="108" spans="1:47" hidden="1" x14ac:dyDescent="0.25">
      <c r="A108" t="s">
        <v>63</v>
      </c>
      <c r="B108" s="1">
        <v>1144.5</v>
      </c>
      <c r="C108">
        <v>0</v>
      </c>
      <c r="D108">
        <v>0</v>
      </c>
      <c r="E108" s="2">
        <v>0</v>
      </c>
      <c r="F108">
        <v>0</v>
      </c>
      <c r="G108" s="3">
        <v>1501</v>
      </c>
      <c r="H108" s="3" t="s">
        <v>54</v>
      </c>
      <c r="I108" s="3" t="s">
        <v>59</v>
      </c>
      <c r="K108" s="3" t="s">
        <v>73</v>
      </c>
      <c r="L108" s="3" t="s">
        <v>73</v>
      </c>
      <c r="M108" s="3">
        <v>46049.55667824074</v>
      </c>
      <c r="Q108" t="s">
        <v>54</v>
      </c>
      <c r="R108">
        <v>0</v>
      </c>
      <c r="T108" t="s">
        <v>54</v>
      </c>
      <c r="U108" t="s">
        <v>54</v>
      </c>
      <c r="V108">
        <v>8587</v>
      </c>
      <c r="W108" t="s">
        <v>55</v>
      </c>
      <c r="X108" s="4"/>
      <c r="AB108" s="3"/>
      <c r="AE108" s="3"/>
      <c r="AK108" s="5"/>
    </row>
    <row r="109" spans="1:47" hidden="1" x14ac:dyDescent="0.25">
      <c r="A109" t="s">
        <v>96</v>
      </c>
      <c r="B109" s="1">
        <v>38481</v>
      </c>
      <c r="C109" t="s">
        <v>48</v>
      </c>
      <c r="D109" t="s">
        <v>49</v>
      </c>
      <c r="E109" s="2">
        <v>46049</v>
      </c>
      <c r="F109" t="s">
        <v>181</v>
      </c>
      <c r="G109" t="s">
        <v>166</v>
      </c>
      <c r="H109" s="3">
        <v>8712</v>
      </c>
      <c r="I109" s="3">
        <v>8712</v>
      </c>
      <c r="J109">
        <v>0</v>
      </c>
      <c r="K109" s="3">
        <v>8712</v>
      </c>
      <c r="L109" s="3">
        <v>1618.8</v>
      </c>
      <c r="M109" s="3">
        <v>760.84</v>
      </c>
      <c r="N109" t="s">
        <v>106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145</v>
      </c>
      <c r="V109" t="s">
        <v>99</v>
      </c>
      <c r="W109" t="s">
        <v>152</v>
      </c>
      <c r="X109" s="4">
        <v>0</v>
      </c>
      <c r="Y109" t="s">
        <v>58</v>
      </c>
      <c r="Z109">
        <v>0</v>
      </c>
      <c r="AA109">
        <v>0</v>
      </c>
      <c r="AB109">
        <v>0</v>
      </c>
      <c r="AC109">
        <v>0</v>
      </c>
      <c r="AD109" s="3">
        <v>1618.8</v>
      </c>
      <c r="AE109" s="3">
        <v>1200</v>
      </c>
      <c r="AF109" t="s">
        <v>54</v>
      </c>
      <c r="AG109" t="s">
        <v>59</v>
      </c>
      <c r="AI109" t="s">
        <v>73</v>
      </c>
      <c r="AJ109" t="s">
        <v>73</v>
      </c>
      <c r="AK109" s="5">
        <v>46049.616388888891</v>
      </c>
      <c r="AO109" t="s">
        <v>54</v>
      </c>
      <c r="AP109">
        <v>0</v>
      </c>
      <c r="AR109" t="s">
        <v>54</v>
      </c>
      <c r="AS109" t="s">
        <v>54</v>
      </c>
      <c r="AT109">
        <v>554</v>
      </c>
      <c r="AU109" t="s">
        <v>55</v>
      </c>
    </row>
    <row r="110" spans="1:47" hidden="1" x14ac:dyDescent="0.25">
      <c r="A110" t="s">
        <v>96</v>
      </c>
      <c r="B110" s="1">
        <v>38482</v>
      </c>
      <c r="C110" t="s">
        <v>48</v>
      </c>
      <c r="D110" t="s">
        <v>49</v>
      </c>
      <c r="E110" s="2">
        <v>46049</v>
      </c>
      <c r="F110" t="s">
        <v>181</v>
      </c>
      <c r="G110" t="s">
        <v>166</v>
      </c>
      <c r="H110" s="3">
        <v>8712</v>
      </c>
      <c r="I110" s="3">
        <v>8712</v>
      </c>
      <c r="J110">
        <v>0</v>
      </c>
      <c r="K110" s="3">
        <v>8712</v>
      </c>
      <c r="L110" s="3">
        <v>1618.8</v>
      </c>
      <c r="M110" s="3">
        <v>760.84</v>
      </c>
      <c r="N110" t="s">
        <v>106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99</v>
      </c>
      <c r="W110" t="s">
        <v>152</v>
      </c>
      <c r="X110" s="4">
        <v>0</v>
      </c>
      <c r="Y110" t="s">
        <v>58</v>
      </c>
      <c r="Z110">
        <v>0</v>
      </c>
      <c r="AA110">
        <v>0</v>
      </c>
      <c r="AB110" s="3">
        <v>0</v>
      </c>
      <c r="AC110">
        <v>0</v>
      </c>
      <c r="AD110" s="3">
        <v>1618.8</v>
      </c>
      <c r="AE110" s="3">
        <v>1200</v>
      </c>
      <c r="AF110" t="s">
        <v>54</v>
      </c>
      <c r="AG110" t="s">
        <v>59</v>
      </c>
      <c r="AI110" t="s">
        <v>73</v>
      </c>
      <c r="AJ110" t="s">
        <v>73</v>
      </c>
      <c r="AK110" s="5">
        <v>46049.616527777776</v>
      </c>
      <c r="AO110" t="s">
        <v>54</v>
      </c>
      <c r="AP110">
        <v>0</v>
      </c>
      <c r="AR110" t="s">
        <v>54</v>
      </c>
      <c r="AS110" t="s">
        <v>54</v>
      </c>
      <c r="AT110">
        <v>554</v>
      </c>
      <c r="AU110" t="s">
        <v>55</v>
      </c>
    </row>
    <row r="111" spans="1:47" hidden="1" x14ac:dyDescent="0.25">
      <c r="A111" t="s">
        <v>47</v>
      </c>
      <c r="B111" s="1">
        <v>38483</v>
      </c>
      <c r="C111" t="s">
        <v>48</v>
      </c>
      <c r="D111" t="s">
        <v>49</v>
      </c>
      <c r="E111" s="2">
        <v>46049</v>
      </c>
      <c r="F111" t="s">
        <v>101</v>
      </c>
      <c r="G111" t="s">
        <v>94</v>
      </c>
      <c r="H111" s="3">
        <v>30260</v>
      </c>
      <c r="I111" s="3">
        <v>30260</v>
      </c>
      <c r="J111">
        <v>0</v>
      </c>
      <c r="K111" s="3">
        <v>34799</v>
      </c>
      <c r="L111" s="3">
        <v>5198</v>
      </c>
      <c r="M111" s="3">
        <v>2531.64</v>
      </c>
      <c r="N111" t="s">
        <v>84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9</v>
      </c>
      <c r="V111" t="s">
        <v>71</v>
      </c>
      <c r="W111" t="s">
        <v>102</v>
      </c>
      <c r="X111" s="4">
        <v>0</v>
      </c>
      <c r="Y111" t="s">
        <v>58</v>
      </c>
      <c r="Z111" s="3">
        <v>2507</v>
      </c>
      <c r="AA111" s="3">
        <v>0</v>
      </c>
      <c r="AB111" s="3">
        <v>2691</v>
      </c>
      <c r="AC111">
        <v>0</v>
      </c>
      <c r="AD111">
        <v>0</v>
      </c>
      <c r="AE111" s="3">
        <v>5000</v>
      </c>
      <c r="AF111" t="s">
        <v>54</v>
      </c>
      <c r="AG111" t="s">
        <v>59</v>
      </c>
      <c r="AH111" t="s">
        <v>103</v>
      </c>
      <c r="AI111" t="s">
        <v>92</v>
      </c>
      <c r="AJ111" t="s">
        <v>92</v>
      </c>
      <c r="AK111" s="5">
        <v>46049.618715277778</v>
      </c>
      <c r="AO111" t="s">
        <v>54</v>
      </c>
      <c r="AP111">
        <v>0</v>
      </c>
      <c r="AR111" t="s">
        <v>54</v>
      </c>
      <c r="AS111" t="s">
        <v>54</v>
      </c>
      <c r="AT111">
        <v>161</v>
      </c>
      <c r="AU111" t="s">
        <v>55</v>
      </c>
    </row>
    <row r="112" spans="1:47" hidden="1" x14ac:dyDescent="0.25">
      <c r="A112" t="s">
        <v>47</v>
      </c>
      <c r="B112" s="1">
        <v>38484</v>
      </c>
      <c r="C112" t="s">
        <v>48</v>
      </c>
      <c r="D112" t="s">
        <v>49</v>
      </c>
      <c r="E112" s="2">
        <v>46050</v>
      </c>
      <c r="F112" t="s">
        <v>191</v>
      </c>
      <c r="G112" t="s">
        <v>66</v>
      </c>
      <c r="H112" s="3">
        <v>5586</v>
      </c>
      <c r="I112" s="3">
        <v>5586</v>
      </c>
      <c r="J112">
        <v>0</v>
      </c>
      <c r="K112" s="3">
        <v>6423.9</v>
      </c>
      <c r="L112" s="3">
        <v>550.20000000000005</v>
      </c>
      <c r="M112" s="3">
        <v>330.12</v>
      </c>
      <c r="N112" t="s">
        <v>52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126</v>
      </c>
      <c r="V112" t="s">
        <v>56</v>
      </c>
      <c r="W112" t="s">
        <v>78</v>
      </c>
      <c r="X112" s="4">
        <v>0</v>
      </c>
      <c r="Y112" t="s">
        <v>62</v>
      </c>
      <c r="Z112" s="3"/>
      <c r="AB112" s="3"/>
      <c r="AD112" s="3"/>
      <c r="AE112" s="3"/>
      <c r="AK112" s="5"/>
    </row>
    <row r="113" spans="1:47" hidden="1" x14ac:dyDescent="0.25">
      <c r="A113" t="s">
        <v>63</v>
      </c>
      <c r="B113" s="1">
        <v>0</v>
      </c>
      <c r="C113">
        <v>0</v>
      </c>
      <c r="D113">
        <v>550.20000000000005</v>
      </c>
      <c r="E113" s="2">
        <v>0</v>
      </c>
      <c r="F113">
        <v>0</v>
      </c>
      <c r="G113">
        <v>300</v>
      </c>
      <c r="H113" s="3" t="s">
        <v>54</v>
      </c>
      <c r="I113" s="3" t="s">
        <v>59</v>
      </c>
      <c r="J113" t="s">
        <v>164</v>
      </c>
      <c r="K113" s="3" t="s">
        <v>60</v>
      </c>
      <c r="L113" s="3" t="s">
        <v>60</v>
      </c>
      <c r="M113" s="3">
        <v>46050.412604166668</v>
      </c>
      <c r="Q113" t="s">
        <v>54</v>
      </c>
      <c r="R113">
        <v>0</v>
      </c>
      <c r="T113" t="s">
        <v>54</v>
      </c>
      <c r="U113" t="s">
        <v>54</v>
      </c>
      <c r="V113">
        <v>5328</v>
      </c>
      <c r="W113" t="s">
        <v>55</v>
      </c>
      <c r="X113" s="4"/>
      <c r="Z113" s="3"/>
      <c r="AB113" s="3"/>
      <c r="AE113" s="3"/>
      <c r="AK113" s="5"/>
    </row>
    <row r="114" spans="1:47" hidden="1" x14ac:dyDescent="0.25">
      <c r="A114" t="s">
        <v>96</v>
      </c>
      <c r="B114" s="1">
        <v>38485</v>
      </c>
      <c r="C114" t="s">
        <v>48</v>
      </c>
      <c r="D114" t="s">
        <v>49</v>
      </c>
      <c r="E114" s="2">
        <v>46050</v>
      </c>
      <c r="F114" t="s">
        <v>209</v>
      </c>
      <c r="G114" s="3" t="s">
        <v>66</v>
      </c>
      <c r="H114" s="3">
        <v>870</v>
      </c>
      <c r="I114" s="3">
        <v>870</v>
      </c>
      <c r="J114">
        <v>0</v>
      </c>
      <c r="K114" s="3">
        <v>870</v>
      </c>
      <c r="L114" s="3">
        <v>175</v>
      </c>
      <c r="M114" s="3">
        <v>50.75</v>
      </c>
      <c r="N114" t="s">
        <v>52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126</v>
      </c>
      <c r="V114" t="s">
        <v>56</v>
      </c>
      <c r="W114" t="s">
        <v>72</v>
      </c>
      <c r="X114" s="4">
        <v>0</v>
      </c>
      <c r="Y114" t="s">
        <v>62</v>
      </c>
    </row>
    <row r="115" spans="1:47" hidden="1" x14ac:dyDescent="0.25">
      <c r="A115" t="s">
        <v>63</v>
      </c>
      <c r="B115" s="3">
        <v>175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60</v>
      </c>
      <c r="L115" t="s">
        <v>73</v>
      </c>
      <c r="M115" s="3">
        <v>46050.464699074073</v>
      </c>
      <c r="Q115" t="s">
        <v>54</v>
      </c>
      <c r="R115">
        <v>0</v>
      </c>
      <c r="T115" t="s">
        <v>54</v>
      </c>
      <c r="U115" t="s">
        <v>54</v>
      </c>
      <c r="V115">
        <v>7228</v>
      </c>
      <c r="W115" t="s">
        <v>55</v>
      </c>
      <c r="X115" s="4"/>
      <c r="AK115" s="5"/>
    </row>
    <row r="116" spans="1:47" hidden="1" x14ac:dyDescent="0.25">
      <c r="A116" t="s">
        <v>96</v>
      </c>
      <c r="B116" s="1">
        <v>38486</v>
      </c>
      <c r="C116" t="s">
        <v>48</v>
      </c>
      <c r="D116" t="s">
        <v>49</v>
      </c>
      <c r="E116" s="2">
        <v>46050</v>
      </c>
      <c r="F116" t="s">
        <v>162</v>
      </c>
      <c r="G116" t="s">
        <v>66</v>
      </c>
      <c r="H116" s="3">
        <v>900</v>
      </c>
      <c r="I116" s="3">
        <v>900</v>
      </c>
      <c r="J116">
        <v>0</v>
      </c>
      <c r="K116" s="3">
        <v>900</v>
      </c>
      <c r="L116" s="3">
        <v>241</v>
      </c>
      <c r="M116" s="3">
        <v>69.89</v>
      </c>
      <c r="N116" t="s">
        <v>52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126</v>
      </c>
      <c r="V116" t="s">
        <v>56</v>
      </c>
      <c r="W116" t="s">
        <v>152</v>
      </c>
      <c r="X116" s="4">
        <v>0</v>
      </c>
      <c r="Y116" t="s">
        <v>58</v>
      </c>
      <c r="Z116">
        <v>241</v>
      </c>
      <c r="AA116">
        <v>0</v>
      </c>
      <c r="AB116">
        <v>0</v>
      </c>
      <c r="AC116">
        <v>0</v>
      </c>
      <c r="AD116" s="3">
        <v>0</v>
      </c>
      <c r="AE116" s="3">
        <v>1000</v>
      </c>
      <c r="AF116" t="s">
        <v>54</v>
      </c>
      <c r="AG116" t="s">
        <v>59</v>
      </c>
      <c r="AH116" t="s">
        <v>164</v>
      </c>
      <c r="AI116" t="s">
        <v>60</v>
      </c>
      <c r="AJ116" t="s">
        <v>60</v>
      </c>
      <c r="AK116" s="5">
        <v>46050.450312499997</v>
      </c>
      <c r="AO116" t="s">
        <v>54</v>
      </c>
      <c r="AP116">
        <v>0</v>
      </c>
      <c r="AR116" t="s">
        <v>54</v>
      </c>
      <c r="AS116" t="s">
        <v>54</v>
      </c>
      <c r="AT116">
        <v>5486</v>
      </c>
      <c r="AU116" t="s">
        <v>55</v>
      </c>
    </row>
    <row r="117" spans="1:47" hidden="1" x14ac:dyDescent="0.25">
      <c r="A117" t="s">
        <v>96</v>
      </c>
      <c r="B117" s="1">
        <v>38487</v>
      </c>
      <c r="C117" t="s">
        <v>48</v>
      </c>
      <c r="D117" t="s">
        <v>49</v>
      </c>
      <c r="E117" s="2">
        <v>46050</v>
      </c>
      <c r="F117" t="s">
        <v>169</v>
      </c>
      <c r="G117" t="s">
        <v>69</v>
      </c>
      <c r="H117" s="3">
        <v>20626</v>
      </c>
      <c r="I117" s="3">
        <v>20626</v>
      </c>
      <c r="J117">
        <v>0</v>
      </c>
      <c r="K117" s="3">
        <v>20626</v>
      </c>
      <c r="L117" s="3">
        <v>2928</v>
      </c>
      <c r="M117" s="3">
        <v>1548.3</v>
      </c>
      <c r="N117" t="s">
        <v>52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126</v>
      </c>
      <c r="V117" t="s">
        <v>56</v>
      </c>
      <c r="W117" t="s">
        <v>175</v>
      </c>
      <c r="X117" s="4">
        <v>0</v>
      </c>
      <c r="Y117" t="s">
        <v>62</v>
      </c>
      <c r="AD117" s="3"/>
      <c r="AE117" s="3"/>
      <c r="AK117" s="5"/>
    </row>
    <row r="118" spans="1:47" hidden="1" x14ac:dyDescent="0.25">
      <c r="A118" t="s">
        <v>63</v>
      </c>
      <c r="B118" s="1">
        <v>0</v>
      </c>
      <c r="C118">
        <v>0</v>
      </c>
      <c r="D118">
        <v>468</v>
      </c>
      <c r="E118" s="2">
        <v>0</v>
      </c>
      <c r="F118" s="3">
        <v>2460</v>
      </c>
      <c r="G118" s="3">
        <v>6000</v>
      </c>
      <c r="H118" s="3" t="s">
        <v>54</v>
      </c>
      <c r="I118" s="3" t="s">
        <v>59</v>
      </c>
      <c r="J118" t="s">
        <v>79</v>
      </c>
      <c r="K118" s="3" t="s">
        <v>60</v>
      </c>
      <c r="L118" s="3" t="s">
        <v>60</v>
      </c>
      <c r="M118" s="3">
        <v>46050.45449074074</v>
      </c>
      <c r="Q118" t="s">
        <v>54</v>
      </c>
      <c r="R118">
        <v>0</v>
      </c>
      <c r="T118" t="s">
        <v>54</v>
      </c>
      <c r="U118" t="s">
        <v>54</v>
      </c>
      <c r="V118">
        <v>8105</v>
      </c>
      <c r="W118" t="s">
        <v>55</v>
      </c>
      <c r="X118" s="4"/>
      <c r="Z118" s="3"/>
      <c r="AD118" s="3"/>
      <c r="AE118" s="3"/>
      <c r="AK118" s="5"/>
    </row>
    <row r="119" spans="1:47" hidden="1" x14ac:dyDescent="0.25">
      <c r="A119" t="s">
        <v>96</v>
      </c>
      <c r="B119" s="1">
        <v>38488</v>
      </c>
      <c r="C119" t="s">
        <v>48</v>
      </c>
      <c r="D119" t="s">
        <v>49</v>
      </c>
      <c r="E119" s="2">
        <v>46050</v>
      </c>
      <c r="F119" t="s">
        <v>169</v>
      </c>
      <c r="G119" t="s">
        <v>69</v>
      </c>
      <c r="H119" s="3">
        <v>20180</v>
      </c>
      <c r="I119" s="3">
        <v>20180</v>
      </c>
      <c r="J119">
        <v>0</v>
      </c>
      <c r="K119" s="3">
        <v>20180</v>
      </c>
      <c r="L119" s="3">
        <v>3021</v>
      </c>
      <c r="M119" s="3">
        <v>1495</v>
      </c>
      <c r="N119" t="s">
        <v>52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126</v>
      </c>
      <c r="V119" t="s">
        <v>56</v>
      </c>
      <c r="W119" t="s">
        <v>175</v>
      </c>
      <c r="X119" s="4">
        <v>0</v>
      </c>
      <c r="Y119" t="s">
        <v>62</v>
      </c>
      <c r="Z119" s="3"/>
      <c r="AD119" s="3"/>
      <c r="AE119" s="3"/>
      <c r="AK119" s="5"/>
    </row>
    <row r="120" spans="1:47" hidden="1" x14ac:dyDescent="0.25">
      <c r="A120" t="s">
        <v>63</v>
      </c>
      <c r="B120" s="1">
        <v>666</v>
      </c>
      <c r="C120">
        <v>0</v>
      </c>
      <c r="D120">
        <v>0</v>
      </c>
      <c r="E120" s="2">
        <v>0</v>
      </c>
      <c r="F120" s="3">
        <v>2355</v>
      </c>
      <c r="G120" s="3">
        <v>7000</v>
      </c>
      <c r="H120" s="3" t="s">
        <v>54</v>
      </c>
      <c r="I120" s="3" t="s">
        <v>59</v>
      </c>
      <c r="J120" t="s">
        <v>79</v>
      </c>
      <c r="K120" s="3" t="s">
        <v>60</v>
      </c>
      <c r="L120" s="3" t="s">
        <v>60</v>
      </c>
      <c r="M120" s="3">
        <v>46050.460289351853</v>
      </c>
      <c r="Q120" t="s">
        <v>54</v>
      </c>
      <c r="R120">
        <v>0</v>
      </c>
      <c r="T120" t="s">
        <v>54</v>
      </c>
      <c r="U120" t="s">
        <v>54</v>
      </c>
      <c r="V120">
        <v>8105</v>
      </c>
      <c r="W120" t="s">
        <v>55</v>
      </c>
      <c r="X120" s="4"/>
      <c r="Z120" s="3"/>
      <c r="AD120" s="3"/>
      <c r="AE120" s="3"/>
      <c r="AK120" s="5"/>
    </row>
    <row r="121" spans="1:47" hidden="1" x14ac:dyDescent="0.25">
      <c r="A121" t="s">
        <v>47</v>
      </c>
      <c r="B121" s="1">
        <v>38490</v>
      </c>
      <c r="C121" t="s">
        <v>48</v>
      </c>
      <c r="D121" t="s">
        <v>49</v>
      </c>
      <c r="E121" s="2">
        <v>46050</v>
      </c>
      <c r="F121" t="s">
        <v>211</v>
      </c>
      <c r="G121" t="s">
        <v>167</v>
      </c>
      <c r="H121" s="3">
        <v>7092</v>
      </c>
      <c r="I121" s="3">
        <v>7092</v>
      </c>
      <c r="J121">
        <v>0</v>
      </c>
      <c r="K121" s="3">
        <v>8155.8</v>
      </c>
      <c r="L121" s="3">
        <v>605.4</v>
      </c>
      <c r="M121" s="3">
        <v>386.25</v>
      </c>
      <c r="N121" t="s">
        <v>98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167</v>
      </c>
      <c r="V121" t="s">
        <v>99</v>
      </c>
      <c r="W121" t="s">
        <v>57</v>
      </c>
      <c r="X121" s="4">
        <v>0</v>
      </c>
      <c r="Y121" t="s">
        <v>62</v>
      </c>
      <c r="Z121" s="3"/>
      <c r="AD121" s="3"/>
      <c r="AE121" s="3"/>
      <c r="AK121" s="5"/>
    </row>
    <row r="122" spans="1:47" hidden="1" x14ac:dyDescent="0.25">
      <c r="A122" t="s">
        <v>63</v>
      </c>
      <c r="B122" s="1">
        <v>0</v>
      </c>
      <c r="C122">
        <v>0</v>
      </c>
      <c r="D122">
        <v>605.4</v>
      </c>
      <c r="E122" s="2">
        <v>0</v>
      </c>
      <c r="F122">
        <v>0</v>
      </c>
      <c r="G122">
        <v>375</v>
      </c>
      <c r="H122" s="3" t="s">
        <v>54</v>
      </c>
      <c r="I122" s="3" t="s">
        <v>59</v>
      </c>
      <c r="K122" s="3" t="s">
        <v>73</v>
      </c>
      <c r="L122" s="3" t="s">
        <v>73</v>
      </c>
      <c r="M122" s="3">
        <v>46051.318055555559</v>
      </c>
      <c r="Q122" t="s">
        <v>54</v>
      </c>
      <c r="R122">
        <v>0</v>
      </c>
      <c r="T122" t="s">
        <v>54</v>
      </c>
      <c r="U122" t="s">
        <v>54</v>
      </c>
      <c r="V122">
        <v>5904</v>
      </c>
      <c r="W122" t="s">
        <v>55</v>
      </c>
      <c r="X122" s="4"/>
      <c r="Z122" s="3"/>
      <c r="AD122" s="3"/>
      <c r="AE122" s="3"/>
      <c r="AK122" s="5"/>
    </row>
    <row r="123" spans="1:47" hidden="1" x14ac:dyDescent="0.25">
      <c r="A123" t="s">
        <v>47</v>
      </c>
      <c r="B123" s="1">
        <v>38491</v>
      </c>
      <c r="C123" t="s">
        <v>48</v>
      </c>
      <c r="D123" t="s">
        <v>49</v>
      </c>
      <c r="E123" s="2">
        <v>46051</v>
      </c>
      <c r="F123" t="s">
        <v>190</v>
      </c>
      <c r="G123" s="3" t="s">
        <v>69</v>
      </c>
      <c r="H123" s="3">
        <v>5837</v>
      </c>
      <c r="I123" s="3">
        <v>5837</v>
      </c>
      <c r="J123">
        <v>0</v>
      </c>
      <c r="K123" s="3">
        <v>6712.55</v>
      </c>
      <c r="L123" s="3">
        <v>1033.5</v>
      </c>
      <c r="M123" s="3">
        <v>476.44</v>
      </c>
      <c r="N123" t="s">
        <v>84</v>
      </c>
      <c r="O123" t="s">
        <v>53</v>
      </c>
      <c r="P123" t="s">
        <v>53</v>
      </c>
      <c r="Q123" t="s">
        <v>53</v>
      </c>
      <c r="R123" t="s">
        <v>54</v>
      </c>
      <c r="S123" t="s">
        <v>54</v>
      </c>
      <c r="T123" t="s">
        <v>55</v>
      </c>
      <c r="U123">
        <v>9</v>
      </c>
      <c r="V123" t="s">
        <v>71</v>
      </c>
      <c r="W123" t="s">
        <v>95</v>
      </c>
      <c r="X123" s="4">
        <v>0</v>
      </c>
      <c r="Y123" t="s">
        <v>58</v>
      </c>
      <c r="Z123" s="3">
        <v>0</v>
      </c>
      <c r="AA123" s="3">
        <v>1033.5</v>
      </c>
      <c r="AB123">
        <v>0</v>
      </c>
      <c r="AC123">
        <v>0</v>
      </c>
      <c r="AD123" s="3">
        <v>0</v>
      </c>
      <c r="AE123" s="3">
        <v>1300</v>
      </c>
      <c r="AF123" t="s">
        <v>54</v>
      </c>
      <c r="AG123" t="s">
        <v>59</v>
      </c>
      <c r="AI123" t="s">
        <v>73</v>
      </c>
      <c r="AJ123" t="s">
        <v>73</v>
      </c>
      <c r="AK123" s="5">
        <v>46051.317708333336</v>
      </c>
      <c r="AO123" t="s">
        <v>54</v>
      </c>
      <c r="AP123">
        <v>0</v>
      </c>
      <c r="AR123" t="s">
        <v>54</v>
      </c>
      <c r="AS123" t="s">
        <v>54</v>
      </c>
      <c r="AT123">
        <v>3723</v>
      </c>
      <c r="AU123" t="s">
        <v>55</v>
      </c>
    </row>
    <row r="124" spans="1:47" hidden="1" x14ac:dyDescent="0.25">
      <c r="A124" t="s">
        <v>96</v>
      </c>
      <c r="B124" s="1">
        <v>38492</v>
      </c>
      <c r="C124" t="s">
        <v>48</v>
      </c>
      <c r="D124" t="s">
        <v>49</v>
      </c>
      <c r="E124" s="2">
        <v>46051</v>
      </c>
      <c r="F124" t="s">
        <v>162</v>
      </c>
      <c r="G124" t="s">
        <v>66</v>
      </c>
      <c r="H124" s="3">
        <v>8706.5</v>
      </c>
      <c r="I124" s="3">
        <v>8706.5</v>
      </c>
      <c r="J124">
        <v>0</v>
      </c>
      <c r="K124" s="3">
        <v>8706.5</v>
      </c>
      <c r="L124" s="3">
        <v>2429.61</v>
      </c>
      <c r="M124" s="3">
        <v>748.7</v>
      </c>
      <c r="N124" t="s">
        <v>52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126</v>
      </c>
      <c r="V124" t="s">
        <v>56</v>
      </c>
      <c r="W124" t="s">
        <v>142</v>
      </c>
      <c r="X124" s="4">
        <v>0</v>
      </c>
      <c r="Y124" t="s">
        <v>58</v>
      </c>
      <c r="Z124" s="3">
        <v>2285.0100000000002</v>
      </c>
      <c r="AA124">
        <v>0</v>
      </c>
      <c r="AB124">
        <v>144.6</v>
      </c>
      <c r="AC124">
        <v>0</v>
      </c>
      <c r="AD124">
        <v>0</v>
      </c>
      <c r="AE124" s="3">
        <v>15770</v>
      </c>
      <c r="AF124" t="s">
        <v>54</v>
      </c>
      <c r="AG124" t="s">
        <v>59</v>
      </c>
      <c r="AH124" t="s">
        <v>164</v>
      </c>
      <c r="AI124" t="s">
        <v>60</v>
      </c>
      <c r="AJ124" t="s">
        <v>60</v>
      </c>
      <c r="AK124" s="5">
        <v>46051.685995370368</v>
      </c>
      <c r="AO124" t="s">
        <v>54</v>
      </c>
      <c r="AP124">
        <v>0</v>
      </c>
      <c r="AR124" t="s">
        <v>54</v>
      </c>
      <c r="AS124" t="s">
        <v>54</v>
      </c>
      <c r="AT124">
        <v>5486</v>
      </c>
      <c r="AU124" t="s">
        <v>55</v>
      </c>
    </row>
    <row r="125" spans="1:47" hidden="1" x14ac:dyDescent="0.25">
      <c r="A125" t="s">
        <v>96</v>
      </c>
      <c r="B125" s="1">
        <v>38493</v>
      </c>
      <c r="C125" t="s">
        <v>48</v>
      </c>
      <c r="D125" s="3" t="s">
        <v>49</v>
      </c>
      <c r="E125" s="2">
        <v>46051</v>
      </c>
      <c r="F125" t="s">
        <v>202</v>
      </c>
      <c r="G125" s="3" t="s">
        <v>51</v>
      </c>
      <c r="H125" s="3">
        <v>2288</v>
      </c>
      <c r="I125" s="3">
        <v>2288</v>
      </c>
      <c r="J125">
        <v>0</v>
      </c>
      <c r="K125" s="3">
        <v>2288</v>
      </c>
      <c r="L125" s="3">
        <v>329.6</v>
      </c>
      <c r="M125" s="3">
        <v>210.28</v>
      </c>
      <c r="N125" t="s">
        <v>52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126</v>
      </c>
      <c r="V125" t="s">
        <v>56</v>
      </c>
      <c r="W125" t="s">
        <v>117</v>
      </c>
      <c r="X125" s="4">
        <v>0</v>
      </c>
      <c r="Y125" t="s">
        <v>62</v>
      </c>
      <c r="AB125" s="3"/>
      <c r="AE125" s="3"/>
      <c r="AK125" s="5"/>
    </row>
    <row r="126" spans="1:47" hidden="1" x14ac:dyDescent="0.25">
      <c r="A126" t="s">
        <v>63</v>
      </c>
      <c r="B126" s="1">
        <v>0</v>
      </c>
      <c r="C126">
        <v>0</v>
      </c>
      <c r="D126">
        <v>329.6</v>
      </c>
      <c r="E126" s="2">
        <v>0</v>
      </c>
      <c r="F126">
        <v>0</v>
      </c>
      <c r="G126">
        <v>800</v>
      </c>
      <c r="H126" s="3" t="s">
        <v>54</v>
      </c>
      <c r="I126" s="3" t="s">
        <v>59</v>
      </c>
      <c r="K126" s="3" t="s">
        <v>60</v>
      </c>
      <c r="L126" s="3" t="s">
        <v>60</v>
      </c>
      <c r="M126" s="3">
        <v>46051.468425925923</v>
      </c>
      <c r="Q126" t="s">
        <v>54</v>
      </c>
      <c r="R126">
        <v>0</v>
      </c>
      <c r="T126" t="s">
        <v>54</v>
      </c>
      <c r="U126" t="s">
        <v>54</v>
      </c>
      <c r="V126">
        <v>7429</v>
      </c>
      <c r="W126" t="s">
        <v>55</v>
      </c>
      <c r="X126" s="4"/>
      <c r="AB126" s="3"/>
      <c r="AE126" s="3"/>
      <c r="AK126" s="5"/>
    </row>
    <row r="127" spans="1:47" hidden="1" x14ac:dyDescent="0.25">
      <c r="A127" t="s">
        <v>47</v>
      </c>
      <c r="B127" s="1">
        <v>38494</v>
      </c>
      <c r="C127" t="s">
        <v>48</v>
      </c>
      <c r="D127" t="s">
        <v>49</v>
      </c>
      <c r="E127" s="2">
        <v>46051</v>
      </c>
      <c r="F127" t="s">
        <v>186</v>
      </c>
      <c r="G127" t="s">
        <v>69</v>
      </c>
      <c r="H127" s="3">
        <v>6036</v>
      </c>
      <c r="I127" s="3">
        <v>6036</v>
      </c>
      <c r="J127">
        <v>0</v>
      </c>
      <c r="K127" s="3">
        <v>6941.4</v>
      </c>
      <c r="L127" s="3">
        <v>1290.5999999999999</v>
      </c>
      <c r="M127" s="3">
        <v>419.45</v>
      </c>
      <c r="N127" t="s">
        <v>77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83</v>
      </c>
      <c r="V127" t="s">
        <v>121</v>
      </c>
      <c r="W127" t="s">
        <v>95</v>
      </c>
      <c r="X127" s="4">
        <v>0</v>
      </c>
      <c r="Y127" t="s">
        <v>62</v>
      </c>
      <c r="AB127" s="3"/>
      <c r="AE127" s="3"/>
      <c r="AK127" s="5"/>
    </row>
    <row r="128" spans="1:47" hidden="1" x14ac:dyDescent="0.25">
      <c r="A128" t="s">
        <v>63</v>
      </c>
      <c r="B128" s="1">
        <v>1290.5999999999999</v>
      </c>
      <c r="C128">
        <v>0</v>
      </c>
      <c r="D128">
        <v>0</v>
      </c>
      <c r="E128" s="2">
        <v>0</v>
      </c>
      <c r="F128">
        <v>0</v>
      </c>
      <c r="G128" s="3">
        <v>1200</v>
      </c>
      <c r="H128" s="3" t="s">
        <v>54</v>
      </c>
      <c r="I128" s="3" t="s">
        <v>59</v>
      </c>
      <c r="K128" s="3" t="s">
        <v>80</v>
      </c>
      <c r="L128" s="3" t="s">
        <v>73</v>
      </c>
      <c r="M128" s="3">
        <v>46051.603935185187</v>
      </c>
      <c r="Q128" t="s">
        <v>54</v>
      </c>
      <c r="R128">
        <v>0</v>
      </c>
      <c r="T128" t="s">
        <v>54</v>
      </c>
      <c r="U128" t="s">
        <v>54</v>
      </c>
      <c r="V128">
        <v>4126</v>
      </c>
      <c r="W128" t="s">
        <v>55</v>
      </c>
      <c r="X128" s="4"/>
      <c r="Z128" s="3"/>
      <c r="AB128" s="3"/>
      <c r="AE128" s="3"/>
      <c r="AK128" s="5"/>
    </row>
    <row r="129" spans="1:47" hidden="1" x14ac:dyDescent="0.25">
      <c r="A129" t="s">
        <v>96</v>
      </c>
      <c r="B129" s="1">
        <v>38495</v>
      </c>
      <c r="C129" t="s">
        <v>48</v>
      </c>
      <c r="D129" t="s">
        <v>49</v>
      </c>
      <c r="E129" s="2">
        <v>46051</v>
      </c>
      <c r="F129" t="s">
        <v>208</v>
      </c>
      <c r="G129" s="3" t="s">
        <v>119</v>
      </c>
      <c r="H129" s="3">
        <v>3820</v>
      </c>
      <c r="I129" s="3">
        <v>3820</v>
      </c>
      <c r="J129">
        <v>0</v>
      </c>
      <c r="K129" s="3">
        <v>3820</v>
      </c>
      <c r="L129" s="3">
        <v>690.5</v>
      </c>
      <c r="M129" s="3">
        <v>303.3</v>
      </c>
      <c r="N129" t="s">
        <v>52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126</v>
      </c>
      <c r="V129" t="s">
        <v>56</v>
      </c>
      <c r="W129" t="s">
        <v>72</v>
      </c>
      <c r="X129" s="4">
        <v>0</v>
      </c>
      <c r="Y129" t="s">
        <v>174</v>
      </c>
      <c r="Z129">
        <v>118</v>
      </c>
      <c r="AA129">
        <v>0</v>
      </c>
      <c r="AB129" s="3">
        <v>0</v>
      </c>
      <c r="AC129">
        <v>0</v>
      </c>
      <c r="AD129">
        <v>572.5</v>
      </c>
      <c r="AE129" s="3">
        <v>1500</v>
      </c>
      <c r="AF129" t="s">
        <v>54</v>
      </c>
      <c r="AG129" t="s">
        <v>59</v>
      </c>
      <c r="AI129" t="s">
        <v>60</v>
      </c>
      <c r="AJ129" t="s">
        <v>60</v>
      </c>
      <c r="AK129" s="5">
        <v>46051.548159722224</v>
      </c>
      <c r="AO129" t="s">
        <v>54</v>
      </c>
      <c r="AP129">
        <v>0</v>
      </c>
      <c r="AR129" t="s">
        <v>54</v>
      </c>
      <c r="AS129" t="s">
        <v>54</v>
      </c>
      <c r="AT129">
        <v>4075</v>
      </c>
      <c r="AU129" t="s">
        <v>55</v>
      </c>
    </row>
    <row r="130" spans="1:47" hidden="1" x14ac:dyDescent="0.25">
      <c r="A130" t="s">
        <v>47</v>
      </c>
      <c r="B130" s="1">
        <v>38496</v>
      </c>
      <c r="C130" t="s">
        <v>48</v>
      </c>
      <c r="D130" t="s">
        <v>49</v>
      </c>
      <c r="E130" s="2">
        <v>46051</v>
      </c>
      <c r="F130" t="s">
        <v>185</v>
      </c>
      <c r="G130" t="s">
        <v>167</v>
      </c>
      <c r="H130" s="3">
        <v>12295</v>
      </c>
      <c r="I130" s="3">
        <v>12295</v>
      </c>
      <c r="J130">
        <v>0</v>
      </c>
      <c r="K130" s="3">
        <v>14056.75</v>
      </c>
      <c r="L130" s="3">
        <v>1797</v>
      </c>
      <c r="M130" s="3">
        <v>954.78</v>
      </c>
      <c r="N130" t="s">
        <v>77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83</v>
      </c>
      <c r="V130" t="s">
        <v>176</v>
      </c>
      <c r="W130" t="s">
        <v>175</v>
      </c>
      <c r="X130" s="4">
        <v>0</v>
      </c>
      <c r="Y130" t="s">
        <v>62</v>
      </c>
    </row>
    <row r="131" spans="1:47" hidden="1" x14ac:dyDescent="0.25">
      <c r="A131" t="s">
        <v>63</v>
      </c>
      <c r="B131" s="3">
        <v>771</v>
      </c>
      <c r="C131">
        <v>0</v>
      </c>
      <c r="D131" s="3">
        <v>1026</v>
      </c>
      <c r="E131">
        <v>0</v>
      </c>
      <c r="F131">
        <v>0</v>
      </c>
      <c r="G131" s="3">
        <v>2501</v>
      </c>
      <c r="H131" t="s">
        <v>54</v>
      </c>
      <c r="I131" t="s">
        <v>59</v>
      </c>
      <c r="K131" t="s">
        <v>80</v>
      </c>
      <c r="L131" t="s">
        <v>73</v>
      </c>
      <c r="M131" s="3">
        <v>46052.339131944442</v>
      </c>
      <c r="Q131" t="s">
        <v>54</v>
      </c>
      <c r="R131">
        <v>0</v>
      </c>
      <c r="T131" t="s">
        <v>54</v>
      </c>
      <c r="U131" t="s">
        <v>54</v>
      </c>
      <c r="V131">
        <v>7023</v>
      </c>
      <c r="W131" t="s">
        <v>55</v>
      </c>
    </row>
    <row r="132" spans="1:47" hidden="1" x14ac:dyDescent="0.25">
      <c r="A132" t="s">
        <v>81</v>
      </c>
      <c r="B132" s="1">
        <v>38497</v>
      </c>
      <c r="C132" t="s">
        <v>48</v>
      </c>
      <c r="D132" t="s">
        <v>49</v>
      </c>
      <c r="E132" s="2">
        <v>46051</v>
      </c>
      <c r="F132" t="s">
        <v>197</v>
      </c>
      <c r="G132" t="s">
        <v>69</v>
      </c>
      <c r="H132" s="3">
        <v>3378.2</v>
      </c>
      <c r="I132" s="3">
        <v>3378.2</v>
      </c>
      <c r="J132">
        <v>0</v>
      </c>
      <c r="K132" s="3">
        <v>3378.2</v>
      </c>
      <c r="L132">
        <v>571.14</v>
      </c>
      <c r="M132" s="3">
        <v>328.41</v>
      </c>
      <c r="N132" t="s">
        <v>77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83</v>
      </c>
      <c r="V132" t="s">
        <v>121</v>
      </c>
      <c r="W132" t="s">
        <v>194</v>
      </c>
      <c r="X132" s="4">
        <v>0</v>
      </c>
      <c r="Y132" t="s">
        <v>62</v>
      </c>
    </row>
    <row r="133" spans="1:47" hidden="1" x14ac:dyDescent="0.25">
      <c r="A133" t="s">
        <v>63</v>
      </c>
      <c r="B133">
        <v>0</v>
      </c>
      <c r="C133">
        <v>0</v>
      </c>
      <c r="D133">
        <v>571.14</v>
      </c>
      <c r="E133">
        <v>0</v>
      </c>
      <c r="F133">
        <v>0</v>
      </c>
      <c r="G133" s="3">
        <v>380</v>
      </c>
      <c r="H133" t="s">
        <v>54</v>
      </c>
      <c r="I133" t="s">
        <v>59</v>
      </c>
      <c r="K133" t="s">
        <v>80</v>
      </c>
      <c r="L133" t="s">
        <v>73</v>
      </c>
      <c r="M133" s="3">
        <v>46051.687615740739</v>
      </c>
      <c r="Q133" t="s">
        <v>54</v>
      </c>
      <c r="R133">
        <v>0</v>
      </c>
      <c r="T133" t="s">
        <v>54</v>
      </c>
      <c r="U133" t="s">
        <v>54</v>
      </c>
      <c r="V133">
        <v>8443</v>
      </c>
      <c r="W133" t="s">
        <v>55</v>
      </c>
    </row>
    <row r="134" spans="1:47" hidden="1" x14ac:dyDescent="0.25">
      <c r="A134" t="s">
        <v>47</v>
      </c>
      <c r="B134" s="1">
        <v>38498</v>
      </c>
      <c r="C134" t="s">
        <v>48</v>
      </c>
      <c r="D134" t="s">
        <v>49</v>
      </c>
      <c r="E134" s="2">
        <v>46051</v>
      </c>
      <c r="F134" t="s">
        <v>61</v>
      </c>
      <c r="G134" t="s">
        <v>51</v>
      </c>
      <c r="H134" s="3">
        <v>12152</v>
      </c>
      <c r="I134" s="3">
        <v>12152</v>
      </c>
      <c r="J134">
        <v>0</v>
      </c>
      <c r="K134" s="3">
        <v>13974.8</v>
      </c>
      <c r="L134" s="3">
        <v>1496.8</v>
      </c>
      <c r="M134" s="3">
        <v>921.11</v>
      </c>
      <c r="N134" t="s">
        <v>52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126</v>
      </c>
      <c r="V134" t="s">
        <v>56</v>
      </c>
      <c r="W134" t="s">
        <v>57</v>
      </c>
      <c r="X134" s="4">
        <v>0</v>
      </c>
      <c r="Y134" t="s">
        <v>62</v>
      </c>
      <c r="AK134" s="5"/>
    </row>
    <row r="135" spans="1:47" hidden="1" x14ac:dyDescent="0.25">
      <c r="A135" t="s">
        <v>63</v>
      </c>
      <c r="B135" s="1">
        <v>142.19999999999999</v>
      </c>
      <c r="C135">
        <v>0</v>
      </c>
      <c r="D135" s="3">
        <v>1354.6</v>
      </c>
      <c r="E135" s="2">
        <v>0</v>
      </c>
      <c r="F135">
        <v>0</v>
      </c>
      <c r="G135" s="3">
        <v>2000</v>
      </c>
      <c r="H135" s="3" t="s">
        <v>54</v>
      </c>
      <c r="I135" s="3" t="s">
        <v>59</v>
      </c>
      <c r="J135" t="s">
        <v>64</v>
      </c>
      <c r="K135" s="3" t="s">
        <v>60</v>
      </c>
      <c r="L135" s="3" t="s">
        <v>60</v>
      </c>
      <c r="M135" s="3">
        <v>46051.691655092596</v>
      </c>
      <c r="Q135" t="s">
        <v>54</v>
      </c>
      <c r="R135">
        <v>0</v>
      </c>
      <c r="T135" t="s">
        <v>54</v>
      </c>
      <c r="U135" t="s">
        <v>54</v>
      </c>
      <c r="V135">
        <v>7006</v>
      </c>
      <c r="W135" t="s">
        <v>55</v>
      </c>
      <c r="X135" s="4"/>
      <c r="Z135" s="3"/>
      <c r="AE135" s="3"/>
      <c r="AK135" s="5"/>
    </row>
    <row r="136" spans="1:47" hidden="1" x14ac:dyDescent="0.25">
      <c r="A136" t="s">
        <v>47</v>
      </c>
      <c r="B136" s="1">
        <v>38499</v>
      </c>
      <c r="C136" t="s">
        <v>48</v>
      </c>
      <c r="D136" t="s">
        <v>49</v>
      </c>
      <c r="E136" s="2">
        <v>46051</v>
      </c>
      <c r="F136" t="s">
        <v>50</v>
      </c>
      <c r="G136" t="s">
        <v>51</v>
      </c>
      <c r="H136" s="3">
        <v>5276</v>
      </c>
      <c r="I136" s="3">
        <v>5276</v>
      </c>
      <c r="J136">
        <v>0</v>
      </c>
      <c r="K136" s="3">
        <v>6067.4</v>
      </c>
      <c r="L136" s="3">
        <v>1029.5999999999999</v>
      </c>
      <c r="M136" s="3">
        <v>401.54</v>
      </c>
      <c r="N136" t="s">
        <v>52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126</v>
      </c>
      <c r="V136" t="s">
        <v>56</v>
      </c>
      <c r="W136" t="s">
        <v>57</v>
      </c>
      <c r="X136" s="4">
        <v>0</v>
      </c>
      <c r="Y136" t="s">
        <v>58</v>
      </c>
      <c r="Z136" s="3">
        <v>1029.5999999999999</v>
      </c>
      <c r="AA136">
        <v>0</v>
      </c>
      <c r="AB136">
        <v>0</v>
      </c>
      <c r="AC136">
        <v>0</v>
      </c>
      <c r="AD136">
        <v>0</v>
      </c>
      <c r="AE136">
        <v>400</v>
      </c>
      <c r="AF136" t="s">
        <v>54</v>
      </c>
      <c r="AG136" t="s">
        <v>59</v>
      </c>
      <c r="AI136" t="s">
        <v>60</v>
      </c>
      <c r="AJ136" t="s">
        <v>60</v>
      </c>
      <c r="AK136" s="5">
        <v>46051.677627314813</v>
      </c>
      <c r="AO136" t="s">
        <v>54</v>
      </c>
      <c r="AP136">
        <v>0</v>
      </c>
      <c r="AR136" t="s">
        <v>54</v>
      </c>
      <c r="AS136" t="s">
        <v>54</v>
      </c>
      <c r="AT136">
        <v>6611</v>
      </c>
      <c r="AU136" t="s">
        <v>55</v>
      </c>
    </row>
    <row r="137" spans="1:47" hidden="1" x14ac:dyDescent="0.25">
      <c r="A137" t="s">
        <v>47</v>
      </c>
      <c r="B137" s="3">
        <v>38500</v>
      </c>
      <c r="C137" t="s">
        <v>48</v>
      </c>
      <c r="D137" t="s">
        <v>49</v>
      </c>
      <c r="E137" s="2">
        <v>46052</v>
      </c>
      <c r="F137" t="s">
        <v>178</v>
      </c>
      <c r="G137" s="3" t="s">
        <v>124</v>
      </c>
      <c r="H137" s="3">
        <v>14119.82</v>
      </c>
      <c r="I137" s="3">
        <v>14119.82</v>
      </c>
      <c r="J137">
        <v>0</v>
      </c>
      <c r="K137" s="3">
        <v>16237.79</v>
      </c>
      <c r="L137" s="3">
        <v>1573.08</v>
      </c>
      <c r="M137" s="3">
        <v>1046.56</v>
      </c>
      <c r="N137" t="s">
        <v>75</v>
      </c>
      <c r="O137" t="s">
        <v>53</v>
      </c>
      <c r="P137" t="s">
        <v>53</v>
      </c>
      <c r="Q137" t="s">
        <v>53</v>
      </c>
      <c r="R137" t="s">
        <v>54</v>
      </c>
      <c r="S137" t="s">
        <v>54</v>
      </c>
      <c r="T137" t="s">
        <v>55</v>
      </c>
      <c r="U137">
        <v>43</v>
      </c>
      <c r="W137" t="s">
        <v>72</v>
      </c>
      <c r="X137" s="4">
        <v>0</v>
      </c>
      <c r="Y137" t="s">
        <v>58</v>
      </c>
      <c r="Z137">
        <v>0</v>
      </c>
      <c r="AA137">
        <v>0</v>
      </c>
      <c r="AB137" s="3">
        <v>1573.08</v>
      </c>
      <c r="AC137">
        <v>0</v>
      </c>
      <c r="AD137">
        <v>0</v>
      </c>
      <c r="AE137" s="3">
        <v>1156</v>
      </c>
      <c r="AF137" t="s">
        <v>54</v>
      </c>
      <c r="AG137" t="s">
        <v>59</v>
      </c>
      <c r="AI137" t="s">
        <v>73</v>
      </c>
      <c r="AJ137" t="s">
        <v>73</v>
      </c>
      <c r="AK137" s="5">
        <v>46052.438414351855</v>
      </c>
      <c r="AO137" t="s">
        <v>54</v>
      </c>
      <c r="AP137">
        <v>0</v>
      </c>
      <c r="AR137" t="s">
        <v>54</v>
      </c>
      <c r="AS137" t="s">
        <v>54</v>
      </c>
      <c r="AT137">
        <v>4694</v>
      </c>
      <c r="AU137" t="s">
        <v>55</v>
      </c>
    </row>
    <row r="138" spans="1:47" hidden="1" x14ac:dyDescent="0.25">
      <c r="A138" t="s">
        <v>47</v>
      </c>
      <c r="B138" s="1">
        <v>38501</v>
      </c>
      <c r="C138" t="s">
        <v>48</v>
      </c>
      <c r="D138" t="s">
        <v>49</v>
      </c>
      <c r="E138" s="2">
        <v>46052</v>
      </c>
      <c r="F138" t="s">
        <v>108</v>
      </c>
      <c r="G138" t="s">
        <v>109</v>
      </c>
      <c r="H138" s="3">
        <v>2690</v>
      </c>
      <c r="I138" s="3">
        <v>2690</v>
      </c>
      <c r="J138">
        <v>0</v>
      </c>
      <c r="K138" s="3">
        <v>2690</v>
      </c>
      <c r="L138" s="3">
        <v>339</v>
      </c>
      <c r="M138" s="3">
        <v>216.28</v>
      </c>
      <c r="N138" t="s">
        <v>84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9</v>
      </c>
      <c r="V138" t="s">
        <v>56</v>
      </c>
      <c r="W138" t="s">
        <v>110</v>
      </c>
      <c r="X138" s="4">
        <v>0</v>
      </c>
      <c r="Y138" t="s">
        <v>58</v>
      </c>
      <c r="Z138" s="3">
        <v>0</v>
      </c>
      <c r="AA138">
        <v>0</v>
      </c>
      <c r="AB138">
        <v>339</v>
      </c>
      <c r="AC138">
        <v>0</v>
      </c>
      <c r="AD138" s="3">
        <v>0</v>
      </c>
      <c r="AE138" s="3">
        <v>1000</v>
      </c>
      <c r="AF138" t="s">
        <v>54</v>
      </c>
      <c r="AG138" t="s">
        <v>59</v>
      </c>
      <c r="AI138" t="s">
        <v>92</v>
      </c>
      <c r="AJ138" t="s">
        <v>92</v>
      </c>
      <c r="AK138" s="5">
        <v>46052.445231481484</v>
      </c>
      <c r="AO138" t="s">
        <v>54</v>
      </c>
      <c r="AP138">
        <v>0</v>
      </c>
      <c r="AR138" t="s">
        <v>54</v>
      </c>
      <c r="AS138" t="s">
        <v>54</v>
      </c>
      <c r="AT138">
        <v>3124</v>
      </c>
      <c r="AU138" t="s">
        <v>55</v>
      </c>
    </row>
    <row r="139" spans="1:47" hidden="1" x14ac:dyDescent="0.25">
      <c r="A139" t="s">
        <v>81</v>
      </c>
      <c r="B139" s="1">
        <v>38503</v>
      </c>
      <c r="C139" t="s">
        <v>48</v>
      </c>
      <c r="D139" t="s">
        <v>49</v>
      </c>
      <c r="E139" s="2">
        <v>46052</v>
      </c>
      <c r="F139" t="s">
        <v>212</v>
      </c>
      <c r="G139" t="s">
        <v>83</v>
      </c>
      <c r="H139" s="3">
        <v>25124</v>
      </c>
      <c r="I139" s="3">
        <v>25124</v>
      </c>
      <c r="J139">
        <v>0</v>
      </c>
      <c r="K139" s="3">
        <v>25124</v>
      </c>
      <c r="L139" s="3">
        <v>5213.1000000000004</v>
      </c>
      <c r="M139" s="3">
        <v>2335.15</v>
      </c>
      <c r="N139" t="s">
        <v>84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9</v>
      </c>
      <c r="W139" t="s">
        <v>182</v>
      </c>
      <c r="X139" s="4">
        <v>0</v>
      </c>
      <c r="Y139" t="s">
        <v>62</v>
      </c>
      <c r="Z139" s="3"/>
      <c r="AB139" s="3"/>
      <c r="AE139" s="3"/>
      <c r="AK139" s="5"/>
    </row>
    <row r="140" spans="1:47" hidden="1" x14ac:dyDescent="0.25">
      <c r="A140" t="s">
        <v>63</v>
      </c>
      <c r="B140" s="1">
        <v>0</v>
      </c>
      <c r="C140" s="3">
        <v>5213.1000000000004</v>
      </c>
      <c r="D140" s="3">
        <v>0</v>
      </c>
      <c r="E140" s="2">
        <v>0</v>
      </c>
      <c r="F140">
        <v>0</v>
      </c>
      <c r="G140" s="3">
        <v>2300</v>
      </c>
      <c r="H140" s="3" t="s">
        <v>54</v>
      </c>
      <c r="I140" s="3" t="s">
        <v>59</v>
      </c>
      <c r="K140" s="3" t="s">
        <v>92</v>
      </c>
      <c r="L140" s="3" t="s">
        <v>92</v>
      </c>
      <c r="M140" s="3">
        <v>46052.518252314818</v>
      </c>
      <c r="Q140" t="s">
        <v>54</v>
      </c>
      <c r="R140">
        <v>0</v>
      </c>
      <c r="T140" t="s">
        <v>54</v>
      </c>
      <c r="U140" t="s">
        <v>54</v>
      </c>
      <c r="V140">
        <v>8856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38504</v>
      </c>
      <c r="C141" t="s">
        <v>48</v>
      </c>
      <c r="D141" t="s">
        <v>49</v>
      </c>
      <c r="E141" s="2">
        <v>46055</v>
      </c>
      <c r="F141" t="s">
        <v>112</v>
      </c>
      <c r="G141" t="s">
        <v>113</v>
      </c>
      <c r="H141" s="3">
        <v>870</v>
      </c>
      <c r="I141" s="3">
        <v>870</v>
      </c>
      <c r="J141">
        <v>0</v>
      </c>
      <c r="K141" s="3">
        <v>870</v>
      </c>
      <c r="L141" s="3">
        <v>143.4</v>
      </c>
      <c r="M141" s="3">
        <v>55.93</v>
      </c>
      <c r="N141" t="s">
        <v>52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126</v>
      </c>
      <c r="V141" t="s">
        <v>56</v>
      </c>
      <c r="W141" t="s">
        <v>78</v>
      </c>
      <c r="X141" s="4">
        <v>0</v>
      </c>
      <c r="Y141" t="s">
        <v>58</v>
      </c>
      <c r="Z141">
        <v>143.4</v>
      </c>
      <c r="AA141">
        <v>0</v>
      </c>
      <c r="AB141" s="3">
        <v>0</v>
      </c>
      <c r="AC141">
        <v>0</v>
      </c>
      <c r="AD141">
        <v>0</v>
      </c>
      <c r="AE141" s="3">
        <v>600</v>
      </c>
      <c r="AF141" t="s">
        <v>54</v>
      </c>
      <c r="AG141" t="s">
        <v>59</v>
      </c>
      <c r="AH141" t="s">
        <v>115</v>
      </c>
      <c r="AI141" t="s">
        <v>60</v>
      </c>
      <c r="AJ141" t="s">
        <v>60</v>
      </c>
      <c r="AK141" s="5">
        <v>46055.343298611115</v>
      </c>
      <c r="AO141" t="s">
        <v>54</v>
      </c>
      <c r="AP141">
        <v>0</v>
      </c>
      <c r="AR141" t="s">
        <v>54</v>
      </c>
      <c r="AS141" t="s">
        <v>54</v>
      </c>
      <c r="AT141">
        <v>4089</v>
      </c>
      <c r="AU141" t="s">
        <v>55</v>
      </c>
    </row>
    <row r="142" spans="1:47" x14ac:dyDescent="0.25">
      <c r="A142" t="s">
        <v>47</v>
      </c>
      <c r="B142" s="1">
        <v>38505</v>
      </c>
      <c r="C142" t="s">
        <v>48</v>
      </c>
      <c r="D142" t="s">
        <v>49</v>
      </c>
      <c r="E142" s="2">
        <v>46055</v>
      </c>
      <c r="F142" t="s">
        <v>111</v>
      </c>
      <c r="G142" t="s">
        <v>69</v>
      </c>
      <c r="H142" s="3">
        <v>18310</v>
      </c>
      <c r="I142" s="3">
        <v>18310</v>
      </c>
      <c r="J142">
        <v>0</v>
      </c>
      <c r="K142" s="3">
        <v>21056.5</v>
      </c>
      <c r="L142" s="3">
        <v>4084</v>
      </c>
      <c r="M142" s="3">
        <v>1624.73</v>
      </c>
      <c r="N142" t="s">
        <v>52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126</v>
      </c>
      <c r="V142" t="s">
        <v>56</v>
      </c>
      <c r="W142" t="s">
        <v>95</v>
      </c>
      <c r="X142" s="4">
        <v>0</v>
      </c>
      <c r="Y142" t="s">
        <v>58</v>
      </c>
      <c r="Z142" s="3">
        <v>4084</v>
      </c>
      <c r="AA142">
        <v>0</v>
      </c>
      <c r="AB142">
        <v>0</v>
      </c>
      <c r="AC142">
        <v>0</v>
      </c>
      <c r="AD142">
        <v>0</v>
      </c>
      <c r="AE142" s="3">
        <v>4000</v>
      </c>
      <c r="AF142" t="s">
        <v>54</v>
      </c>
      <c r="AG142" t="s">
        <v>59</v>
      </c>
      <c r="AI142" t="s">
        <v>60</v>
      </c>
      <c r="AJ142" t="s">
        <v>60</v>
      </c>
      <c r="AK142" s="5">
        <v>46055.483912037038</v>
      </c>
      <c r="AO142" t="s">
        <v>54</v>
      </c>
      <c r="AP142">
        <v>0</v>
      </c>
      <c r="AR142" t="s">
        <v>54</v>
      </c>
      <c r="AS142" t="s">
        <v>54</v>
      </c>
      <c r="AT142">
        <v>1877</v>
      </c>
      <c r="AU142" t="s">
        <v>55</v>
      </c>
    </row>
    <row r="143" spans="1:47" x14ac:dyDescent="0.25">
      <c r="A143" t="s">
        <v>47</v>
      </c>
      <c r="B143" s="1">
        <v>38506</v>
      </c>
      <c r="C143" t="s">
        <v>48</v>
      </c>
      <c r="D143" t="s">
        <v>49</v>
      </c>
      <c r="E143" s="2">
        <v>46055</v>
      </c>
      <c r="F143" t="s">
        <v>111</v>
      </c>
      <c r="G143" t="s">
        <v>69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 s="3">
        <v>907.92</v>
      </c>
      <c r="N143" t="s">
        <v>52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126</v>
      </c>
      <c r="V143" t="s">
        <v>56</v>
      </c>
      <c r="W143" t="s">
        <v>95</v>
      </c>
      <c r="X143" s="4">
        <v>0</v>
      </c>
      <c r="Y143" t="s">
        <v>58</v>
      </c>
      <c r="Z143" s="3">
        <v>2328</v>
      </c>
      <c r="AA143">
        <v>0</v>
      </c>
      <c r="AB143">
        <v>0</v>
      </c>
      <c r="AC143">
        <v>0</v>
      </c>
      <c r="AD143">
        <v>0</v>
      </c>
      <c r="AE143" s="3">
        <v>2000</v>
      </c>
      <c r="AF143" t="s">
        <v>54</v>
      </c>
      <c r="AG143" t="s">
        <v>59</v>
      </c>
      <c r="AI143" t="s">
        <v>60</v>
      </c>
      <c r="AJ143" t="s">
        <v>60</v>
      </c>
      <c r="AK143" s="5">
        <v>46055.489907407406</v>
      </c>
      <c r="AO143" t="s">
        <v>54</v>
      </c>
      <c r="AP143">
        <v>0</v>
      </c>
      <c r="AR143" t="s">
        <v>54</v>
      </c>
      <c r="AS143" t="s">
        <v>54</v>
      </c>
      <c r="AT143">
        <v>1877</v>
      </c>
      <c r="AU143" t="s">
        <v>55</v>
      </c>
    </row>
    <row r="144" spans="1:47" x14ac:dyDescent="0.25">
      <c r="A144" t="s">
        <v>96</v>
      </c>
      <c r="B144" s="1">
        <v>38507</v>
      </c>
      <c r="C144" t="s">
        <v>48</v>
      </c>
      <c r="D144" t="s">
        <v>49</v>
      </c>
      <c r="E144" s="2">
        <v>46055</v>
      </c>
      <c r="F144" t="s">
        <v>195</v>
      </c>
      <c r="G144" t="s">
        <v>66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 s="3">
        <v>364.15</v>
      </c>
      <c r="N144" t="s">
        <v>52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126</v>
      </c>
      <c r="V144" t="s">
        <v>56</v>
      </c>
      <c r="W144" t="s">
        <v>72</v>
      </c>
      <c r="X144" s="4">
        <v>0</v>
      </c>
      <c r="Y144" t="s">
        <v>62</v>
      </c>
      <c r="AD144" s="3"/>
      <c r="AE144" s="3"/>
      <c r="AK144" s="5"/>
    </row>
    <row r="145" spans="1:47" hidden="1" x14ac:dyDescent="0.25">
      <c r="A145" t="s">
        <v>63</v>
      </c>
      <c r="B145" s="1">
        <v>1240.83</v>
      </c>
      <c r="C145">
        <v>0</v>
      </c>
      <c r="D145">
        <v>0</v>
      </c>
      <c r="E145" s="2">
        <v>0</v>
      </c>
      <c r="F145">
        <v>0</v>
      </c>
      <c r="G145" s="3">
        <v>3175</v>
      </c>
      <c r="H145" s="3" t="s">
        <v>54</v>
      </c>
      <c r="I145" s="3" t="s">
        <v>59</v>
      </c>
      <c r="K145" s="3" t="s">
        <v>60</v>
      </c>
      <c r="L145" s="3" t="s">
        <v>60</v>
      </c>
      <c r="M145" s="3">
        <v>46056.375428240739</v>
      </c>
      <c r="Q145" t="s">
        <v>54</v>
      </c>
      <c r="R145">
        <v>0</v>
      </c>
      <c r="T145" t="s">
        <v>54</v>
      </c>
      <c r="U145" t="s">
        <v>54</v>
      </c>
      <c r="V145">
        <v>8454</v>
      </c>
      <c r="W145" t="s">
        <v>55</v>
      </c>
      <c r="X145" s="4"/>
      <c r="AD145" s="3"/>
      <c r="AE145" s="3"/>
      <c r="AK145" s="5"/>
    </row>
    <row r="146" spans="1:47" x14ac:dyDescent="0.25">
      <c r="A146" t="s">
        <v>96</v>
      </c>
      <c r="B146" s="1">
        <v>38508</v>
      </c>
      <c r="C146" t="s">
        <v>48</v>
      </c>
      <c r="D146" t="s">
        <v>49</v>
      </c>
      <c r="E146" s="2">
        <v>46056</v>
      </c>
      <c r="F146" t="s">
        <v>206</v>
      </c>
      <c r="G146" t="s">
        <v>137</v>
      </c>
      <c r="H146" s="3">
        <v>1704</v>
      </c>
      <c r="I146" s="3">
        <v>1704</v>
      </c>
      <c r="J146">
        <v>0</v>
      </c>
      <c r="K146" s="3">
        <v>1704</v>
      </c>
      <c r="L146" s="3">
        <v>215.4</v>
      </c>
      <c r="M146" s="3">
        <v>128.16</v>
      </c>
      <c r="N146" t="s">
        <v>52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126</v>
      </c>
      <c r="V146" t="s">
        <v>56</v>
      </c>
      <c r="W146" t="s">
        <v>117</v>
      </c>
      <c r="X146" s="4">
        <v>0</v>
      </c>
      <c r="Y146" t="s">
        <v>62</v>
      </c>
      <c r="Z146" s="3"/>
      <c r="AA146" s="3"/>
      <c r="AE146" s="3"/>
      <c r="AK146" s="5"/>
    </row>
    <row r="147" spans="1:47" hidden="1" x14ac:dyDescent="0.25">
      <c r="A147" t="s">
        <v>63</v>
      </c>
      <c r="B147" s="1">
        <v>0</v>
      </c>
      <c r="C147">
        <v>0</v>
      </c>
      <c r="D147">
        <v>215.4</v>
      </c>
      <c r="E147" s="2">
        <v>0</v>
      </c>
      <c r="F147">
        <v>0</v>
      </c>
      <c r="G147">
        <v>600</v>
      </c>
      <c r="H147" s="3" t="s">
        <v>54</v>
      </c>
      <c r="I147" s="3" t="s">
        <v>59</v>
      </c>
      <c r="K147" s="3" t="s">
        <v>60</v>
      </c>
      <c r="L147" s="3" t="s">
        <v>60</v>
      </c>
      <c r="M147" s="3">
        <v>46056.394178240742</v>
      </c>
      <c r="Q147" t="s">
        <v>54</v>
      </c>
      <c r="R147">
        <v>0</v>
      </c>
      <c r="T147" t="s">
        <v>54</v>
      </c>
      <c r="U147" t="s">
        <v>54</v>
      </c>
      <c r="V147">
        <v>7986</v>
      </c>
      <c r="W147" t="s">
        <v>55</v>
      </c>
      <c r="X147" s="4"/>
      <c r="AA147" s="3"/>
      <c r="AE147" s="3"/>
      <c r="AK147" s="5"/>
    </row>
    <row r="148" spans="1:47" x14ac:dyDescent="0.25">
      <c r="A148" t="s">
        <v>96</v>
      </c>
      <c r="B148" s="1">
        <v>38509</v>
      </c>
      <c r="C148" t="s">
        <v>48</v>
      </c>
      <c r="D148" s="3" t="s">
        <v>49</v>
      </c>
      <c r="E148" s="2">
        <v>46056</v>
      </c>
      <c r="F148" t="s">
        <v>195</v>
      </c>
      <c r="G148" s="3" t="s">
        <v>66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 s="3">
        <v>364.15</v>
      </c>
      <c r="N148" t="s">
        <v>52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126</v>
      </c>
      <c r="V148" t="s">
        <v>56</v>
      </c>
      <c r="W148" t="s">
        <v>72</v>
      </c>
      <c r="X148" s="4">
        <v>0</v>
      </c>
      <c r="Y148" t="s">
        <v>62</v>
      </c>
      <c r="AB148" s="3"/>
      <c r="AE148" s="3"/>
      <c r="AK148" s="5"/>
    </row>
    <row r="149" spans="1:47" hidden="1" x14ac:dyDescent="0.25">
      <c r="A149" t="s">
        <v>63</v>
      </c>
      <c r="B149" s="1">
        <v>1240.83</v>
      </c>
      <c r="C149">
        <v>0</v>
      </c>
      <c r="D149">
        <v>0</v>
      </c>
      <c r="E149" s="2">
        <v>0</v>
      </c>
      <c r="F149">
        <v>0</v>
      </c>
      <c r="G149" s="3">
        <v>3175</v>
      </c>
      <c r="H149" s="3" t="s">
        <v>54</v>
      </c>
      <c r="I149" s="3" t="s">
        <v>59</v>
      </c>
      <c r="K149" s="3" t="s">
        <v>60</v>
      </c>
      <c r="L149" s="3" t="s">
        <v>60</v>
      </c>
      <c r="M149" s="3">
        <v>46056.411585648151</v>
      </c>
      <c r="Q149" t="s">
        <v>54</v>
      </c>
      <c r="R149">
        <v>0</v>
      </c>
      <c r="T149" t="s">
        <v>54</v>
      </c>
      <c r="U149" t="s">
        <v>54</v>
      </c>
      <c r="V149">
        <v>8454</v>
      </c>
      <c r="W149" t="s">
        <v>55</v>
      </c>
      <c r="X149" s="4"/>
      <c r="Z149" s="3"/>
      <c r="AB149" s="3"/>
      <c r="AE149" s="3"/>
      <c r="AK149" s="5"/>
    </row>
    <row r="150" spans="1:47" x14ac:dyDescent="0.25">
      <c r="A150" t="s">
        <v>96</v>
      </c>
      <c r="B150" s="1">
        <v>38510</v>
      </c>
      <c r="C150" t="s">
        <v>48</v>
      </c>
      <c r="D150" t="s">
        <v>49</v>
      </c>
      <c r="E150" s="2">
        <v>46056</v>
      </c>
      <c r="F150" t="s">
        <v>188</v>
      </c>
      <c r="G150" t="s">
        <v>189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 s="3">
        <v>448.5</v>
      </c>
      <c r="N150" t="s">
        <v>77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83</v>
      </c>
      <c r="V150" t="s">
        <v>121</v>
      </c>
      <c r="W150" t="s">
        <v>175</v>
      </c>
      <c r="X150" s="4">
        <v>0</v>
      </c>
      <c r="Y150" t="s">
        <v>62</v>
      </c>
      <c r="AD150" s="3"/>
      <c r="AE150" s="3"/>
      <c r="AK150" s="5"/>
    </row>
    <row r="151" spans="1:47" hidden="1" x14ac:dyDescent="0.25">
      <c r="A151" t="s">
        <v>63</v>
      </c>
      <c r="B151" s="1">
        <v>1380</v>
      </c>
      <c r="C151">
        <v>0</v>
      </c>
      <c r="D151">
        <v>0</v>
      </c>
      <c r="E151" s="2">
        <v>0</v>
      </c>
      <c r="F151">
        <v>0</v>
      </c>
      <c r="G151" s="3">
        <v>3000</v>
      </c>
      <c r="H151" s="3" t="s">
        <v>54</v>
      </c>
      <c r="I151" s="3" t="s">
        <v>59</v>
      </c>
      <c r="K151" s="3" t="s">
        <v>80</v>
      </c>
      <c r="L151" s="3" t="s">
        <v>73</v>
      </c>
      <c r="M151" s="3">
        <v>46056.637974537036</v>
      </c>
      <c r="Q151" t="s">
        <v>54</v>
      </c>
      <c r="R151">
        <v>0</v>
      </c>
      <c r="T151" t="s">
        <v>54</v>
      </c>
      <c r="U151" t="s">
        <v>54</v>
      </c>
      <c r="V151">
        <v>5908</v>
      </c>
      <c r="W151" t="s">
        <v>55</v>
      </c>
      <c r="X151" s="4"/>
      <c r="AB151" s="3"/>
      <c r="AK151" s="5"/>
    </row>
    <row r="152" spans="1:47" x14ac:dyDescent="0.25">
      <c r="A152" t="s">
        <v>96</v>
      </c>
      <c r="B152" s="1">
        <v>38511</v>
      </c>
      <c r="C152" t="s">
        <v>48</v>
      </c>
      <c r="D152" t="s">
        <v>49</v>
      </c>
      <c r="E152" s="2">
        <v>46056</v>
      </c>
      <c r="F152" t="s">
        <v>199</v>
      </c>
      <c r="G152" t="s">
        <v>200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106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92</v>
      </c>
      <c r="W152" t="s">
        <v>134</v>
      </c>
      <c r="X152" s="4">
        <v>0</v>
      </c>
      <c r="Y152" t="s">
        <v>58</v>
      </c>
      <c r="Z152">
        <v>0</v>
      </c>
      <c r="AA152">
        <v>0</v>
      </c>
      <c r="AB152">
        <v>0</v>
      </c>
      <c r="AC152">
        <v>0</v>
      </c>
      <c r="AD152" s="3">
        <v>2445.16</v>
      </c>
      <c r="AE152" s="3">
        <v>1461</v>
      </c>
      <c r="AF152" t="s">
        <v>54</v>
      </c>
      <c r="AG152" t="s">
        <v>59</v>
      </c>
      <c r="AH152" t="s">
        <v>79</v>
      </c>
      <c r="AI152" t="s">
        <v>73</v>
      </c>
      <c r="AJ152" t="s">
        <v>92</v>
      </c>
      <c r="AK152" s="5">
        <v>46056.690995370373</v>
      </c>
      <c r="AO152" t="s">
        <v>54</v>
      </c>
      <c r="AP152">
        <v>0</v>
      </c>
      <c r="AR152" t="s">
        <v>54</v>
      </c>
      <c r="AS152" t="s">
        <v>54</v>
      </c>
      <c r="AT152">
        <v>8600</v>
      </c>
      <c r="AU152" t="s">
        <v>55</v>
      </c>
    </row>
    <row r="153" spans="1:47" x14ac:dyDescent="0.25">
      <c r="A153" t="s">
        <v>47</v>
      </c>
      <c r="B153" s="1">
        <v>38512</v>
      </c>
      <c r="C153" t="s">
        <v>48</v>
      </c>
      <c r="D153" s="3" t="s">
        <v>49</v>
      </c>
      <c r="E153" s="2">
        <v>46056</v>
      </c>
      <c r="F153" t="s">
        <v>205</v>
      </c>
      <c r="G153" s="3" t="s">
        <v>69</v>
      </c>
      <c r="H153" s="3">
        <v>4845.8999999999996</v>
      </c>
      <c r="I153" s="3">
        <v>4845.8999999999996</v>
      </c>
      <c r="J153">
        <v>0</v>
      </c>
      <c r="K153" s="3">
        <v>5572.78</v>
      </c>
      <c r="L153" s="3">
        <v>922.55</v>
      </c>
      <c r="M153" s="3">
        <v>295.60000000000002</v>
      </c>
      <c r="N153" t="s">
        <v>77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83</v>
      </c>
      <c r="W153" t="s">
        <v>170</v>
      </c>
      <c r="X153" s="4">
        <v>0</v>
      </c>
      <c r="Y153" t="s">
        <v>62</v>
      </c>
      <c r="Z153" s="3"/>
      <c r="AE153" s="3"/>
      <c r="AK153" s="5"/>
    </row>
    <row r="154" spans="1:47" hidden="1" x14ac:dyDescent="0.25">
      <c r="A154" t="s">
        <v>63</v>
      </c>
      <c r="B154" s="1">
        <v>922.55</v>
      </c>
      <c r="C154">
        <v>0</v>
      </c>
      <c r="D154">
        <v>0</v>
      </c>
      <c r="E154" s="2">
        <v>0</v>
      </c>
      <c r="F154">
        <v>0</v>
      </c>
      <c r="G154" s="3">
        <v>1030</v>
      </c>
      <c r="H154" s="3" t="s">
        <v>54</v>
      </c>
      <c r="I154" s="3" t="s">
        <v>59</v>
      </c>
      <c r="K154" s="3" t="s">
        <v>80</v>
      </c>
      <c r="L154" s="3" t="s">
        <v>73</v>
      </c>
      <c r="M154" s="3">
        <v>46056.636597222219</v>
      </c>
      <c r="Q154" t="s">
        <v>54</v>
      </c>
      <c r="R154">
        <v>0</v>
      </c>
      <c r="T154" t="s">
        <v>54</v>
      </c>
      <c r="U154" t="s">
        <v>54</v>
      </c>
      <c r="V154">
        <v>7361</v>
      </c>
      <c r="W154" t="s">
        <v>55</v>
      </c>
      <c r="X154" s="4"/>
      <c r="Z154" s="3"/>
      <c r="AE154" s="3"/>
      <c r="AK154" s="5"/>
    </row>
    <row r="155" spans="1:47" x14ac:dyDescent="0.25">
      <c r="A155" t="s">
        <v>96</v>
      </c>
      <c r="B155" s="1">
        <v>38514</v>
      </c>
      <c r="C155" t="s">
        <v>48</v>
      </c>
      <c r="D155" t="s">
        <v>49</v>
      </c>
      <c r="E155" s="2">
        <v>46057</v>
      </c>
      <c r="F155" t="s">
        <v>203</v>
      </c>
      <c r="G155" s="3" t="s">
        <v>89</v>
      </c>
      <c r="H155" s="3">
        <v>7764</v>
      </c>
      <c r="I155" s="3">
        <v>7764</v>
      </c>
      <c r="J155">
        <v>0</v>
      </c>
      <c r="K155" s="3">
        <v>7764</v>
      </c>
      <c r="L155" s="3">
        <v>1257.2</v>
      </c>
      <c r="M155" s="3">
        <v>653.74</v>
      </c>
      <c r="N155" t="s">
        <v>52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126</v>
      </c>
      <c r="V155" t="s">
        <v>56</v>
      </c>
      <c r="W155" t="s">
        <v>90</v>
      </c>
      <c r="X155" s="4">
        <v>0</v>
      </c>
      <c r="Y155" t="s">
        <v>62</v>
      </c>
      <c r="AB155" s="3"/>
      <c r="AE155" s="3"/>
      <c r="AK155" s="5"/>
    </row>
    <row r="156" spans="1:47" hidden="1" x14ac:dyDescent="0.25">
      <c r="A156" t="s">
        <v>63</v>
      </c>
      <c r="B156" s="1">
        <v>0</v>
      </c>
      <c r="C156">
        <v>0</v>
      </c>
      <c r="D156">
        <v>0</v>
      </c>
      <c r="E156" s="2">
        <v>0</v>
      </c>
      <c r="F156" s="3">
        <v>1257.2</v>
      </c>
      <c r="G156" s="3">
        <v>3600</v>
      </c>
      <c r="H156" s="3" t="s">
        <v>54</v>
      </c>
      <c r="I156" s="3" t="s">
        <v>59</v>
      </c>
      <c r="K156" s="3" t="s">
        <v>60</v>
      </c>
      <c r="L156" s="3" t="s">
        <v>60</v>
      </c>
      <c r="M156" s="3">
        <v>46057.402233796296</v>
      </c>
      <c r="Q156" t="s">
        <v>54</v>
      </c>
      <c r="R156">
        <v>0</v>
      </c>
      <c r="T156" t="s">
        <v>54</v>
      </c>
      <c r="U156" t="s">
        <v>54</v>
      </c>
      <c r="V156">
        <v>8070</v>
      </c>
      <c r="W156" t="s">
        <v>55</v>
      </c>
      <c r="X156" s="4"/>
      <c r="AD156" s="3"/>
      <c r="AE156" s="3"/>
      <c r="AK156" s="5"/>
    </row>
    <row r="157" spans="1:47" x14ac:dyDescent="0.25">
      <c r="A157" t="s">
        <v>47</v>
      </c>
      <c r="B157" s="1">
        <v>38515</v>
      </c>
      <c r="C157" t="s">
        <v>48</v>
      </c>
      <c r="D157" t="s">
        <v>49</v>
      </c>
      <c r="E157" s="2">
        <v>46057</v>
      </c>
      <c r="F157" t="s">
        <v>149</v>
      </c>
      <c r="G157" t="s">
        <v>66</v>
      </c>
      <c r="H157" s="3">
        <v>1389.4</v>
      </c>
      <c r="I157" s="3">
        <v>1389.4</v>
      </c>
      <c r="J157">
        <v>0</v>
      </c>
      <c r="K157" s="3">
        <v>1597.81</v>
      </c>
      <c r="L157" s="3">
        <v>150.12</v>
      </c>
      <c r="M157" s="3">
        <v>112.29</v>
      </c>
      <c r="N157" t="s">
        <v>84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9</v>
      </c>
      <c r="V157" t="s">
        <v>71</v>
      </c>
      <c r="W157" t="s">
        <v>57</v>
      </c>
      <c r="X157" s="4">
        <v>0</v>
      </c>
      <c r="Y157" t="s">
        <v>58</v>
      </c>
      <c r="Z157" s="3">
        <v>0</v>
      </c>
      <c r="AA157">
        <v>0</v>
      </c>
      <c r="AB157">
        <v>150.12</v>
      </c>
      <c r="AC157">
        <v>0</v>
      </c>
      <c r="AD157" s="3">
        <v>0</v>
      </c>
      <c r="AE157" s="3">
        <v>40</v>
      </c>
      <c r="AF157" t="s">
        <v>54</v>
      </c>
      <c r="AG157" t="s">
        <v>59</v>
      </c>
      <c r="AI157" t="s">
        <v>73</v>
      </c>
      <c r="AJ157" t="s">
        <v>73</v>
      </c>
      <c r="AK157" s="5">
        <v>46057.414085648146</v>
      </c>
      <c r="AO157" t="s">
        <v>54</v>
      </c>
      <c r="AP157">
        <v>0</v>
      </c>
      <c r="AR157" t="s">
        <v>54</v>
      </c>
      <c r="AS157" t="s">
        <v>54</v>
      </c>
      <c r="AT157">
        <v>1009</v>
      </c>
      <c r="AU157" t="s">
        <v>55</v>
      </c>
    </row>
    <row r="158" spans="1:47" x14ac:dyDescent="0.25">
      <c r="A158" t="s">
        <v>96</v>
      </c>
      <c r="B158" s="1">
        <v>38516</v>
      </c>
      <c r="C158" t="s">
        <v>48</v>
      </c>
      <c r="D158" t="s">
        <v>49</v>
      </c>
      <c r="E158" s="2">
        <v>46057</v>
      </c>
      <c r="F158" t="s">
        <v>177</v>
      </c>
      <c r="G158" t="s">
        <v>66</v>
      </c>
      <c r="H158" s="3">
        <v>3850</v>
      </c>
      <c r="I158" s="3">
        <v>3850</v>
      </c>
      <c r="J158">
        <v>0</v>
      </c>
      <c r="K158" s="3">
        <v>3850</v>
      </c>
      <c r="L158" s="3">
        <v>1060</v>
      </c>
      <c r="M158" s="3">
        <v>319.3</v>
      </c>
      <c r="N158" t="s">
        <v>52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126</v>
      </c>
      <c r="V158" t="s">
        <v>56</v>
      </c>
      <c r="W158" t="s">
        <v>95</v>
      </c>
      <c r="X158" s="4">
        <v>0</v>
      </c>
      <c r="Y158" t="s">
        <v>58</v>
      </c>
      <c r="Z158" s="3">
        <v>1060</v>
      </c>
      <c r="AA158">
        <v>0</v>
      </c>
      <c r="AB158">
        <v>0</v>
      </c>
      <c r="AC158">
        <v>0</v>
      </c>
      <c r="AD158" s="3">
        <v>0</v>
      </c>
      <c r="AE158" s="3">
        <v>25000</v>
      </c>
      <c r="AF158" t="s">
        <v>54</v>
      </c>
      <c r="AG158" t="s">
        <v>59</v>
      </c>
      <c r="AH158" t="s">
        <v>164</v>
      </c>
      <c r="AI158" t="s">
        <v>60</v>
      </c>
      <c r="AJ158" t="s">
        <v>60</v>
      </c>
      <c r="AK158" s="5">
        <v>46057.417604166665</v>
      </c>
      <c r="AO158" t="s">
        <v>54</v>
      </c>
      <c r="AP158">
        <v>0</v>
      </c>
      <c r="AR158" t="s">
        <v>54</v>
      </c>
      <c r="AS158" t="s">
        <v>54</v>
      </c>
      <c r="AT158">
        <v>4759</v>
      </c>
      <c r="AU158" t="s">
        <v>55</v>
      </c>
    </row>
    <row r="159" spans="1:47" x14ac:dyDescent="0.25">
      <c r="A159" t="s">
        <v>47</v>
      </c>
      <c r="B159" s="1">
        <v>38517</v>
      </c>
      <c r="C159" t="s">
        <v>48</v>
      </c>
      <c r="D159" t="s">
        <v>49</v>
      </c>
      <c r="E159" s="2">
        <v>46057</v>
      </c>
      <c r="F159" t="s">
        <v>149</v>
      </c>
      <c r="G159" t="s">
        <v>66</v>
      </c>
      <c r="H159" s="3">
        <v>2165.1999999999998</v>
      </c>
      <c r="I159" s="3">
        <v>2165.1999999999998</v>
      </c>
      <c r="J159">
        <v>0</v>
      </c>
      <c r="K159" s="3">
        <v>2489.98</v>
      </c>
      <c r="L159" s="3">
        <v>210.16</v>
      </c>
      <c r="M159" s="3">
        <v>157.19999999999999</v>
      </c>
      <c r="N159" t="s">
        <v>84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9</v>
      </c>
      <c r="V159" t="s">
        <v>71</v>
      </c>
      <c r="W159" t="s">
        <v>57</v>
      </c>
      <c r="X159" s="4">
        <v>0</v>
      </c>
      <c r="Y159" t="s">
        <v>58</v>
      </c>
      <c r="Z159">
        <v>0</v>
      </c>
      <c r="AA159">
        <v>0</v>
      </c>
      <c r="AB159" s="3">
        <v>210.16</v>
      </c>
      <c r="AC159">
        <v>0</v>
      </c>
      <c r="AD159" s="3">
        <v>0</v>
      </c>
      <c r="AE159" s="3">
        <v>60</v>
      </c>
      <c r="AF159" t="s">
        <v>54</v>
      </c>
      <c r="AG159" t="s">
        <v>59</v>
      </c>
      <c r="AI159" t="s">
        <v>73</v>
      </c>
      <c r="AJ159" t="s">
        <v>73</v>
      </c>
      <c r="AK159" s="5">
        <v>46057.419872685183</v>
      </c>
      <c r="AO159" t="s">
        <v>54</v>
      </c>
      <c r="AP159">
        <v>0</v>
      </c>
      <c r="AR159" t="s">
        <v>54</v>
      </c>
      <c r="AS159" t="s">
        <v>54</v>
      </c>
      <c r="AT159">
        <v>1009</v>
      </c>
      <c r="AU159" t="s">
        <v>55</v>
      </c>
    </row>
    <row r="160" spans="1:47" x14ac:dyDescent="0.25">
      <c r="A160" t="s">
        <v>47</v>
      </c>
      <c r="B160" s="1">
        <v>38518</v>
      </c>
      <c r="C160" t="s">
        <v>48</v>
      </c>
      <c r="D160" t="s">
        <v>49</v>
      </c>
      <c r="E160" s="2">
        <v>46057</v>
      </c>
      <c r="F160" t="s">
        <v>149</v>
      </c>
      <c r="G160" t="s">
        <v>66</v>
      </c>
      <c r="H160" s="3">
        <v>5703.6</v>
      </c>
      <c r="I160" s="3">
        <v>5703.6</v>
      </c>
      <c r="J160">
        <v>0</v>
      </c>
      <c r="K160" s="3">
        <v>6133.79</v>
      </c>
      <c r="L160">
        <v>752.04</v>
      </c>
      <c r="M160" s="3">
        <v>351.59</v>
      </c>
      <c r="N160" t="s">
        <v>84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9</v>
      </c>
      <c r="V160" t="s">
        <v>71</v>
      </c>
      <c r="W160" t="s">
        <v>57</v>
      </c>
      <c r="X160" s="4">
        <v>0</v>
      </c>
      <c r="Y160" t="s">
        <v>58</v>
      </c>
      <c r="Z160">
        <v>530</v>
      </c>
      <c r="AA160">
        <v>0</v>
      </c>
      <c r="AB160">
        <v>222.04</v>
      </c>
      <c r="AC160">
        <v>0</v>
      </c>
      <c r="AD160">
        <v>0</v>
      </c>
      <c r="AE160" s="3">
        <v>1060</v>
      </c>
      <c r="AF160" t="s">
        <v>54</v>
      </c>
      <c r="AG160" t="s">
        <v>59</v>
      </c>
      <c r="AI160" t="s">
        <v>73</v>
      </c>
      <c r="AJ160" t="s">
        <v>73</v>
      </c>
      <c r="AK160" s="5">
        <v>46057.421446759261</v>
      </c>
      <c r="AO160" t="s">
        <v>54</v>
      </c>
      <c r="AP160">
        <v>0</v>
      </c>
      <c r="AR160" t="s">
        <v>54</v>
      </c>
      <c r="AS160" t="s">
        <v>54</v>
      </c>
      <c r="AT160">
        <v>1009</v>
      </c>
      <c r="AU160" t="s">
        <v>55</v>
      </c>
    </row>
    <row r="161" spans="1:47" x14ac:dyDescent="0.25">
      <c r="A161" t="s">
        <v>47</v>
      </c>
      <c r="B161" s="1">
        <v>38519</v>
      </c>
      <c r="C161" t="s">
        <v>48</v>
      </c>
      <c r="D161" t="s">
        <v>49</v>
      </c>
      <c r="E161" s="2">
        <v>46057</v>
      </c>
      <c r="F161" t="s">
        <v>149</v>
      </c>
      <c r="G161" t="s">
        <v>66</v>
      </c>
      <c r="H161" s="3">
        <v>2217.4</v>
      </c>
      <c r="I161" s="3">
        <v>2217.4</v>
      </c>
      <c r="J161">
        <v>0</v>
      </c>
      <c r="K161" s="3">
        <v>2550.0100000000002</v>
      </c>
      <c r="L161">
        <v>235.2</v>
      </c>
      <c r="M161" s="3">
        <v>175.93</v>
      </c>
      <c r="N161" t="s">
        <v>84</v>
      </c>
      <c r="O161" t="s">
        <v>53</v>
      </c>
      <c r="P161" t="s">
        <v>53</v>
      </c>
      <c r="Q161" t="s">
        <v>53</v>
      </c>
      <c r="R161" t="s">
        <v>54</v>
      </c>
      <c r="S161" t="s">
        <v>54</v>
      </c>
      <c r="T161" t="s">
        <v>55</v>
      </c>
      <c r="U161">
        <v>9</v>
      </c>
      <c r="V161" t="s">
        <v>71</v>
      </c>
      <c r="W161" t="s">
        <v>57</v>
      </c>
      <c r="X161" s="4">
        <v>0</v>
      </c>
      <c r="Y161" t="s">
        <v>58</v>
      </c>
      <c r="Z161">
        <v>0</v>
      </c>
      <c r="AA161">
        <v>0</v>
      </c>
      <c r="AB161">
        <v>235.2</v>
      </c>
      <c r="AC161">
        <v>0</v>
      </c>
      <c r="AD161">
        <v>0</v>
      </c>
      <c r="AE161">
        <v>60</v>
      </c>
      <c r="AF161" t="s">
        <v>54</v>
      </c>
      <c r="AG161" t="s">
        <v>59</v>
      </c>
      <c r="AI161" t="s">
        <v>73</v>
      </c>
      <c r="AJ161" t="s">
        <v>73</v>
      </c>
      <c r="AK161" s="5">
        <v>46057.424016203702</v>
      </c>
      <c r="AO161" t="s">
        <v>54</v>
      </c>
      <c r="AP161">
        <v>0</v>
      </c>
      <c r="AR161" t="s">
        <v>54</v>
      </c>
      <c r="AS161" t="s">
        <v>54</v>
      </c>
      <c r="AT161">
        <v>1009</v>
      </c>
      <c r="AU161" t="s">
        <v>55</v>
      </c>
    </row>
    <row r="162" spans="1:47" x14ac:dyDescent="0.25">
      <c r="A162" t="s">
        <v>96</v>
      </c>
      <c r="B162" s="1">
        <v>38521</v>
      </c>
      <c r="C162" t="s">
        <v>48</v>
      </c>
      <c r="D162" t="s">
        <v>49</v>
      </c>
      <c r="E162" s="2">
        <v>46057</v>
      </c>
      <c r="F162" t="s">
        <v>173</v>
      </c>
      <c r="G162" t="s">
        <v>69</v>
      </c>
      <c r="H162" s="3">
        <v>4709</v>
      </c>
      <c r="I162" s="3">
        <v>4709</v>
      </c>
      <c r="J162">
        <v>0</v>
      </c>
      <c r="K162" s="3">
        <v>4709</v>
      </c>
      <c r="L162" s="3">
        <v>969</v>
      </c>
      <c r="M162" s="3">
        <v>377.91</v>
      </c>
      <c r="N162" t="s">
        <v>84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9</v>
      </c>
      <c r="V162" t="s">
        <v>71</v>
      </c>
      <c r="W162" t="s">
        <v>152</v>
      </c>
      <c r="X162" s="4">
        <v>0</v>
      </c>
      <c r="Y162" t="s">
        <v>58</v>
      </c>
      <c r="Z162">
        <v>969</v>
      </c>
      <c r="AA162">
        <v>0</v>
      </c>
      <c r="AB162">
        <v>0</v>
      </c>
      <c r="AC162">
        <v>0</v>
      </c>
      <c r="AD162">
        <v>0</v>
      </c>
      <c r="AE162" s="3">
        <v>1700</v>
      </c>
      <c r="AF162" t="s">
        <v>54</v>
      </c>
      <c r="AG162" t="s">
        <v>59</v>
      </c>
      <c r="AI162" t="s">
        <v>73</v>
      </c>
      <c r="AJ162" t="s">
        <v>73</v>
      </c>
      <c r="AK162" s="5">
        <v>46057.615706018521</v>
      </c>
      <c r="AO162" t="s">
        <v>54</v>
      </c>
      <c r="AP162">
        <v>0</v>
      </c>
      <c r="AR162" t="s">
        <v>54</v>
      </c>
      <c r="AS162" t="s">
        <v>54</v>
      </c>
      <c r="AT162">
        <v>3508</v>
      </c>
      <c r="AU162" t="s">
        <v>55</v>
      </c>
    </row>
    <row r="163" spans="1:47" x14ac:dyDescent="0.25">
      <c r="A163" t="s">
        <v>47</v>
      </c>
      <c r="B163" s="1">
        <v>38523</v>
      </c>
      <c r="C163" t="s">
        <v>48</v>
      </c>
      <c r="D163" s="3" t="s">
        <v>49</v>
      </c>
      <c r="E163" s="2">
        <v>46057</v>
      </c>
      <c r="F163" t="s">
        <v>198</v>
      </c>
      <c r="G163" s="3" t="s">
        <v>189</v>
      </c>
      <c r="H163" s="3">
        <v>4020</v>
      </c>
      <c r="I163" s="3">
        <v>4020</v>
      </c>
      <c r="J163">
        <v>0</v>
      </c>
      <c r="K163" s="3">
        <v>4623</v>
      </c>
      <c r="L163" s="3">
        <v>732</v>
      </c>
      <c r="M163" s="3">
        <v>212.28</v>
      </c>
      <c r="N163" t="s">
        <v>84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9</v>
      </c>
      <c r="V163" t="s">
        <v>71</v>
      </c>
      <c r="W163" t="s">
        <v>117</v>
      </c>
      <c r="X163" s="4">
        <v>0</v>
      </c>
      <c r="Y163" t="s">
        <v>58</v>
      </c>
      <c r="Z163">
        <v>732</v>
      </c>
      <c r="AA163">
        <v>0</v>
      </c>
      <c r="AB163">
        <v>0</v>
      </c>
      <c r="AC163">
        <v>0</v>
      </c>
      <c r="AD163">
        <v>0</v>
      </c>
      <c r="AE163" s="3">
        <v>2000</v>
      </c>
      <c r="AF163" t="s">
        <v>54</v>
      </c>
      <c r="AG163" t="s">
        <v>59</v>
      </c>
      <c r="AI163" t="s">
        <v>73</v>
      </c>
      <c r="AJ163" t="s">
        <v>73</v>
      </c>
      <c r="AK163" s="5">
        <v>46057.694733796299</v>
      </c>
      <c r="AO163" t="s">
        <v>54</v>
      </c>
      <c r="AP163">
        <v>0</v>
      </c>
      <c r="AR163" t="s">
        <v>54</v>
      </c>
      <c r="AS163" t="s">
        <v>54</v>
      </c>
      <c r="AT163">
        <v>6401</v>
      </c>
      <c r="AU163" t="s">
        <v>55</v>
      </c>
    </row>
    <row r="164" spans="1:47" x14ac:dyDescent="0.25">
      <c r="A164" t="s">
        <v>96</v>
      </c>
      <c r="B164" s="1">
        <v>38524</v>
      </c>
      <c r="C164" t="s">
        <v>48</v>
      </c>
      <c r="D164" t="s">
        <v>49</v>
      </c>
      <c r="E164" s="2">
        <v>46057</v>
      </c>
      <c r="F164" s="3" t="s">
        <v>141</v>
      </c>
      <c r="G164" s="3" t="s">
        <v>94</v>
      </c>
      <c r="H164" s="3">
        <v>3960</v>
      </c>
      <c r="I164" s="3">
        <v>3960</v>
      </c>
      <c r="J164">
        <v>0</v>
      </c>
      <c r="K164" s="3">
        <v>3960</v>
      </c>
      <c r="L164" s="3">
        <v>1045</v>
      </c>
      <c r="M164" s="3">
        <v>303.05</v>
      </c>
      <c r="N164" t="s">
        <v>106</v>
      </c>
      <c r="O164" t="s">
        <v>53</v>
      </c>
      <c r="P164" t="s">
        <v>53</v>
      </c>
      <c r="Q164" t="s">
        <v>53</v>
      </c>
      <c r="R164" t="s">
        <v>54</v>
      </c>
      <c r="S164" t="s">
        <v>54</v>
      </c>
      <c r="T164" t="s">
        <v>55</v>
      </c>
      <c r="U164">
        <v>145</v>
      </c>
      <c r="W164" t="s">
        <v>142</v>
      </c>
      <c r="X164" s="4">
        <v>0</v>
      </c>
      <c r="Y164" t="s">
        <v>62</v>
      </c>
      <c r="Z164" s="3"/>
      <c r="AE164" s="3"/>
      <c r="AK164" s="5"/>
    </row>
    <row r="165" spans="1:47" hidden="1" x14ac:dyDescent="0.25">
      <c r="A165" t="s">
        <v>63</v>
      </c>
      <c r="B165" s="1">
        <v>1045</v>
      </c>
      <c r="C165">
        <v>0</v>
      </c>
      <c r="D165">
        <v>0</v>
      </c>
      <c r="E165" s="2">
        <v>0</v>
      </c>
      <c r="F165" s="3">
        <v>0</v>
      </c>
      <c r="G165" s="3">
        <v>2200</v>
      </c>
      <c r="H165" s="3" t="s">
        <v>54</v>
      </c>
      <c r="I165" s="3" t="s">
        <v>59</v>
      </c>
      <c r="J165" t="s">
        <v>143</v>
      </c>
      <c r="K165" s="3" t="s">
        <v>73</v>
      </c>
      <c r="L165" s="3" t="s">
        <v>73</v>
      </c>
      <c r="M165" s="3">
        <v>46057.728310185186</v>
      </c>
      <c r="Q165" t="s">
        <v>54</v>
      </c>
      <c r="R165">
        <v>0</v>
      </c>
      <c r="T165" t="s">
        <v>54</v>
      </c>
      <c r="U165" t="s">
        <v>54</v>
      </c>
      <c r="V165">
        <v>8241</v>
      </c>
      <c r="W165" t="s">
        <v>55</v>
      </c>
      <c r="X165" s="4"/>
    </row>
    <row r="166" spans="1:47" x14ac:dyDescent="0.25">
      <c r="A166" t="s">
        <v>96</v>
      </c>
      <c r="B166" s="1">
        <v>38525</v>
      </c>
      <c r="C166" t="s">
        <v>48</v>
      </c>
      <c r="D166" t="s">
        <v>49</v>
      </c>
      <c r="E166" s="2">
        <v>46058</v>
      </c>
      <c r="F166" s="3" t="s">
        <v>165</v>
      </c>
      <c r="G166" t="s">
        <v>69</v>
      </c>
      <c r="H166" s="3">
        <v>15280</v>
      </c>
      <c r="I166" s="3">
        <v>15280</v>
      </c>
      <c r="J166">
        <v>0</v>
      </c>
      <c r="K166" s="3">
        <v>15280</v>
      </c>
      <c r="L166" s="3">
        <v>2684</v>
      </c>
      <c r="M166" s="3">
        <v>1543.3</v>
      </c>
      <c r="N166" t="s">
        <v>52</v>
      </c>
      <c r="O166" t="s">
        <v>53</v>
      </c>
      <c r="P166" t="s">
        <v>53</v>
      </c>
      <c r="Q166" t="s">
        <v>53</v>
      </c>
      <c r="R166" t="s">
        <v>54</v>
      </c>
      <c r="S166" t="s">
        <v>54</v>
      </c>
      <c r="T166" t="s">
        <v>55</v>
      </c>
      <c r="U166">
        <v>126</v>
      </c>
      <c r="V166" t="s">
        <v>56</v>
      </c>
      <c r="W166" t="s">
        <v>152</v>
      </c>
      <c r="X166" s="4">
        <v>0</v>
      </c>
      <c r="Y166" t="s">
        <v>58</v>
      </c>
      <c r="Z166">
        <v>0</v>
      </c>
      <c r="AA166">
        <v>0</v>
      </c>
      <c r="AB166" s="3">
        <v>2684</v>
      </c>
      <c r="AC166">
        <v>0</v>
      </c>
      <c r="AD166">
        <v>0</v>
      </c>
      <c r="AE166" s="3">
        <v>4000</v>
      </c>
      <c r="AF166" t="s">
        <v>54</v>
      </c>
      <c r="AG166" t="s">
        <v>59</v>
      </c>
      <c r="AI166" t="s">
        <v>60</v>
      </c>
      <c r="AJ166" t="s">
        <v>60</v>
      </c>
      <c r="AK166" s="5">
        <v>46058.450324074074</v>
      </c>
      <c r="AO166" t="s">
        <v>54</v>
      </c>
      <c r="AP166">
        <v>0</v>
      </c>
      <c r="AR166" t="s">
        <v>54</v>
      </c>
      <c r="AS166" t="s">
        <v>54</v>
      </c>
      <c r="AT166">
        <v>322</v>
      </c>
      <c r="AU166" t="s">
        <v>55</v>
      </c>
    </row>
    <row r="167" spans="1:47" x14ac:dyDescent="0.25">
      <c r="A167" t="s">
        <v>47</v>
      </c>
      <c r="B167" s="1">
        <v>38526</v>
      </c>
      <c r="C167" t="s">
        <v>48</v>
      </c>
      <c r="D167" t="s">
        <v>49</v>
      </c>
      <c r="E167" s="2">
        <v>46059</v>
      </c>
      <c r="F167" s="3" t="s">
        <v>112</v>
      </c>
      <c r="G167" s="3" t="s">
        <v>113</v>
      </c>
      <c r="H167" s="3">
        <v>8100</v>
      </c>
      <c r="I167" s="3">
        <v>8100</v>
      </c>
      <c r="J167">
        <v>0</v>
      </c>
      <c r="K167" s="3">
        <v>8100</v>
      </c>
      <c r="L167" s="3">
        <v>1098</v>
      </c>
      <c r="M167" s="3">
        <v>700.52</v>
      </c>
      <c r="N167" t="s">
        <v>52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126</v>
      </c>
      <c r="V167" t="s">
        <v>56</v>
      </c>
      <c r="W167" t="s">
        <v>78</v>
      </c>
      <c r="X167" s="4">
        <v>0</v>
      </c>
      <c r="Y167" t="s">
        <v>58</v>
      </c>
      <c r="Z167">
        <v>0</v>
      </c>
      <c r="AA167">
        <v>0</v>
      </c>
      <c r="AB167" s="3">
        <v>1098</v>
      </c>
      <c r="AC167">
        <v>0</v>
      </c>
      <c r="AD167">
        <v>0</v>
      </c>
      <c r="AE167" s="3">
        <v>1500</v>
      </c>
      <c r="AF167" t="s">
        <v>54</v>
      </c>
      <c r="AG167" t="s">
        <v>59</v>
      </c>
      <c r="AH167" t="s">
        <v>115</v>
      </c>
      <c r="AI167" t="s">
        <v>92</v>
      </c>
      <c r="AJ167" t="s">
        <v>92</v>
      </c>
      <c r="AK167" s="5">
        <v>46059.494930555556</v>
      </c>
      <c r="AO167" t="s">
        <v>54</v>
      </c>
      <c r="AP167">
        <v>0</v>
      </c>
      <c r="AR167" t="s">
        <v>54</v>
      </c>
      <c r="AS167" t="s">
        <v>54</v>
      </c>
      <c r="AT167">
        <v>4089</v>
      </c>
      <c r="AU167" t="s">
        <v>55</v>
      </c>
    </row>
    <row r="168" spans="1:47" x14ac:dyDescent="0.25">
      <c r="A168" t="s">
        <v>47</v>
      </c>
      <c r="B168" s="1">
        <v>38527</v>
      </c>
      <c r="C168" t="s">
        <v>48</v>
      </c>
      <c r="D168" t="s">
        <v>49</v>
      </c>
      <c r="E168" s="2">
        <v>46059</v>
      </c>
      <c r="F168" t="s">
        <v>101</v>
      </c>
      <c r="G168" t="s">
        <v>94</v>
      </c>
      <c r="H168" s="3">
        <v>68640</v>
      </c>
      <c r="I168" s="3">
        <v>68640</v>
      </c>
      <c r="J168">
        <v>0</v>
      </c>
      <c r="K168" s="3">
        <v>78936</v>
      </c>
      <c r="L168" s="3">
        <v>14277</v>
      </c>
      <c r="M168" s="3">
        <v>5021.04</v>
      </c>
      <c r="N168" t="s">
        <v>84</v>
      </c>
      <c r="O168" t="s">
        <v>53</v>
      </c>
      <c r="P168" t="s">
        <v>53</v>
      </c>
      <c r="Q168" t="s">
        <v>53</v>
      </c>
      <c r="R168" t="s">
        <v>54</v>
      </c>
      <c r="S168" t="s">
        <v>54</v>
      </c>
      <c r="T168" t="s">
        <v>55</v>
      </c>
      <c r="U168">
        <v>9</v>
      </c>
      <c r="V168" t="s">
        <v>71</v>
      </c>
      <c r="W168" t="s">
        <v>102</v>
      </c>
      <c r="X168" s="4">
        <v>0</v>
      </c>
      <c r="Y168" t="s">
        <v>58</v>
      </c>
      <c r="Z168" s="3">
        <v>14277</v>
      </c>
      <c r="AA168">
        <v>0</v>
      </c>
      <c r="AB168">
        <v>0</v>
      </c>
      <c r="AC168">
        <v>0</v>
      </c>
      <c r="AD168">
        <v>0</v>
      </c>
      <c r="AE168" s="3">
        <v>21000</v>
      </c>
      <c r="AF168" t="s">
        <v>54</v>
      </c>
      <c r="AG168" t="s">
        <v>59</v>
      </c>
      <c r="AH168" t="s">
        <v>103</v>
      </c>
      <c r="AI168" t="s">
        <v>92</v>
      </c>
      <c r="AJ168" t="s">
        <v>92</v>
      </c>
      <c r="AK168" s="5">
        <v>46059.544537037036</v>
      </c>
      <c r="AO168" t="s">
        <v>54</v>
      </c>
      <c r="AP168">
        <v>0</v>
      </c>
      <c r="AR168" t="s">
        <v>54</v>
      </c>
      <c r="AS168" t="s">
        <v>54</v>
      </c>
      <c r="AT168">
        <v>161</v>
      </c>
      <c r="AU168" t="s">
        <v>55</v>
      </c>
    </row>
    <row r="169" spans="1:47" x14ac:dyDescent="0.25">
      <c r="A169" t="s">
        <v>47</v>
      </c>
      <c r="B169" s="1">
        <v>38528</v>
      </c>
      <c r="C169" t="s">
        <v>48</v>
      </c>
      <c r="D169" s="3" t="s">
        <v>49</v>
      </c>
      <c r="E169" s="2">
        <v>46059</v>
      </c>
      <c r="F169" t="s">
        <v>129</v>
      </c>
      <c r="G169" s="3" t="s">
        <v>130</v>
      </c>
      <c r="H169" s="3">
        <v>12082</v>
      </c>
      <c r="I169" s="3">
        <v>12082</v>
      </c>
      <c r="J169">
        <v>0</v>
      </c>
      <c r="K169" s="3">
        <v>13894.3</v>
      </c>
      <c r="L169" s="3">
        <v>2395.16</v>
      </c>
      <c r="M169" s="3">
        <v>897.31</v>
      </c>
      <c r="N169" t="s">
        <v>52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126</v>
      </c>
      <c r="V169" t="s">
        <v>56</v>
      </c>
      <c r="W169" t="s">
        <v>78</v>
      </c>
      <c r="X169" s="4">
        <v>0</v>
      </c>
      <c r="Y169" t="s">
        <v>62</v>
      </c>
      <c r="AB169" s="3"/>
      <c r="AE169" s="3"/>
      <c r="AK169" s="5"/>
    </row>
    <row r="170" spans="1:47" hidden="1" x14ac:dyDescent="0.25">
      <c r="A170" t="s">
        <v>63</v>
      </c>
      <c r="B170" s="1">
        <v>2102.36</v>
      </c>
      <c r="C170">
        <v>0</v>
      </c>
      <c r="D170">
        <v>0</v>
      </c>
      <c r="E170" s="2">
        <v>0</v>
      </c>
      <c r="F170">
        <v>292.8</v>
      </c>
      <c r="G170" s="3">
        <v>3820</v>
      </c>
      <c r="H170" s="3" t="s">
        <v>54</v>
      </c>
      <c r="I170" s="3" t="s">
        <v>59</v>
      </c>
      <c r="K170" s="3" t="s">
        <v>60</v>
      </c>
      <c r="L170" s="3" t="s">
        <v>60</v>
      </c>
      <c r="M170" s="3">
        <v>46059.583055555559</v>
      </c>
      <c r="Q170" t="s">
        <v>54</v>
      </c>
      <c r="R170">
        <v>0</v>
      </c>
      <c r="T170" t="s">
        <v>54</v>
      </c>
      <c r="U170" t="s">
        <v>54</v>
      </c>
      <c r="V170">
        <v>6379</v>
      </c>
      <c r="W170" t="s">
        <v>55</v>
      </c>
      <c r="X170" s="4"/>
      <c r="AD170" s="3"/>
      <c r="AE170" s="3"/>
      <c r="AK170" s="5"/>
    </row>
    <row r="171" spans="1:47" x14ac:dyDescent="0.25">
      <c r="A171" t="s">
        <v>96</v>
      </c>
      <c r="B171" s="1">
        <v>38530</v>
      </c>
      <c r="C171" t="s">
        <v>48</v>
      </c>
      <c r="D171" t="s">
        <v>49</v>
      </c>
      <c r="E171" s="2">
        <v>46059</v>
      </c>
      <c r="F171" t="s">
        <v>210</v>
      </c>
      <c r="G171" t="s">
        <v>119</v>
      </c>
      <c r="H171" s="3">
        <v>1569</v>
      </c>
      <c r="I171" s="3">
        <v>1569</v>
      </c>
      <c r="J171">
        <v>0</v>
      </c>
      <c r="K171" s="3">
        <v>1569</v>
      </c>
      <c r="L171" s="3">
        <v>297.89999999999998</v>
      </c>
      <c r="M171" s="3">
        <v>96.82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56</v>
      </c>
      <c r="W171" t="s">
        <v>95</v>
      </c>
      <c r="X171" s="4">
        <v>0</v>
      </c>
      <c r="Y171" t="s">
        <v>62</v>
      </c>
      <c r="AB171" s="3"/>
      <c r="AK171" s="5"/>
    </row>
    <row r="172" spans="1:47" hidden="1" x14ac:dyDescent="0.25">
      <c r="A172" t="s">
        <v>63</v>
      </c>
      <c r="B172" s="1">
        <v>297.89999999999998</v>
      </c>
      <c r="C172">
        <v>0</v>
      </c>
      <c r="D172">
        <v>0</v>
      </c>
      <c r="E172" s="2">
        <v>0</v>
      </c>
      <c r="F172">
        <v>0</v>
      </c>
      <c r="G172" s="3">
        <v>700</v>
      </c>
      <c r="H172" t="s">
        <v>54</v>
      </c>
      <c r="I172" t="s">
        <v>59</v>
      </c>
      <c r="K172" t="s">
        <v>60</v>
      </c>
      <c r="L172" t="s">
        <v>60</v>
      </c>
      <c r="M172" s="3">
        <v>46059.62740740741</v>
      </c>
      <c r="Q172" t="s">
        <v>54</v>
      </c>
      <c r="R172">
        <v>0</v>
      </c>
      <c r="T172" t="s">
        <v>54</v>
      </c>
      <c r="U172" t="s">
        <v>54</v>
      </c>
      <c r="V172">
        <v>8501</v>
      </c>
      <c r="W172" t="s">
        <v>55</v>
      </c>
      <c r="X172" s="4"/>
    </row>
    <row r="173" spans="1:47" x14ac:dyDescent="0.25">
      <c r="A173" t="s">
        <v>47</v>
      </c>
      <c r="B173" s="1">
        <v>38531</v>
      </c>
      <c r="C173" t="s">
        <v>48</v>
      </c>
      <c r="D173" t="s">
        <v>49</v>
      </c>
      <c r="E173" s="2">
        <v>46062</v>
      </c>
      <c r="F173" t="s">
        <v>68</v>
      </c>
      <c r="G173" t="s">
        <v>69</v>
      </c>
      <c r="H173" s="3">
        <v>3220</v>
      </c>
      <c r="I173" s="3">
        <v>3220</v>
      </c>
      <c r="J173">
        <v>0</v>
      </c>
      <c r="K173" s="3">
        <v>3703</v>
      </c>
      <c r="L173" s="3">
        <v>516</v>
      </c>
      <c r="M173" s="3">
        <v>242.52</v>
      </c>
      <c r="N173" t="s">
        <v>70</v>
      </c>
      <c r="O173" t="s">
        <v>53</v>
      </c>
      <c r="P173" t="s">
        <v>53</v>
      </c>
      <c r="Q173" t="s">
        <v>53</v>
      </c>
      <c r="R173" t="s">
        <v>54</v>
      </c>
      <c r="S173" t="s">
        <v>54</v>
      </c>
      <c r="T173" t="s">
        <v>55</v>
      </c>
      <c r="U173">
        <v>76</v>
      </c>
      <c r="V173" t="s">
        <v>71</v>
      </c>
      <c r="W173" t="s">
        <v>72</v>
      </c>
      <c r="X173" s="4">
        <v>0</v>
      </c>
      <c r="Y173" t="s">
        <v>62</v>
      </c>
      <c r="AB173" s="3"/>
      <c r="AK173" s="5"/>
    </row>
    <row r="174" spans="1:47" hidden="1" x14ac:dyDescent="0.25">
      <c r="A174" t="s">
        <v>63</v>
      </c>
      <c r="B174" s="1">
        <v>0</v>
      </c>
      <c r="C174">
        <v>0</v>
      </c>
      <c r="D174">
        <v>0</v>
      </c>
      <c r="E174" s="2">
        <v>0</v>
      </c>
      <c r="F174">
        <v>516</v>
      </c>
      <c r="G174" s="3">
        <v>400</v>
      </c>
      <c r="H174" s="3" t="s">
        <v>54</v>
      </c>
      <c r="I174" s="3" t="s">
        <v>59</v>
      </c>
      <c r="K174" s="3" t="s">
        <v>73</v>
      </c>
      <c r="L174" s="3" t="s">
        <v>73</v>
      </c>
      <c r="M174" s="3">
        <v>46062.387812499997</v>
      </c>
      <c r="Q174" t="s">
        <v>54</v>
      </c>
      <c r="R174">
        <v>0</v>
      </c>
      <c r="T174" t="s">
        <v>54</v>
      </c>
      <c r="U174" t="s">
        <v>54</v>
      </c>
      <c r="V174">
        <v>139</v>
      </c>
      <c r="W174" t="s">
        <v>55</v>
      </c>
      <c r="X174" s="4"/>
      <c r="Z174" s="3"/>
      <c r="AB174" s="3"/>
      <c r="AE174" s="3"/>
      <c r="AK174" s="5"/>
    </row>
    <row r="175" spans="1:47" x14ac:dyDescent="0.25">
      <c r="A175" t="s">
        <v>96</v>
      </c>
      <c r="B175" s="1">
        <v>38532</v>
      </c>
      <c r="C175" t="s">
        <v>48</v>
      </c>
      <c r="D175" t="s">
        <v>49</v>
      </c>
      <c r="E175" s="2">
        <v>46062</v>
      </c>
      <c r="F175" t="s">
        <v>192</v>
      </c>
      <c r="G175" t="s">
        <v>94</v>
      </c>
      <c r="H175" s="3">
        <v>12428</v>
      </c>
      <c r="I175" s="3">
        <v>12428</v>
      </c>
      <c r="J175">
        <v>0</v>
      </c>
      <c r="K175" s="3">
        <v>12428</v>
      </c>
      <c r="L175" s="3">
        <v>1247.4000000000001</v>
      </c>
      <c r="M175" s="3">
        <v>790.23</v>
      </c>
      <c r="N175" t="s">
        <v>193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138</v>
      </c>
      <c r="V175" t="s">
        <v>145</v>
      </c>
      <c r="W175" t="s">
        <v>72</v>
      </c>
      <c r="X175" s="4">
        <v>0</v>
      </c>
      <c r="Y175" t="s">
        <v>62</v>
      </c>
      <c r="AB175" s="3"/>
      <c r="AK175" s="5"/>
    </row>
    <row r="176" spans="1:47" hidden="1" x14ac:dyDescent="0.25">
      <c r="A176" t="s">
        <v>63</v>
      </c>
      <c r="B176" s="3">
        <v>0</v>
      </c>
      <c r="C176">
        <v>0</v>
      </c>
      <c r="D176" s="3">
        <v>259</v>
      </c>
      <c r="E176" s="2">
        <v>0</v>
      </c>
      <c r="F176">
        <v>988.4</v>
      </c>
      <c r="G176" s="3">
        <v>3400</v>
      </c>
      <c r="H176" s="3" t="s">
        <v>54</v>
      </c>
      <c r="I176" s="3" t="s">
        <v>59</v>
      </c>
      <c r="J176" t="s">
        <v>143</v>
      </c>
      <c r="K176" s="3" t="s">
        <v>92</v>
      </c>
      <c r="L176" t="s">
        <v>92</v>
      </c>
      <c r="M176" s="3">
        <v>46062.607604166667</v>
      </c>
      <c r="Q176" t="s">
        <v>54</v>
      </c>
      <c r="R176">
        <v>0</v>
      </c>
      <c r="T176" t="s">
        <v>54</v>
      </c>
      <c r="U176" t="s">
        <v>54</v>
      </c>
      <c r="V176">
        <v>2162</v>
      </c>
      <c r="W176" t="s">
        <v>55</v>
      </c>
      <c r="X176" s="4"/>
    </row>
    <row r="177" spans="1:47" x14ac:dyDescent="0.25">
      <c r="A177" t="s">
        <v>47</v>
      </c>
      <c r="B177" s="1">
        <v>38534</v>
      </c>
      <c r="C177" t="s">
        <v>48</v>
      </c>
      <c r="D177" t="s">
        <v>49</v>
      </c>
      <c r="E177" s="2">
        <v>46062</v>
      </c>
      <c r="F177" t="s">
        <v>218</v>
      </c>
      <c r="G177" t="s">
        <v>69</v>
      </c>
      <c r="H177" s="3">
        <v>240</v>
      </c>
      <c r="I177" s="3">
        <v>240</v>
      </c>
      <c r="J177">
        <v>0</v>
      </c>
      <c r="K177" s="3">
        <v>276</v>
      </c>
      <c r="L177" s="3">
        <v>68.400000000000006</v>
      </c>
      <c r="M177" s="3">
        <v>19.84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194</v>
      </c>
      <c r="X177" s="4">
        <v>0</v>
      </c>
      <c r="Y177" t="s">
        <v>62</v>
      </c>
    </row>
    <row r="178" spans="1:47" hidden="1" x14ac:dyDescent="0.25">
      <c r="A178" t="s">
        <v>63</v>
      </c>
      <c r="B178" s="1">
        <v>68.400000000000006</v>
      </c>
      <c r="C178">
        <v>0</v>
      </c>
      <c r="D178" s="3">
        <v>0</v>
      </c>
      <c r="E178" s="2">
        <v>0</v>
      </c>
      <c r="F178">
        <v>0</v>
      </c>
      <c r="G178" s="3">
        <v>60</v>
      </c>
      <c r="H178" s="3" t="s">
        <v>54</v>
      </c>
      <c r="I178" s="3" t="s">
        <v>59</v>
      </c>
      <c r="K178" s="3" t="s">
        <v>80</v>
      </c>
      <c r="L178" t="s">
        <v>73</v>
      </c>
      <c r="M178" s="3">
        <v>46062.663541666669</v>
      </c>
      <c r="Q178" t="s">
        <v>54</v>
      </c>
      <c r="R178">
        <v>0</v>
      </c>
      <c r="T178" t="s">
        <v>54</v>
      </c>
      <c r="U178" t="s">
        <v>54</v>
      </c>
      <c r="V178">
        <v>8858</v>
      </c>
      <c r="W178" t="s">
        <v>55</v>
      </c>
      <c r="X178" s="4"/>
      <c r="AK178" s="5"/>
    </row>
    <row r="179" spans="1:47" x14ac:dyDescent="0.25">
      <c r="A179" t="s">
        <v>47</v>
      </c>
      <c r="B179" s="1">
        <v>38535</v>
      </c>
      <c r="C179" t="s">
        <v>48</v>
      </c>
      <c r="D179" t="s">
        <v>49</v>
      </c>
      <c r="E179" s="2">
        <v>46062</v>
      </c>
      <c r="F179" t="s">
        <v>112</v>
      </c>
      <c r="G179" t="s">
        <v>113</v>
      </c>
      <c r="H179" s="3">
        <v>8160</v>
      </c>
      <c r="I179" s="3">
        <v>8160</v>
      </c>
      <c r="J179">
        <v>0</v>
      </c>
      <c r="K179" s="3">
        <v>8160</v>
      </c>
      <c r="L179" s="3">
        <v>1118</v>
      </c>
      <c r="M179" s="3">
        <v>609.30999999999995</v>
      </c>
      <c r="N179" t="s">
        <v>52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126</v>
      </c>
      <c r="V179" t="s">
        <v>56</v>
      </c>
      <c r="W179" t="s">
        <v>78</v>
      </c>
      <c r="X179" s="4">
        <v>0</v>
      </c>
      <c r="Y179" t="s">
        <v>58</v>
      </c>
      <c r="Z179" s="3">
        <v>1118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54</v>
      </c>
      <c r="AG179" t="s">
        <v>59</v>
      </c>
      <c r="AH179" t="s">
        <v>115</v>
      </c>
      <c r="AI179" t="s">
        <v>92</v>
      </c>
      <c r="AJ179" t="s">
        <v>92</v>
      </c>
      <c r="AK179" s="5">
        <v>46062.690451388888</v>
      </c>
      <c r="AO179" t="s">
        <v>54</v>
      </c>
      <c r="AP179">
        <v>0</v>
      </c>
      <c r="AR179" t="s">
        <v>54</v>
      </c>
      <c r="AS179" t="s">
        <v>54</v>
      </c>
      <c r="AT179">
        <v>4089</v>
      </c>
      <c r="AU179" t="s">
        <v>55</v>
      </c>
    </row>
    <row r="180" spans="1:47" x14ac:dyDescent="0.25">
      <c r="A180" t="s">
        <v>47</v>
      </c>
      <c r="B180" s="3">
        <v>38536</v>
      </c>
      <c r="C180" t="s">
        <v>48</v>
      </c>
      <c r="D180" t="s">
        <v>49</v>
      </c>
      <c r="E180" s="2">
        <v>46062</v>
      </c>
      <c r="F180" t="s">
        <v>101</v>
      </c>
      <c r="G180" s="3" t="s">
        <v>94</v>
      </c>
      <c r="H180" s="3">
        <v>7490</v>
      </c>
      <c r="I180" s="3">
        <v>7490</v>
      </c>
      <c r="J180">
        <v>0</v>
      </c>
      <c r="K180" s="3">
        <v>8613.5</v>
      </c>
      <c r="L180" s="3">
        <v>1578</v>
      </c>
      <c r="M180" s="3">
        <v>499.74</v>
      </c>
      <c r="N180" t="s">
        <v>84</v>
      </c>
      <c r="O180" t="s">
        <v>53</v>
      </c>
      <c r="P180" t="s">
        <v>53</v>
      </c>
      <c r="Q180" t="s">
        <v>53</v>
      </c>
      <c r="R180" t="s">
        <v>54</v>
      </c>
      <c r="S180" t="s">
        <v>54</v>
      </c>
      <c r="T180" t="s">
        <v>55</v>
      </c>
      <c r="U180">
        <v>9</v>
      </c>
      <c r="V180" t="s">
        <v>71</v>
      </c>
      <c r="W180" t="s">
        <v>102</v>
      </c>
      <c r="X180" s="4">
        <v>0</v>
      </c>
      <c r="Y180" t="s">
        <v>58</v>
      </c>
      <c r="Z180" s="3">
        <v>1578</v>
      </c>
      <c r="AA180">
        <v>0</v>
      </c>
      <c r="AB180" s="3">
        <v>0</v>
      </c>
      <c r="AC180">
        <v>0</v>
      </c>
      <c r="AD180">
        <v>0</v>
      </c>
      <c r="AE180" s="3">
        <v>5000</v>
      </c>
      <c r="AF180" t="s">
        <v>54</v>
      </c>
      <c r="AG180" t="s">
        <v>59</v>
      </c>
      <c r="AH180" t="s">
        <v>103</v>
      </c>
      <c r="AI180" t="s">
        <v>92</v>
      </c>
      <c r="AJ180" t="s">
        <v>92</v>
      </c>
      <c r="AK180" s="5">
        <v>46062.736458333333</v>
      </c>
      <c r="AO180" t="s">
        <v>54</v>
      </c>
      <c r="AP180">
        <v>0</v>
      </c>
      <c r="AR180" t="s">
        <v>54</v>
      </c>
      <c r="AS180" t="s">
        <v>54</v>
      </c>
      <c r="AT180">
        <v>161</v>
      </c>
      <c r="AU180" t="s">
        <v>55</v>
      </c>
    </row>
    <row r="181" spans="1:47" x14ac:dyDescent="0.25">
      <c r="A181" t="s">
        <v>96</v>
      </c>
      <c r="B181" s="1">
        <v>38537</v>
      </c>
      <c r="C181" t="s">
        <v>48</v>
      </c>
      <c r="D181" t="s">
        <v>49</v>
      </c>
      <c r="E181" s="2">
        <v>46063</v>
      </c>
      <c r="F181" t="s">
        <v>144</v>
      </c>
      <c r="G181" t="s">
        <v>66</v>
      </c>
      <c r="H181" s="3">
        <v>15450</v>
      </c>
      <c r="I181" s="3">
        <v>15450</v>
      </c>
      <c r="J181">
        <v>0</v>
      </c>
      <c r="K181" s="3">
        <v>15450</v>
      </c>
      <c r="L181" s="3">
        <v>2910</v>
      </c>
      <c r="M181" s="3">
        <v>1367.7</v>
      </c>
      <c r="N181" t="s">
        <v>84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9</v>
      </c>
      <c r="V181" t="s">
        <v>145</v>
      </c>
      <c r="W181" t="s">
        <v>146</v>
      </c>
      <c r="X181" s="4">
        <v>0</v>
      </c>
      <c r="Y181" t="s">
        <v>58</v>
      </c>
      <c r="Z181">
        <v>0</v>
      </c>
      <c r="AA181">
        <v>0</v>
      </c>
      <c r="AB181">
        <v>0</v>
      </c>
      <c r="AC181">
        <v>0</v>
      </c>
      <c r="AD181" s="3">
        <v>2910</v>
      </c>
      <c r="AE181" s="3">
        <v>5000</v>
      </c>
      <c r="AF181" t="s">
        <v>54</v>
      </c>
      <c r="AG181" t="s">
        <v>59</v>
      </c>
      <c r="AI181" t="s">
        <v>73</v>
      </c>
      <c r="AJ181" t="s">
        <v>73</v>
      </c>
      <c r="AK181" s="5">
        <v>46063.376909722225</v>
      </c>
      <c r="AO181" t="s">
        <v>54</v>
      </c>
      <c r="AP181">
        <v>0</v>
      </c>
      <c r="AR181" t="s">
        <v>54</v>
      </c>
      <c r="AS181" t="s">
        <v>54</v>
      </c>
      <c r="AT181">
        <v>1301</v>
      </c>
      <c r="AU181" t="s">
        <v>55</v>
      </c>
    </row>
    <row r="182" spans="1:47" x14ac:dyDescent="0.25">
      <c r="A182" t="s">
        <v>96</v>
      </c>
      <c r="B182" s="1">
        <v>38538</v>
      </c>
      <c r="C182" t="s">
        <v>48</v>
      </c>
      <c r="D182" t="s">
        <v>49</v>
      </c>
      <c r="E182" s="2">
        <v>46063</v>
      </c>
      <c r="F182" t="s">
        <v>144</v>
      </c>
      <c r="G182" s="3" t="s">
        <v>66</v>
      </c>
      <c r="H182" s="3">
        <v>15450</v>
      </c>
      <c r="I182" s="3">
        <v>15450</v>
      </c>
      <c r="J182">
        <v>0</v>
      </c>
      <c r="K182" s="3">
        <v>15450</v>
      </c>
      <c r="L182" s="3">
        <v>2910</v>
      </c>
      <c r="M182" s="3">
        <v>1367.7</v>
      </c>
      <c r="N182" t="s">
        <v>84</v>
      </c>
      <c r="O182" t="s">
        <v>53</v>
      </c>
      <c r="P182" t="s">
        <v>53</v>
      </c>
      <c r="Q182" t="s">
        <v>53</v>
      </c>
      <c r="R182" t="s">
        <v>54</v>
      </c>
      <c r="S182" t="s">
        <v>54</v>
      </c>
      <c r="T182" t="s">
        <v>55</v>
      </c>
      <c r="U182">
        <v>9</v>
      </c>
      <c r="V182" t="s">
        <v>145</v>
      </c>
      <c r="W182" t="s">
        <v>146</v>
      </c>
      <c r="X182" s="4">
        <v>0</v>
      </c>
      <c r="Y182" t="s">
        <v>58</v>
      </c>
      <c r="Z182" s="3">
        <v>0</v>
      </c>
      <c r="AA182">
        <v>0</v>
      </c>
      <c r="AB182">
        <v>0</v>
      </c>
      <c r="AC182">
        <v>0</v>
      </c>
      <c r="AD182" s="3">
        <v>2910</v>
      </c>
      <c r="AE182" s="3">
        <v>5000</v>
      </c>
      <c r="AF182" t="s">
        <v>54</v>
      </c>
      <c r="AG182" t="s">
        <v>59</v>
      </c>
      <c r="AI182" t="s">
        <v>73</v>
      </c>
      <c r="AJ182" t="s">
        <v>73</v>
      </c>
      <c r="AK182" s="5">
        <v>46063.376122685186</v>
      </c>
      <c r="AO182" t="s">
        <v>54</v>
      </c>
      <c r="AP182">
        <v>0</v>
      </c>
      <c r="AR182" t="s">
        <v>54</v>
      </c>
      <c r="AS182" t="s">
        <v>54</v>
      </c>
      <c r="AT182">
        <v>1301</v>
      </c>
      <c r="AU182" t="s">
        <v>55</v>
      </c>
    </row>
    <row r="183" spans="1:47" x14ac:dyDescent="0.25">
      <c r="A183" t="s">
        <v>96</v>
      </c>
      <c r="B183" s="1">
        <v>38540</v>
      </c>
      <c r="C183" t="s">
        <v>48</v>
      </c>
      <c r="D183" t="s">
        <v>49</v>
      </c>
      <c r="E183" s="2">
        <v>46063</v>
      </c>
      <c r="F183" t="s">
        <v>183</v>
      </c>
      <c r="G183" t="s">
        <v>184</v>
      </c>
      <c r="H183" s="3">
        <v>4360</v>
      </c>
      <c r="I183" s="3">
        <v>4360</v>
      </c>
      <c r="J183">
        <v>0</v>
      </c>
      <c r="K183" s="3">
        <v>4360</v>
      </c>
      <c r="L183" s="3">
        <v>1104</v>
      </c>
      <c r="M183" s="3">
        <v>358.8</v>
      </c>
      <c r="N183" t="s">
        <v>52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126</v>
      </c>
      <c r="V183" t="s">
        <v>56</v>
      </c>
      <c r="W183" t="s">
        <v>95</v>
      </c>
      <c r="X183" s="4">
        <v>0</v>
      </c>
      <c r="Y183" t="s">
        <v>58</v>
      </c>
      <c r="Z183" s="3">
        <v>1104</v>
      </c>
      <c r="AA183">
        <v>0</v>
      </c>
      <c r="AB183">
        <v>0</v>
      </c>
      <c r="AC183">
        <v>0</v>
      </c>
      <c r="AD183">
        <v>0</v>
      </c>
      <c r="AE183" s="3">
        <v>2000</v>
      </c>
      <c r="AF183" t="s">
        <v>54</v>
      </c>
      <c r="AG183" t="s">
        <v>59</v>
      </c>
      <c r="AI183" t="s">
        <v>60</v>
      </c>
      <c r="AJ183" t="s">
        <v>60</v>
      </c>
      <c r="AK183" s="5">
        <v>46063.562696759262</v>
      </c>
      <c r="AO183" t="s">
        <v>54</v>
      </c>
      <c r="AP183">
        <v>0</v>
      </c>
      <c r="AR183" t="s">
        <v>54</v>
      </c>
      <c r="AS183" t="s">
        <v>54</v>
      </c>
      <c r="AT183">
        <v>5478</v>
      </c>
      <c r="AU183" t="s">
        <v>55</v>
      </c>
    </row>
    <row r="184" spans="1:47" x14ac:dyDescent="0.25">
      <c r="A184" t="s">
        <v>96</v>
      </c>
      <c r="B184" s="3">
        <v>38542</v>
      </c>
      <c r="C184" t="s">
        <v>48</v>
      </c>
      <c r="D184" t="s">
        <v>49</v>
      </c>
      <c r="E184" s="2">
        <v>46063</v>
      </c>
      <c r="F184" t="s">
        <v>219</v>
      </c>
      <c r="G184" s="3" t="s">
        <v>94</v>
      </c>
      <c r="H184" s="3">
        <v>9320</v>
      </c>
      <c r="I184" s="3">
        <v>9320</v>
      </c>
      <c r="J184">
        <v>0</v>
      </c>
      <c r="K184" s="3">
        <v>9320</v>
      </c>
      <c r="L184" s="3">
        <v>1896</v>
      </c>
      <c r="M184" s="3">
        <v>929.04</v>
      </c>
      <c r="N184" t="s">
        <v>52</v>
      </c>
      <c r="O184" t="s">
        <v>53</v>
      </c>
      <c r="P184" t="s">
        <v>53</v>
      </c>
      <c r="Q184" t="s">
        <v>53</v>
      </c>
      <c r="R184" t="s">
        <v>54</v>
      </c>
      <c r="S184" t="s">
        <v>54</v>
      </c>
      <c r="T184" t="s">
        <v>55</v>
      </c>
      <c r="U184">
        <v>126</v>
      </c>
      <c r="V184" t="s">
        <v>56</v>
      </c>
      <c r="W184" t="s">
        <v>72</v>
      </c>
      <c r="X184" s="4">
        <v>0</v>
      </c>
      <c r="Y184" t="s">
        <v>58</v>
      </c>
      <c r="Z184" s="3">
        <v>1896</v>
      </c>
      <c r="AA184">
        <v>0</v>
      </c>
      <c r="AB184">
        <v>0</v>
      </c>
      <c r="AC184">
        <v>0</v>
      </c>
      <c r="AD184">
        <v>0</v>
      </c>
      <c r="AE184" s="3">
        <v>4000</v>
      </c>
      <c r="AF184" t="s">
        <v>54</v>
      </c>
      <c r="AG184" t="s">
        <v>59</v>
      </c>
      <c r="AI184" t="s">
        <v>73</v>
      </c>
      <c r="AJ184" t="s">
        <v>73</v>
      </c>
      <c r="AK184" s="5">
        <v>46063.71638888889</v>
      </c>
      <c r="AO184" t="s">
        <v>54</v>
      </c>
      <c r="AP184">
        <v>0</v>
      </c>
      <c r="AR184" t="s">
        <v>54</v>
      </c>
      <c r="AS184" t="s">
        <v>54</v>
      </c>
      <c r="AT184">
        <v>5117</v>
      </c>
      <c r="AU184" t="s">
        <v>55</v>
      </c>
    </row>
    <row r="185" spans="1:47" x14ac:dyDescent="0.25">
      <c r="A185" t="s">
        <v>136</v>
      </c>
      <c r="B185" s="1">
        <v>38543</v>
      </c>
      <c r="C185" t="s">
        <v>48</v>
      </c>
      <c r="D185" t="s">
        <v>49</v>
      </c>
      <c r="E185" s="2">
        <v>46064</v>
      </c>
      <c r="F185" t="s">
        <v>187</v>
      </c>
      <c r="G185" t="s">
        <v>94</v>
      </c>
      <c r="H185" s="3">
        <v>6880</v>
      </c>
      <c r="I185" s="3">
        <v>6880</v>
      </c>
      <c r="J185">
        <v>0</v>
      </c>
      <c r="K185" s="3">
        <v>6880</v>
      </c>
      <c r="L185" s="3">
        <v>1153</v>
      </c>
      <c r="M185" s="3">
        <v>513.59</v>
      </c>
      <c r="N185" t="s">
        <v>106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145</v>
      </c>
      <c r="V185" t="s">
        <v>99</v>
      </c>
      <c r="W185" t="s">
        <v>134</v>
      </c>
      <c r="X185" s="4">
        <v>0</v>
      </c>
      <c r="Y185" t="s">
        <v>58</v>
      </c>
      <c r="Z185" s="3">
        <v>275</v>
      </c>
      <c r="AA185">
        <v>0</v>
      </c>
      <c r="AB185">
        <v>0</v>
      </c>
      <c r="AC185">
        <v>0</v>
      </c>
      <c r="AD185" s="3">
        <v>878</v>
      </c>
      <c r="AE185" s="3">
        <v>1500</v>
      </c>
      <c r="AF185" t="s">
        <v>54</v>
      </c>
      <c r="AG185" t="s">
        <v>59</v>
      </c>
      <c r="AI185" t="s">
        <v>73</v>
      </c>
      <c r="AJ185" t="s">
        <v>73</v>
      </c>
      <c r="AK185" s="5">
        <v>46064.455208333333</v>
      </c>
      <c r="AO185" t="s">
        <v>54</v>
      </c>
      <c r="AP185">
        <v>0</v>
      </c>
      <c r="AR185" t="s">
        <v>54</v>
      </c>
      <c r="AS185" t="s">
        <v>54</v>
      </c>
      <c r="AT185">
        <v>251</v>
      </c>
      <c r="AU185" t="s">
        <v>55</v>
      </c>
    </row>
    <row r="186" spans="1:47" x14ac:dyDescent="0.25">
      <c r="A186" t="s">
        <v>96</v>
      </c>
      <c r="B186" s="1">
        <v>38544</v>
      </c>
      <c r="C186" t="s">
        <v>48</v>
      </c>
      <c r="D186" t="s">
        <v>49</v>
      </c>
      <c r="E186" s="2">
        <v>46064</v>
      </c>
      <c r="F186" t="s">
        <v>201</v>
      </c>
      <c r="G186" s="3" t="s">
        <v>69</v>
      </c>
      <c r="H186" s="3">
        <v>3576</v>
      </c>
      <c r="I186" s="3">
        <v>3576</v>
      </c>
      <c r="J186">
        <v>0</v>
      </c>
      <c r="K186" s="3">
        <v>3576</v>
      </c>
      <c r="L186" s="3">
        <v>643.20000000000005</v>
      </c>
      <c r="M186" s="3">
        <v>302.3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W186" t="s">
        <v>134</v>
      </c>
      <c r="X186" s="4">
        <v>0</v>
      </c>
      <c r="Y186" t="s">
        <v>58</v>
      </c>
      <c r="Z186">
        <v>0</v>
      </c>
      <c r="AA186">
        <v>0</v>
      </c>
      <c r="AB186">
        <v>0</v>
      </c>
      <c r="AC186">
        <v>0</v>
      </c>
      <c r="AD186">
        <v>643.20000000000005</v>
      </c>
      <c r="AE186" s="3">
        <v>2400</v>
      </c>
      <c r="AF186" t="s">
        <v>54</v>
      </c>
      <c r="AG186" t="s">
        <v>59</v>
      </c>
      <c r="AI186" t="s">
        <v>80</v>
      </c>
      <c r="AJ186" t="s">
        <v>73</v>
      </c>
      <c r="AK186" s="5">
        <v>46064.578784722224</v>
      </c>
      <c r="AO186" t="s">
        <v>54</v>
      </c>
      <c r="AP186">
        <v>0</v>
      </c>
      <c r="AR186" t="s">
        <v>54</v>
      </c>
      <c r="AS186" t="s">
        <v>54</v>
      </c>
      <c r="AT186">
        <v>4097</v>
      </c>
      <c r="AU186" t="s">
        <v>55</v>
      </c>
    </row>
    <row r="187" spans="1:47" x14ac:dyDescent="0.25">
      <c r="A187" t="s">
        <v>47</v>
      </c>
      <c r="B187" s="1">
        <v>38545</v>
      </c>
      <c r="C187" t="s">
        <v>48</v>
      </c>
      <c r="D187" s="3" t="s">
        <v>49</v>
      </c>
      <c r="E187" s="2">
        <v>46064</v>
      </c>
      <c r="F187" t="s">
        <v>196</v>
      </c>
      <c r="G187" s="3" t="s">
        <v>87</v>
      </c>
      <c r="H187" s="3">
        <v>7000</v>
      </c>
      <c r="I187" s="3">
        <v>7000</v>
      </c>
      <c r="J187">
        <v>0</v>
      </c>
      <c r="K187" s="3">
        <v>8050</v>
      </c>
      <c r="L187" s="3">
        <v>1041</v>
      </c>
      <c r="M187" s="3">
        <v>655.83</v>
      </c>
      <c r="N187" t="s">
        <v>52</v>
      </c>
      <c r="O187" t="s">
        <v>53</v>
      </c>
      <c r="P187" t="s">
        <v>53</v>
      </c>
      <c r="Q187" t="s">
        <v>53</v>
      </c>
      <c r="R187" t="s">
        <v>54</v>
      </c>
      <c r="S187" t="s">
        <v>54</v>
      </c>
      <c r="T187" t="s">
        <v>55</v>
      </c>
      <c r="U187">
        <v>126</v>
      </c>
      <c r="V187" t="s">
        <v>56</v>
      </c>
      <c r="W187" t="s">
        <v>168</v>
      </c>
      <c r="X187" s="4">
        <v>0</v>
      </c>
      <c r="Y187" t="s">
        <v>62</v>
      </c>
    </row>
    <row r="188" spans="1:47" hidden="1" x14ac:dyDescent="0.25">
      <c r="A188" t="s">
        <v>63</v>
      </c>
      <c r="B188" s="1">
        <v>0</v>
      </c>
      <c r="C188">
        <v>0</v>
      </c>
      <c r="D188" s="3">
        <v>1041</v>
      </c>
      <c r="E188" s="2">
        <v>0</v>
      </c>
      <c r="F188">
        <v>0</v>
      </c>
      <c r="G188" s="3">
        <v>1000</v>
      </c>
      <c r="H188" s="3" t="s">
        <v>54</v>
      </c>
      <c r="I188" s="3" t="s">
        <v>59</v>
      </c>
      <c r="K188" s="3" t="s">
        <v>60</v>
      </c>
      <c r="L188" s="3" t="s">
        <v>73</v>
      </c>
      <c r="M188" s="3">
        <v>46064.596574074072</v>
      </c>
      <c r="Q188" t="s">
        <v>54</v>
      </c>
      <c r="R188">
        <v>0</v>
      </c>
      <c r="T188" t="s">
        <v>54</v>
      </c>
      <c r="U188" t="s">
        <v>54</v>
      </c>
      <c r="V188">
        <v>7376</v>
      </c>
      <c r="W188" t="s">
        <v>55</v>
      </c>
      <c r="X188" s="4"/>
      <c r="Z188" s="3"/>
      <c r="AD188" s="3"/>
      <c r="AE188" s="3"/>
      <c r="AK188" s="5"/>
    </row>
    <row r="189" spans="1:47" x14ac:dyDescent="0.25">
      <c r="A189" t="s">
        <v>47</v>
      </c>
      <c r="B189" s="1">
        <v>38546</v>
      </c>
      <c r="C189" t="s">
        <v>48</v>
      </c>
      <c r="D189" t="s">
        <v>49</v>
      </c>
      <c r="E189" s="2">
        <v>46064</v>
      </c>
      <c r="F189" t="s">
        <v>118</v>
      </c>
      <c r="G189" t="s">
        <v>119</v>
      </c>
      <c r="H189" s="3">
        <v>1685.25</v>
      </c>
      <c r="I189" s="3">
        <v>1685.25</v>
      </c>
      <c r="J189">
        <v>0</v>
      </c>
      <c r="K189" s="3">
        <v>1938.04</v>
      </c>
      <c r="L189" s="3">
        <v>262.43</v>
      </c>
      <c r="M189" s="3">
        <v>150.9</v>
      </c>
      <c r="N189" t="s">
        <v>77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83</v>
      </c>
      <c r="W189" t="s">
        <v>85</v>
      </c>
      <c r="X189" s="4">
        <v>0</v>
      </c>
      <c r="Y189" t="s">
        <v>58</v>
      </c>
      <c r="Z189">
        <v>0</v>
      </c>
      <c r="AA189">
        <v>0</v>
      </c>
      <c r="AB189">
        <v>262.43</v>
      </c>
      <c r="AC189">
        <v>0</v>
      </c>
      <c r="AD189" s="3">
        <v>0</v>
      </c>
      <c r="AE189" s="3">
        <v>75</v>
      </c>
      <c r="AF189" t="s">
        <v>54</v>
      </c>
      <c r="AG189" t="s">
        <v>59</v>
      </c>
      <c r="AI189" t="s">
        <v>80</v>
      </c>
      <c r="AJ189" t="s">
        <v>73</v>
      </c>
      <c r="AK189" s="5">
        <v>46064.552233796298</v>
      </c>
      <c r="AO189" t="s">
        <v>54</v>
      </c>
      <c r="AP189">
        <v>0</v>
      </c>
      <c r="AR189" t="s">
        <v>54</v>
      </c>
      <c r="AS189" t="s">
        <v>54</v>
      </c>
      <c r="AT189">
        <v>4900</v>
      </c>
      <c r="AU189" t="s">
        <v>55</v>
      </c>
    </row>
    <row r="190" spans="1:47" x14ac:dyDescent="0.25">
      <c r="A190" t="s">
        <v>47</v>
      </c>
      <c r="B190" s="1">
        <v>38547</v>
      </c>
      <c r="C190" t="s">
        <v>48</v>
      </c>
      <c r="D190" s="3" t="s">
        <v>49</v>
      </c>
      <c r="E190" s="2">
        <v>46064</v>
      </c>
      <c r="F190" t="s">
        <v>118</v>
      </c>
      <c r="G190" t="s">
        <v>119</v>
      </c>
      <c r="H190" s="3">
        <v>1685.25</v>
      </c>
      <c r="I190" s="3">
        <v>1685.25</v>
      </c>
      <c r="J190">
        <v>0</v>
      </c>
      <c r="K190" s="3">
        <v>1938.04</v>
      </c>
      <c r="L190" s="3">
        <v>262.43</v>
      </c>
      <c r="M190" s="3">
        <v>150.9</v>
      </c>
      <c r="N190" t="s">
        <v>77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83</v>
      </c>
      <c r="W190" t="s">
        <v>85</v>
      </c>
      <c r="X190" s="4">
        <v>0</v>
      </c>
      <c r="Y190" t="s">
        <v>58</v>
      </c>
      <c r="Z190">
        <v>0</v>
      </c>
      <c r="AA190">
        <v>0</v>
      </c>
      <c r="AB190">
        <v>262.43</v>
      </c>
      <c r="AC190">
        <v>0</v>
      </c>
      <c r="AD190" s="3">
        <v>0</v>
      </c>
      <c r="AE190" s="3">
        <v>75</v>
      </c>
      <c r="AF190" t="s">
        <v>54</v>
      </c>
      <c r="AG190" t="s">
        <v>59</v>
      </c>
      <c r="AI190" t="s">
        <v>80</v>
      </c>
      <c r="AJ190" t="s">
        <v>73</v>
      </c>
      <c r="AK190" s="5">
        <v>46064.552372685182</v>
      </c>
      <c r="AO190" t="s">
        <v>54</v>
      </c>
      <c r="AP190">
        <v>0</v>
      </c>
      <c r="AR190" t="s">
        <v>54</v>
      </c>
      <c r="AS190" t="s">
        <v>54</v>
      </c>
      <c r="AT190">
        <v>4900</v>
      </c>
      <c r="AU190" t="s">
        <v>55</v>
      </c>
    </row>
    <row r="191" spans="1:47" x14ac:dyDescent="0.25">
      <c r="A191" t="s">
        <v>96</v>
      </c>
      <c r="B191" s="1">
        <v>38548</v>
      </c>
      <c r="C191" t="s">
        <v>48</v>
      </c>
      <c r="D191" t="s">
        <v>49</v>
      </c>
      <c r="E191" s="2">
        <v>46064</v>
      </c>
      <c r="F191" t="s">
        <v>120</v>
      </c>
      <c r="G191" t="s">
        <v>69</v>
      </c>
      <c r="H191" s="3">
        <v>8798</v>
      </c>
      <c r="I191" s="3">
        <v>8798</v>
      </c>
      <c r="J191">
        <v>0</v>
      </c>
      <c r="K191" s="3">
        <v>8798</v>
      </c>
      <c r="L191" s="3">
        <v>1495.3</v>
      </c>
      <c r="M191" s="3">
        <v>702.79</v>
      </c>
      <c r="N191" t="s">
        <v>77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83</v>
      </c>
      <c r="V191" t="s">
        <v>121</v>
      </c>
      <c r="W191" t="s">
        <v>122</v>
      </c>
      <c r="X191" s="4">
        <v>0</v>
      </c>
      <c r="Y191" t="s">
        <v>58</v>
      </c>
      <c r="Z191" s="3">
        <v>0</v>
      </c>
      <c r="AA191">
        <v>0</v>
      </c>
      <c r="AB191">
        <v>0</v>
      </c>
      <c r="AC191">
        <v>0</v>
      </c>
      <c r="AD191" s="3">
        <v>1495.3</v>
      </c>
      <c r="AE191" s="3">
        <v>1700</v>
      </c>
      <c r="AF191" t="s">
        <v>54</v>
      </c>
      <c r="AG191" t="s">
        <v>59</v>
      </c>
      <c r="AH191" t="s">
        <v>79</v>
      </c>
      <c r="AI191" t="s">
        <v>73</v>
      </c>
      <c r="AJ191" t="s">
        <v>73</v>
      </c>
      <c r="AK191" s="5">
        <v>46064.574571759258</v>
      </c>
      <c r="AO191" t="s">
        <v>54</v>
      </c>
      <c r="AP191">
        <v>0</v>
      </c>
      <c r="AR191" t="s">
        <v>54</v>
      </c>
      <c r="AS191" t="s">
        <v>54</v>
      </c>
      <c r="AT191">
        <v>6081</v>
      </c>
      <c r="AU191" t="s">
        <v>55</v>
      </c>
    </row>
    <row r="192" spans="1:47" x14ac:dyDescent="0.25">
      <c r="A192" t="s">
        <v>81</v>
      </c>
      <c r="B192" s="1">
        <v>38549</v>
      </c>
      <c r="C192" t="s">
        <v>48</v>
      </c>
      <c r="D192" t="s">
        <v>49</v>
      </c>
      <c r="E192" s="2">
        <v>46064</v>
      </c>
      <c r="F192" t="s">
        <v>116</v>
      </c>
      <c r="G192" s="3" t="s">
        <v>66</v>
      </c>
      <c r="H192" s="3">
        <v>22050</v>
      </c>
      <c r="I192" s="3">
        <v>22050</v>
      </c>
      <c r="J192">
        <v>0</v>
      </c>
      <c r="K192" s="3">
        <v>22050</v>
      </c>
      <c r="L192" s="3">
        <v>6115</v>
      </c>
      <c r="M192" s="3">
        <v>2244.21</v>
      </c>
      <c r="N192" t="s">
        <v>84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9</v>
      </c>
      <c r="W192" t="s">
        <v>117</v>
      </c>
      <c r="X192" s="4">
        <v>0</v>
      </c>
      <c r="Y192" t="s">
        <v>62</v>
      </c>
      <c r="Z192" s="3"/>
      <c r="AE192" s="3"/>
      <c r="AK192" s="5"/>
    </row>
    <row r="193" spans="1:47" hidden="1" x14ac:dyDescent="0.25">
      <c r="A193" t="s">
        <v>63</v>
      </c>
      <c r="B193" s="1">
        <v>6115</v>
      </c>
      <c r="C193">
        <v>0</v>
      </c>
      <c r="D193" s="3">
        <v>0</v>
      </c>
      <c r="E193" s="2">
        <v>0</v>
      </c>
      <c r="F193">
        <v>0</v>
      </c>
      <c r="G193" s="3">
        <v>5000</v>
      </c>
      <c r="H193" s="3" t="s">
        <v>54</v>
      </c>
      <c r="I193" s="3" t="s">
        <v>59</v>
      </c>
      <c r="K193" s="3" t="s">
        <v>73</v>
      </c>
      <c r="L193" s="3" t="s">
        <v>73</v>
      </c>
      <c r="M193" s="3">
        <v>46064.595590277779</v>
      </c>
      <c r="Q193" t="s">
        <v>54</v>
      </c>
      <c r="R193">
        <v>0</v>
      </c>
      <c r="T193" t="s">
        <v>54</v>
      </c>
      <c r="U193" t="s">
        <v>54</v>
      </c>
      <c r="V193">
        <v>8826</v>
      </c>
      <c r="W193" t="s">
        <v>55</v>
      </c>
      <c r="X193" s="4"/>
      <c r="Z193" s="3"/>
      <c r="AE193" s="3"/>
      <c r="AK193" s="5"/>
    </row>
    <row r="194" spans="1:47" x14ac:dyDescent="0.25">
      <c r="A194" t="s">
        <v>96</v>
      </c>
      <c r="B194" s="1">
        <v>38550</v>
      </c>
      <c r="C194" t="s">
        <v>48</v>
      </c>
      <c r="D194" t="s">
        <v>49</v>
      </c>
      <c r="E194" s="2">
        <v>46064</v>
      </c>
      <c r="F194" t="s">
        <v>165</v>
      </c>
      <c r="G194" s="3" t="s">
        <v>69</v>
      </c>
      <c r="H194" s="3">
        <v>3498</v>
      </c>
      <c r="I194" s="3">
        <v>3498</v>
      </c>
      <c r="J194">
        <v>0</v>
      </c>
      <c r="K194" s="3">
        <v>3498</v>
      </c>
      <c r="L194" s="3">
        <v>547.20000000000005</v>
      </c>
      <c r="M194" s="3">
        <v>314.64</v>
      </c>
      <c r="N194" t="s">
        <v>52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126</v>
      </c>
      <c r="V194" t="s">
        <v>56</v>
      </c>
      <c r="W194" t="s">
        <v>152</v>
      </c>
      <c r="X194" s="4">
        <v>0</v>
      </c>
      <c r="Y194" t="s">
        <v>58</v>
      </c>
      <c r="Z194" s="3">
        <v>0</v>
      </c>
      <c r="AA194">
        <v>0</v>
      </c>
      <c r="AB194">
        <v>547.20000000000005</v>
      </c>
      <c r="AC194">
        <v>0</v>
      </c>
      <c r="AD194">
        <v>0</v>
      </c>
      <c r="AE194" s="3">
        <v>300</v>
      </c>
      <c r="AF194" t="s">
        <v>54</v>
      </c>
      <c r="AG194" t="s">
        <v>59</v>
      </c>
      <c r="AI194" t="s">
        <v>60</v>
      </c>
      <c r="AJ194" t="s">
        <v>60</v>
      </c>
      <c r="AK194" s="5">
        <v>46064.61445601852</v>
      </c>
      <c r="AO194" t="s">
        <v>54</v>
      </c>
      <c r="AP194">
        <v>0</v>
      </c>
      <c r="AR194" t="s">
        <v>54</v>
      </c>
      <c r="AS194" t="s">
        <v>54</v>
      </c>
      <c r="AT194">
        <v>322</v>
      </c>
      <c r="AU194" t="s">
        <v>55</v>
      </c>
    </row>
    <row r="195" spans="1:47" x14ac:dyDescent="0.25">
      <c r="A195" t="s">
        <v>96</v>
      </c>
      <c r="B195" s="1">
        <v>38551</v>
      </c>
      <c r="C195" t="s">
        <v>48</v>
      </c>
      <c r="D195" t="s">
        <v>49</v>
      </c>
      <c r="E195" s="2">
        <v>46064</v>
      </c>
      <c r="F195" t="s">
        <v>204</v>
      </c>
      <c r="G195" t="s">
        <v>69</v>
      </c>
      <c r="H195" s="3">
        <v>954</v>
      </c>
      <c r="I195" s="3">
        <v>954</v>
      </c>
      <c r="J195">
        <v>0</v>
      </c>
      <c r="K195" s="3">
        <v>954</v>
      </c>
      <c r="L195" s="3">
        <v>103.2</v>
      </c>
      <c r="M195" s="3">
        <v>40.25</v>
      </c>
      <c r="N195" t="s">
        <v>52</v>
      </c>
      <c r="O195" t="s">
        <v>54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126</v>
      </c>
      <c r="V195" t="s">
        <v>56</v>
      </c>
      <c r="W195" t="s">
        <v>95</v>
      </c>
      <c r="X195" s="4">
        <v>0</v>
      </c>
      <c r="Z195" s="3">
        <v>103.2</v>
      </c>
      <c r="AA195">
        <v>0</v>
      </c>
      <c r="AB195">
        <v>0</v>
      </c>
      <c r="AC195">
        <v>0</v>
      </c>
      <c r="AD195">
        <v>0</v>
      </c>
      <c r="AE195" s="3">
        <v>300</v>
      </c>
      <c r="AF195" t="s">
        <v>54</v>
      </c>
      <c r="AG195" t="s">
        <v>59</v>
      </c>
      <c r="AI195" t="s">
        <v>60</v>
      </c>
      <c r="AK195" s="5"/>
      <c r="AO195" t="s">
        <v>54</v>
      </c>
      <c r="AP195">
        <v>0</v>
      </c>
      <c r="AR195" t="s">
        <v>54</v>
      </c>
      <c r="AS195" t="s">
        <v>54</v>
      </c>
      <c r="AT195">
        <v>6026</v>
      </c>
      <c r="AU195" t="s">
        <v>55</v>
      </c>
    </row>
    <row r="196" spans="1:47" x14ac:dyDescent="0.25">
      <c r="A196" t="s">
        <v>47</v>
      </c>
      <c r="B196" s="1">
        <v>38552</v>
      </c>
      <c r="C196" t="s">
        <v>48</v>
      </c>
      <c r="D196" t="s">
        <v>49</v>
      </c>
      <c r="E196" s="2">
        <v>46064</v>
      </c>
      <c r="F196" t="s">
        <v>179</v>
      </c>
      <c r="G196" s="3" t="s">
        <v>119</v>
      </c>
      <c r="H196" s="3">
        <v>7174</v>
      </c>
      <c r="I196" s="3">
        <v>7174</v>
      </c>
      <c r="J196">
        <v>0</v>
      </c>
      <c r="K196" s="3">
        <v>8250.1</v>
      </c>
      <c r="L196" s="3">
        <v>1356.8</v>
      </c>
      <c r="M196" s="3">
        <v>591.17999999999995</v>
      </c>
      <c r="N196" t="s">
        <v>52</v>
      </c>
      <c r="O196" t="s">
        <v>53</v>
      </c>
      <c r="P196" t="s">
        <v>53</v>
      </c>
      <c r="Q196" t="s">
        <v>53</v>
      </c>
      <c r="R196" t="s">
        <v>54</v>
      </c>
      <c r="S196" t="s">
        <v>54</v>
      </c>
      <c r="T196" t="s">
        <v>55</v>
      </c>
      <c r="U196">
        <v>126</v>
      </c>
      <c r="V196" t="s">
        <v>56</v>
      </c>
      <c r="W196" t="s">
        <v>72</v>
      </c>
      <c r="X196" s="4">
        <v>0</v>
      </c>
      <c r="Y196" t="s">
        <v>58</v>
      </c>
      <c r="Z196" s="3">
        <v>1356.8</v>
      </c>
      <c r="AA196">
        <v>0</v>
      </c>
      <c r="AB196" s="3">
        <v>0</v>
      </c>
      <c r="AC196">
        <v>0</v>
      </c>
      <c r="AD196">
        <v>0</v>
      </c>
      <c r="AE196" s="3">
        <v>1400</v>
      </c>
      <c r="AF196" t="s">
        <v>54</v>
      </c>
      <c r="AG196" t="s">
        <v>59</v>
      </c>
      <c r="AH196" t="s">
        <v>180</v>
      </c>
      <c r="AI196" t="s">
        <v>60</v>
      </c>
      <c r="AJ196" t="s">
        <v>60</v>
      </c>
      <c r="AK196" s="5">
        <v>46064.715694444443</v>
      </c>
      <c r="AO196" t="s">
        <v>54</v>
      </c>
      <c r="AP196">
        <v>0</v>
      </c>
      <c r="AR196" t="s">
        <v>54</v>
      </c>
      <c r="AS196" t="s">
        <v>54</v>
      </c>
      <c r="AT196">
        <v>6910</v>
      </c>
      <c r="AU196" t="s">
        <v>55</v>
      </c>
    </row>
    <row r="197" spans="1:47" x14ac:dyDescent="0.25">
      <c r="A197" t="s">
        <v>96</v>
      </c>
      <c r="B197" s="1">
        <v>38553</v>
      </c>
      <c r="C197" t="s">
        <v>48</v>
      </c>
      <c r="D197" t="s">
        <v>49</v>
      </c>
      <c r="E197" s="2">
        <v>46064</v>
      </c>
      <c r="F197" t="s">
        <v>220</v>
      </c>
      <c r="G197" s="3" t="s">
        <v>172</v>
      </c>
      <c r="H197" s="3">
        <v>1140</v>
      </c>
      <c r="I197" s="3">
        <v>1140</v>
      </c>
      <c r="J197">
        <v>0</v>
      </c>
      <c r="K197" s="3">
        <v>1140</v>
      </c>
      <c r="L197">
        <v>260</v>
      </c>
      <c r="M197" s="3">
        <v>84.5</v>
      </c>
      <c r="N197" t="s">
        <v>52</v>
      </c>
      <c r="O197" t="s">
        <v>54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126</v>
      </c>
      <c r="W197" t="s">
        <v>95</v>
      </c>
      <c r="X197" s="4">
        <v>0</v>
      </c>
      <c r="Z197">
        <v>260</v>
      </c>
      <c r="AA197">
        <v>0</v>
      </c>
      <c r="AB197">
        <v>0</v>
      </c>
      <c r="AC197">
        <v>0</v>
      </c>
      <c r="AD197">
        <v>0</v>
      </c>
      <c r="AE197" s="3">
        <v>1000</v>
      </c>
      <c r="AF197" t="s">
        <v>54</v>
      </c>
      <c r="AG197" t="s">
        <v>59</v>
      </c>
      <c r="AI197" t="s">
        <v>60</v>
      </c>
      <c r="AK197" s="5"/>
      <c r="AO197" t="s">
        <v>54</v>
      </c>
      <c r="AP197">
        <v>0</v>
      </c>
      <c r="AR197" t="s">
        <v>54</v>
      </c>
      <c r="AS197" t="s">
        <v>54</v>
      </c>
      <c r="AT197">
        <v>8730</v>
      </c>
      <c r="AU197" t="s">
        <v>55</v>
      </c>
    </row>
    <row r="198" spans="1:47" x14ac:dyDescent="0.25">
      <c r="B198" s="1"/>
      <c r="E198" s="2"/>
      <c r="H198" s="3"/>
      <c r="I198" s="3"/>
      <c r="K198" s="3"/>
      <c r="L198" s="3"/>
      <c r="X198" s="4"/>
      <c r="Z198" s="3"/>
      <c r="AD198" s="3"/>
      <c r="AE198" s="3"/>
      <c r="AK198" s="5"/>
    </row>
    <row r="199" spans="1:47" x14ac:dyDescent="0.25">
      <c r="B199" s="1"/>
      <c r="E199" s="2"/>
      <c r="H199" s="3"/>
      <c r="I199" s="3"/>
      <c r="K199" s="3"/>
      <c r="L199" s="3"/>
      <c r="X199" s="4"/>
      <c r="Z199" s="3"/>
      <c r="AE199" s="3"/>
      <c r="AK199" s="5"/>
    </row>
    <row r="200" spans="1:47" x14ac:dyDescent="0.25">
      <c r="B200" s="1"/>
      <c r="E200" s="2"/>
      <c r="H200" s="3"/>
      <c r="I200" s="3"/>
      <c r="K200" s="3"/>
      <c r="L200" s="3"/>
      <c r="X200" s="4"/>
      <c r="AB200" s="3"/>
      <c r="AK200" s="5"/>
    </row>
    <row r="201" spans="1:47" x14ac:dyDescent="0.25">
      <c r="B201" s="1"/>
      <c r="E201" s="2"/>
      <c r="H201" s="3"/>
      <c r="I201" s="3"/>
      <c r="K201" s="3"/>
      <c r="L201" s="3"/>
      <c r="X201" s="4"/>
      <c r="AB201" s="3"/>
      <c r="AK201" s="5"/>
    </row>
    <row r="202" spans="1:47" x14ac:dyDescent="0.25">
      <c r="B202" s="1"/>
      <c r="E202" s="2"/>
      <c r="G202" s="3"/>
      <c r="H202" s="3"/>
      <c r="I202" s="3"/>
      <c r="K202" s="3"/>
      <c r="X202" s="4"/>
      <c r="AE202" s="3"/>
      <c r="AK202" s="5"/>
    </row>
    <row r="203" spans="1:47" x14ac:dyDescent="0.25">
      <c r="B203" s="1"/>
      <c r="E203" s="2"/>
      <c r="H203" s="3"/>
      <c r="I203" s="3"/>
      <c r="K203" s="3"/>
      <c r="X203" s="4"/>
      <c r="AK203" s="5"/>
    </row>
    <row r="204" spans="1:47" x14ac:dyDescent="0.25">
      <c r="B204" s="1"/>
      <c r="E204" s="2"/>
      <c r="G204" s="3"/>
      <c r="H204" s="3"/>
      <c r="I204" s="3"/>
      <c r="K204" s="3"/>
      <c r="X204" s="4"/>
      <c r="AK204" s="5"/>
    </row>
    <row r="205" spans="1:47" x14ac:dyDescent="0.25">
      <c r="B205" s="1"/>
      <c r="E205" s="2"/>
      <c r="H205" s="3"/>
      <c r="I205" s="3"/>
      <c r="K205" s="3"/>
      <c r="L205" s="3"/>
      <c r="X205" s="4"/>
      <c r="AB205" s="3"/>
      <c r="AD205" s="3"/>
      <c r="AE205" s="3"/>
      <c r="AK205" s="5"/>
    </row>
    <row r="206" spans="1:47" x14ac:dyDescent="0.25">
      <c r="B206" s="1"/>
      <c r="E206" s="2"/>
      <c r="F206" s="3"/>
      <c r="G206" s="3"/>
      <c r="H206" s="3"/>
      <c r="I206" s="3"/>
      <c r="K206" s="3"/>
      <c r="L206" s="3"/>
      <c r="X206" s="4"/>
    </row>
    <row r="207" spans="1:47" x14ac:dyDescent="0.25">
      <c r="B207" s="1"/>
      <c r="E207" s="2"/>
      <c r="G207" s="3"/>
      <c r="H207" s="3"/>
      <c r="I207" s="3"/>
      <c r="K207" s="3"/>
      <c r="L207" s="3"/>
      <c r="X207" s="4"/>
      <c r="AE207" s="3"/>
      <c r="AK207" s="5"/>
    </row>
    <row r="208" spans="1:47" x14ac:dyDescent="0.25">
      <c r="B208" s="1"/>
      <c r="E208" s="2"/>
      <c r="F208" s="3"/>
      <c r="G208" s="3"/>
      <c r="H208" s="3"/>
      <c r="I208" s="3"/>
      <c r="K208" s="3"/>
      <c r="L208" s="3"/>
      <c r="X208" s="4"/>
      <c r="AB208" s="3"/>
      <c r="AE208" s="3"/>
      <c r="AK208" s="5"/>
    </row>
    <row r="209" spans="2:37" x14ac:dyDescent="0.25">
      <c r="B209" s="1"/>
      <c r="E209" s="2"/>
      <c r="G209" s="3"/>
      <c r="H209" s="3"/>
      <c r="I209" s="3"/>
      <c r="K209" s="3"/>
      <c r="L209" s="3"/>
      <c r="X209" s="4"/>
      <c r="Z209" s="3"/>
      <c r="AE209" s="3"/>
      <c r="AK209" s="5"/>
    </row>
    <row r="210" spans="2:37" x14ac:dyDescent="0.25">
      <c r="B210" s="1"/>
      <c r="D210" s="3"/>
      <c r="E210" s="2"/>
      <c r="G210" s="3"/>
      <c r="H210" s="3"/>
      <c r="I210" s="3"/>
      <c r="K210" s="3"/>
      <c r="L210" s="3"/>
      <c r="X210" s="4"/>
      <c r="Z210" s="3"/>
      <c r="AB210" s="3"/>
      <c r="AE210" s="3"/>
      <c r="AK210" s="5"/>
    </row>
    <row r="211" spans="2:37" x14ac:dyDescent="0.25">
      <c r="B211" s="1"/>
      <c r="E211" s="2"/>
      <c r="G211" s="3"/>
      <c r="H211" s="3"/>
      <c r="I211" s="3"/>
      <c r="K211" s="3"/>
      <c r="L211" s="3"/>
      <c r="X211" s="4"/>
      <c r="Z211" s="3"/>
      <c r="AE211" s="3"/>
      <c r="AK211" s="5"/>
    </row>
    <row r="212" spans="2:37" x14ac:dyDescent="0.25">
      <c r="B212" s="1"/>
      <c r="E212" s="2"/>
      <c r="H212" s="3"/>
      <c r="I212" s="3"/>
      <c r="K212" s="3"/>
      <c r="L212" s="3"/>
      <c r="X212" s="4"/>
      <c r="Z212" s="3"/>
      <c r="AE212" s="3"/>
      <c r="AK212" s="5"/>
    </row>
    <row r="213" spans="2:37" x14ac:dyDescent="0.25">
      <c r="B213" s="1"/>
      <c r="E213" s="2"/>
      <c r="G213" s="3"/>
      <c r="H213" s="3"/>
      <c r="I213" s="3"/>
      <c r="K213" s="3"/>
      <c r="L213" s="3"/>
      <c r="X213" s="4"/>
      <c r="Z213" s="3"/>
      <c r="AE213" s="3"/>
      <c r="AK213" s="5"/>
    </row>
    <row r="214" spans="2:37" x14ac:dyDescent="0.25">
      <c r="B214" s="1"/>
      <c r="E214" s="2"/>
      <c r="H214" s="3"/>
      <c r="I214" s="3"/>
      <c r="K214" s="3"/>
      <c r="L214" s="3"/>
      <c r="X214" s="4"/>
      <c r="Z214" s="3"/>
      <c r="AE214" s="3"/>
      <c r="AK214" s="5"/>
    </row>
    <row r="215" spans="2:37" x14ac:dyDescent="0.25">
      <c r="B215" s="3"/>
      <c r="E215" s="2"/>
      <c r="G215" s="3"/>
      <c r="H215" s="3"/>
      <c r="I215" s="3"/>
      <c r="K215" s="3"/>
      <c r="L215" s="3"/>
      <c r="X215" s="4"/>
      <c r="AE215" s="3"/>
      <c r="AK215" s="5"/>
    </row>
    <row r="216" spans="2:37" x14ac:dyDescent="0.25">
      <c r="B216" s="1"/>
      <c r="C216" s="3"/>
      <c r="E216" s="2"/>
      <c r="G216" s="3"/>
      <c r="H216" s="3"/>
      <c r="I216" s="3"/>
      <c r="K216" s="3"/>
      <c r="L216" s="3"/>
      <c r="X216" s="4"/>
    </row>
    <row r="217" spans="2:37" x14ac:dyDescent="0.25">
      <c r="B217" s="3"/>
      <c r="E217" s="2"/>
      <c r="G217" s="3"/>
      <c r="H217" s="3"/>
      <c r="I217" s="3"/>
      <c r="K217" s="3"/>
      <c r="L217" s="3"/>
      <c r="X217" s="4"/>
      <c r="AA217" s="3"/>
      <c r="AE217" s="3"/>
      <c r="AK217" s="5"/>
    </row>
    <row r="218" spans="2:37" x14ac:dyDescent="0.25">
      <c r="B218" s="1"/>
      <c r="E218" s="2"/>
      <c r="H218" s="3"/>
      <c r="I218" s="3"/>
      <c r="K218" s="3"/>
      <c r="L218" s="3"/>
      <c r="X218" s="4"/>
      <c r="AD218" s="3"/>
      <c r="AE218" s="3"/>
      <c r="AK218" s="5"/>
    </row>
    <row r="219" spans="2:37" x14ac:dyDescent="0.25">
      <c r="B219" s="1"/>
      <c r="D219" s="3"/>
      <c r="E219" s="2"/>
      <c r="G219" s="3"/>
      <c r="X219" s="4"/>
    </row>
    <row r="220" spans="2:37" x14ac:dyDescent="0.25">
      <c r="B220" s="1"/>
      <c r="E220" s="2"/>
      <c r="H220" s="3"/>
      <c r="I220" s="3"/>
      <c r="K220" s="3"/>
      <c r="L220" s="3"/>
      <c r="X220" s="4"/>
      <c r="AB220" s="3"/>
      <c r="AE220" s="3"/>
      <c r="AK220" s="5"/>
    </row>
    <row r="221" spans="2:37" x14ac:dyDescent="0.25">
      <c r="B221" s="1"/>
      <c r="E221" s="2"/>
      <c r="F221" s="3"/>
      <c r="G221" s="3"/>
      <c r="H221" s="3"/>
      <c r="I221" s="3"/>
      <c r="K221" s="3"/>
      <c r="L221" s="3"/>
      <c r="X221" s="4"/>
      <c r="AB221" s="3"/>
      <c r="AE221" s="3"/>
      <c r="AK221" s="5"/>
    </row>
    <row r="222" spans="2:37" x14ac:dyDescent="0.25">
      <c r="B222" s="3"/>
      <c r="E222" s="2"/>
      <c r="G222" s="3"/>
      <c r="H222" s="3"/>
      <c r="I222" s="3"/>
      <c r="K222" s="3"/>
      <c r="L222" s="3"/>
      <c r="X222" s="4"/>
      <c r="AE222" s="3"/>
      <c r="AK222" s="5"/>
    </row>
    <row r="223" spans="2:37" x14ac:dyDescent="0.25">
      <c r="B223" s="1"/>
      <c r="D223" s="3"/>
      <c r="E223" s="2"/>
      <c r="G223" s="3"/>
      <c r="H223" s="3"/>
      <c r="I223" s="3"/>
      <c r="K223" s="3"/>
      <c r="X223" s="4"/>
    </row>
    <row r="224" spans="2:37" x14ac:dyDescent="0.25">
      <c r="B224" s="1"/>
      <c r="E224" s="2"/>
      <c r="G224" s="3"/>
      <c r="H224" s="3"/>
      <c r="I224" s="3"/>
      <c r="K224" s="3"/>
      <c r="L224" s="3"/>
      <c r="X224" s="4"/>
    </row>
    <row r="225" spans="2:37" x14ac:dyDescent="0.25">
      <c r="B225" s="1"/>
      <c r="E225" s="2"/>
      <c r="G225" s="3"/>
      <c r="H225" s="3"/>
      <c r="I225" s="3"/>
      <c r="K225" s="3"/>
      <c r="L225" s="3"/>
      <c r="X225" s="4"/>
      <c r="Z225" s="3"/>
      <c r="AE225" s="3"/>
      <c r="AK225" s="5"/>
    </row>
    <row r="226" spans="2:37" x14ac:dyDescent="0.25">
      <c r="B226" s="1"/>
      <c r="E226" s="2"/>
      <c r="F226" s="3"/>
      <c r="G226" s="3"/>
      <c r="H226" s="3"/>
      <c r="I226" s="3"/>
      <c r="K226" s="3"/>
      <c r="L226" s="3"/>
      <c r="X226" s="4"/>
      <c r="AB226" s="3"/>
      <c r="AE226" s="3"/>
      <c r="AK226" s="5"/>
    </row>
    <row r="227" spans="2:37" x14ac:dyDescent="0.25">
      <c r="B227" s="1"/>
      <c r="D227" s="3"/>
      <c r="E227" s="2"/>
      <c r="G227" s="3"/>
      <c r="H227" s="3"/>
      <c r="I227" s="3"/>
      <c r="K227" s="3"/>
      <c r="X227" s="4"/>
      <c r="AE227" s="3"/>
      <c r="AK227" s="5"/>
    </row>
    <row r="228" spans="2:37" x14ac:dyDescent="0.25">
      <c r="B228" s="1"/>
      <c r="E228" s="2"/>
      <c r="H228" s="3"/>
      <c r="I228" s="3"/>
      <c r="K228" s="3"/>
      <c r="L228" s="3"/>
      <c r="X228" s="4"/>
      <c r="AK228" s="5"/>
    </row>
    <row r="229" spans="2:37" x14ac:dyDescent="0.25">
      <c r="B229" s="1"/>
      <c r="E229" s="2"/>
      <c r="G229" s="3"/>
      <c r="H229" s="3"/>
      <c r="I229" s="3"/>
      <c r="K229" s="3"/>
      <c r="X229" s="4"/>
      <c r="AK229" s="5"/>
    </row>
    <row r="230" spans="2:37" x14ac:dyDescent="0.25">
      <c r="B230" s="1"/>
      <c r="E230" s="2"/>
      <c r="G230" s="3"/>
      <c r="H230" s="3"/>
      <c r="I230" s="3"/>
      <c r="K230" s="3"/>
      <c r="L230" s="3"/>
      <c r="X230" s="4"/>
      <c r="AK230" s="5"/>
    </row>
    <row r="231" spans="2:37" x14ac:dyDescent="0.25">
      <c r="B231" s="1"/>
      <c r="E231" s="2"/>
      <c r="F231" s="3"/>
      <c r="G231" s="3"/>
      <c r="H231" s="3"/>
      <c r="I231" s="3"/>
      <c r="K231" s="3"/>
      <c r="L231" s="3"/>
      <c r="X231" s="4"/>
      <c r="Z231" s="3"/>
      <c r="AB231" s="3"/>
      <c r="AE231" s="3"/>
      <c r="AK231" s="5"/>
    </row>
    <row r="232" spans="2:37" x14ac:dyDescent="0.25">
      <c r="B232" s="1"/>
      <c r="E232" s="2"/>
      <c r="H232" s="3"/>
      <c r="I232" s="3"/>
      <c r="K232" s="3"/>
      <c r="L232" s="3"/>
      <c r="X232" s="4"/>
      <c r="Z232" s="3"/>
      <c r="AB232" s="3"/>
      <c r="AE232" s="3"/>
      <c r="AK232" s="5"/>
    </row>
    <row r="233" spans="2:37" x14ac:dyDescent="0.25">
      <c r="B233" s="1"/>
      <c r="E233" s="2"/>
      <c r="H233" s="3"/>
      <c r="I233" s="3"/>
      <c r="K233" s="3"/>
      <c r="L233" s="3"/>
      <c r="X233" s="4"/>
      <c r="AE233" s="3"/>
      <c r="AK233" s="5"/>
    </row>
    <row r="234" spans="2:37" x14ac:dyDescent="0.25">
      <c r="B234" s="1"/>
      <c r="E234" s="2"/>
      <c r="F234" s="3"/>
      <c r="G234" s="3"/>
      <c r="H234" s="3"/>
      <c r="I234" s="3"/>
      <c r="K234" s="3"/>
      <c r="L234" s="3"/>
      <c r="X234" s="4"/>
      <c r="Z234" s="3"/>
      <c r="AE234" s="3"/>
      <c r="AK234" s="5"/>
    </row>
    <row r="235" spans="2:37" x14ac:dyDescent="0.25">
      <c r="B235" s="1"/>
      <c r="E235" s="2"/>
      <c r="H235" s="3"/>
      <c r="I235" s="3"/>
      <c r="K235" s="3"/>
      <c r="X235" s="4"/>
      <c r="AE235" s="3"/>
      <c r="AK235" s="5"/>
    </row>
    <row r="236" spans="2:37" x14ac:dyDescent="0.25">
      <c r="B236" s="1"/>
      <c r="E236" s="2"/>
      <c r="H236" s="3"/>
      <c r="I236" s="3"/>
      <c r="K236" s="3"/>
      <c r="X236" s="4"/>
      <c r="AE236" s="3"/>
      <c r="AK236" s="5"/>
    </row>
    <row r="237" spans="2:37" x14ac:dyDescent="0.25">
      <c r="B237" s="1"/>
      <c r="E237" s="2"/>
      <c r="H237" s="3"/>
      <c r="I237" s="3"/>
      <c r="K237" s="3"/>
      <c r="X237" s="4"/>
      <c r="AE237" s="3"/>
      <c r="AK237" s="5"/>
    </row>
    <row r="238" spans="2:37" x14ac:dyDescent="0.25">
      <c r="B238" s="1"/>
      <c r="E238" s="2"/>
      <c r="H238" s="3"/>
      <c r="I238" s="3"/>
      <c r="K238" s="3"/>
      <c r="L238" s="3"/>
      <c r="X238" s="4"/>
      <c r="AB238" s="3"/>
      <c r="AE238" s="3"/>
      <c r="AK238" s="5"/>
    </row>
    <row r="239" spans="2:37" x14ac:dyDescent="0.25">
      <c r="B239" s="1"/>
      <c r="E239" s="2"/>
      <c r="H239" s="3"/>
      <c r="I239" s="3"/>
      <c r="K239" s="3"/>
      <c r="L239" s="3"/>
      <c r="X239" s="4"/>
      <c r="Z239" s="3"/>
      <c r="AB239" s="3"/>
      <c r="AE239" s="3"/>
      <c r="AK239" s="5"/>
    </row>
    <row r="240" spans="2:37" x14ac:dyDescent="0.25">
      <c r="B240" s="1"/>
      <c r="E240" s="2"/>
      <c r="H240" s="3"/>
      <c r="I240" s="3"/>
      <c r="K240" s="3"/>
      <c r="L240" s="3"/>
      <c r="X240" s="4"/>
      <c r="Z240" s="3"/>
      <c r="AE240" s="3"/>
      <c r="AK240" s="5"/>
    </row>
    <row r="241" spans="2:37" x14ac:dyDescent="0.25">
      <c r="B241" s="1"/>
      <c r="E241" s="2"/>
      <c r="H241" s="3"/>
      <c r="I241" s="3"/>
      <c r="K241" s="3"/>
      <c r="L241" s="3"/>
      <c r="X241" s="4"/>
      <c r="Z241" s="3"/>
      <c r="AB241" s="3"/>
      <c r="AE241" s="3"/>
      <c r="AK241" s="5"/>
    </row>
    <row r="242" spans="2:37" x14ac:dyDescent="0.25">
      <c r="B242" s="1"/>
      <c r="E242" s="2"/>
      <c r="H242" s="3"/>
      <c r="I242" s="3"/>
      <c r="K242" s="3"/>
      <c r="L242" s="3"/>
      <c r="X242" s="4"/>
      <c r="Z242" s="3"/>
      <c r="AE242" s="3"/>
      <c r="AK242" s="5"/>
    </row>
    <row r="243" spans="2:37" x14ac:dyDescent="0.25">
      <c r="B243" s="1"/>
      <c r="E243" s="2"/>
      <c r="H243" s="3"/>
      <c r="I243" s="3"/>
      <c r="K243" s="3"/>
      <c r="L243" s="3"/>
      <c r="X243" s="4"/>
      <c r="Z243" s="3"/>
      <c r="AD243" s="3"/>
      <c r="AE243" s="3"/>
      <c r="AK243" s="5"/>
    </row>
    <row r="244" spans="2:37" x14ac:dyDescent="0.25">
      <c r="B244" s="1"/>
      <c r="E244" s="2"/>
      <c r="H244" s="3"/>
      <c r="I244" s="3"/>
      <c r="K244" s="3"/>
      <c r="L244" s="3"/>
      <c r="X244" s="4"/>
      <c r="AE244" s="3"/>
      <c r="AK244" s="5"/>
    </row>
    <row r="245" spans="2:37" x14ac:dyDescent="0.25">
      <c r="B245" s="1"/>
      <c r="D245" s="3"/>
      <c r="E245" s="2"/>
      <c r="G245" s="3"/>
      <c r="H245" s="3"/>
      <c r="I245" s="3"/>
      <c r="K245" s="3"/>
      <c r="L245" s="3"/>
      <c r="X245" s="4"/>
      <c r="Z245" s="3"/>
      <c r="AE245" s="3"/>
      <c r="AK245" s="5"/>
    </row>
    <row r="246" spans="2:37" x14ac:dyDescent="0.25">
      <c r="B246" s="1"/>
      <c r="E246" s="2"/>
      <c r="H246" s="3"/>
      <c r="I246" s="3"/>
      <c r="K246" s="3"/>
      <c r="X246" s="4"/>
      <c r="AK246" s="5"/>
    </row>
    <row r="247" spans="2:37" x14ac:dyDescent="0.25">
      <c r="B247" s="1"/>
      <c r="E247" s="2"/>
      <c r="G247" s="3"/>
      <c r="H247" s="3"/>
      <c r="I247" s="3"/>
      <c r="K247" s="3"/>
      <c r="L247" s="3"/>
      <c r="X247" s="4"/>
      <c r="AE247" s="3"/>
      <c r="AK247" s="5"/>
    </row>
    <row r="248" spans="2:37" x14ac:dyDescent="0.25">
      <c r="B248" s="1"/>
      <c r="E248" s="2"/>
      <c r="H248" s="3"/>
      <c r="I248" s="3"/>
      <c r="K248" s="3"/>
      <c r="X248" s="4"/>
      <c r="AK248" s="5"/>
    </row>
    <row r="249" spans="2:37" x14ac:dyDescent="0.25">
      <c r="B249" s="1"/>
      <c r="E249" s="2"/>
      <c r="H249" s="3"/>
      <c r="I249" s="3"/>
      <c r="K249" s="3"/>
      <c r="L249" s="3"/>
      <c r="X249" s="4"/>
      <c r="Z249" s="3"/>
      <c r="AB249" s="3"/>
      <c r="AE249" s="3"/>
      <c r="AK249" s="5"/>
    </row>
    <row r="250" spans="2:37" x14ac:dyDescent="0.25">
      <c r="B250" s="1"/>
      <c r="E250" s="2"/>
      <c r="H250" s="3"/>
      <c r="I250" s="3"/>
      <c r="K250" s="3"/>
      <c r="L250" s="3"/>
      <c r="X250" s="4"/>
      <c r="AK250" s="5"/>
    </row>
    <row r="251" spans="2:37" x14ac:dyDescent="0.25">
      <c r="B251" s="1"/>
      <c r="E251" s="2"/>
      <c r="G251" s="3"/>
      <c r="X251" s="4"/>
      <c r="AK251" s="5"/>
    </row>
    <row r="252" spans="2:37" x14ac:dyDescent="0.25">
      <c r="B252" s="1"/>
      <c r="E252" s="2"/>
      <c r="H252" s="3"/>
      <c r="I252" s="3"/>
      <c r="K252" s="3"/>
      <c r="L252" s="3"/>
      <c r="X252" s="4"/>
      <c r="Z252" s="3"/>
      <c r="AB252" s="3"/>
      <c r="AE252" s="3"/>
      <c r="AK252" s="5"/>
    </row>
    <row r="253" spans="2:37" x14ac:dyDescent="0.25">
      <c r="B253" s="1"/>
      <c r="E253" s="2"/>
      <c r="H253" s="3"/>
      <c r="I253" s="3"/>
      <c r="K253" s="3"/>
      <c r="L253" s="3"/>
      <c r="X253" s="4"/>
      <c r="Z253" s="3"/>
      <c r="AE253" s="3"/>
      <c r="AK253" s="5"/>
    </row>
    <row r="254" spans="2:37" x14ac:dyDescent="0.25">
      <c r="B254" s="1"/>
      <c r="E254" s="2"/>
      <c r="G254" s="3"/>
      <c r="H254" s="3"/>
      <c r="I254" s="3"/>
      <c r="K254" s="3"/>
      <c r="L254" s="3"/>
      <c r="X254" s="4"/>
      <c r="Z254" s="3"/>
      <c r="AE254" s="3"/>
      <c r="AK254" s="5"/>
    </row>
    <row r="255" spans="2:37" x14ac:dyDescent="0.25">
      <c r="B255" s="1"/>
      <c r="E255" s="2"/>
      <c r="H255" s="3"/>
      <c r="I255" s="3"/>
      <c r="K255" s="3"/>
      <c r="L255" s="3"/>
      <c r="X255" s="4"/>
      <c r="Z255" s="3"/>
      <c r="AB255" s="3"/>
      <c r="AD255" s="3"/>
      <c r="AE255" s="3"/>
      <c r="AK255" s="5"/>
    </row>
    <row r="256" spans="2:37" x14ac:dyDescent="0.25">
      <c r="B256" s="1"/>
      <c r="E256" s="2"/>
      <c r="H256" s="3"/>
      <c r="I256" s="3"/>
      <c r="K256" s="3"/>
      <c r="L256" s="3"/>
      <c r="X256" s="4"/>
      <c r="Z256" s="3"/>
      <c r="AB256" s="3"/>
      <c r="AE256" s="3"/>
      <c r="AK256" s="5"/>
    </row>
    <row r="257" spans="2:37" x14ac:dyDescent="0.25">
      <c r="B257" s="1"/>
      <c r="E257" s="2"/>
      <c r="H257" s="3"/>
      <c r="I257" s="3"/>
      <c r="K257" s="3"/>
      <c r="L257" s="3"/>
      <c r="X257" s="4"/>
      <c r="Z257" s="3"/>
      <c r="AE257" s="3"/>
      <c r="AK257" s="5"/>
    </row>
    <row r="258" spans="2:37" x14ac:dyDescent="0.25">
      <c r="B258" s="1"/>
      <c r="E258" s="2"/>
      <c r="H258" s="3"/>
      <c r="I258" s="3"/>
      <c r="K258" s="3"/>
      <c r="L258" s="3"/>
      <c r="X258" s="4"/>
      <c r="Z258" s="3"/>
      <c r="AE258" s="3"/>
      <c r="AK258" s="5"/>
    </row>
    <row r="259" spans="2:37" x14ac:dyDescent="0.25">
      <c r="B259" s="1"/>
      <c r="E259" s="2"/>
      <c r="G259" s="3"/>
      <c r="H259" s="3"/>
      <c r="I259" s="3"/>
      <c r="K259" s="3"/>
      <c r="L259" s="3"/>
      <c r="X259" s="4"/>
      <c r="Z259" s="3"/>
      <c r="AE259" s="3"/>
      <c r="AK259" s="5"/>
    </row>
    <row r="260" spans="2:37" x14ac:dyDescent="0.25">
      <c r="B260" s="1"/>
      <c r="D260" s="3"/>
      <c r="E260" s="2"/>
      <c r="G260" s="3"/>
      <c r="H260" s="3"/>
      <c r="I260" s="3"/>
      <c r="K260" s="3"/>
      <c r="X260" s="4"/>
      <c r="AE260" s="3"/>
      <c r="AK260" s="5"/>
    </row>
    <row r="261" spans="2:37" x14ac:dyDescent="0.25">
      <c r="B261" s="1"/>
      <c r="E261" s="2"/>
      <c r="H261" s="3"/>
      <c r="I261" s="3"/>
      <c r="K261" s="3"/>
      <c r="L261" s="3"/>
      <c r="X261" s="4"/>
      <c r="Z261" s="3"/>
      <c r="AE261" s="3"/>
      <c r="AK261" s="5"/>
    </row>
    <row r="262" spans="2:37" x14ac:dyDescent="0.25">
      <c r="B262" s="3"/>
      <c r="E262" s="2"/>
      <c r="G262" s="3"/>
      <c r="H262" s="3"/>
      <c r="I262" s="3"/>
      <c r="K262" s="3"/>
      <c r="L262" s="3"/>
      <c r="X262" s="4"/>
      <c r="Z262" s="3"/>
      <c r="AB262" s="3"/>
      <c r="AE262" s="3"/>
      <c r="AK262" s="5"/>
    </row>
    <row r="263" spans="2:37" x14ac:dyDescent="0.25">
      <c r="B263" s="1"/>
      <c r="E263" s="2"/>
      <c r="H263" s="3"/>
      <c r="I263" s="3"/>
      <c r="K263" s="3"/>
      <c r="L263" s="3"/>
      <c r="X263" s="4"/>
      <c r="Z263" s="3"/>
      <c r="AB263" s="3"/>
      <c r="AD263" s="3"/>
      <c r="AE263" s="3"/>
      <c r="AK263" s="5"/>
    </row>
    <row r="264" spans="2:37" x14ac:dyDescent="0.25">
      <c r="B264" s="1"/>
      <c r="E264" s="2"/>
      <c r="H264" s="3"/>
      <c r="I264" s="3"/>
      <c r="K264" s="3"/>
      <c r="L264" s="3"/>
      <c r="X264" s="4"/>
      <c r="Z264" s="3"/>
      <c r="AB264" s="3"/>
      <c r="AE264" s="3"/>
      <c r="AK264" s="5"/>
    </row>
    <row r="265" spans="2:37" x14ac:dyDescent="0.25">
      <c r="B265" s="1"/>
      <c r="E265" s="2"/>
      <c r="H265" s="3"/>
      <c r="I265" s="3"/>
      <c r="K265" s="3"/>
      <c r="L265" s="3"/>
      <c r="X265" s="4"/>
      <c r="Z265" s="3"/>
      <c r="AE265" s="3"/>
      <c r="AK265" s="5"/>
    </row>
    <row r="266" spans="2:37" x14ac:dyDescent="0.25">
      <c r="B266" s="3"/>
      <c r="E266" s="2"/>
      <c r="G266" s="3"/>
      <c r="H266" s="3"/>
      <c r="I266" s="3"/>
      <c r="K266" s="3"/>
      <c r="X266" s="4"/>
      <c r="AK266" s="5"/>
    </row>
    <row r="267" spans="2:37" x14ac:dyDescent="0.25">
      <c r="B267" s="1"/>
      <c r="E267" s="2"/>
      <c r="H267" s="3"/>
      <c r="I267" s="3"/>
      <c r="K267" s="3"/>
      <c r="L267" s="3"/>
      <c r="X267" s="4"/>
      <c r="Z267" s="3"/>
      <c r="AA267" s="3"/>
      <c r="AE267" s="3"/>
      <c r="AK267" s="5"/>
    </row>
    <row r="268" spans="2:37" x14ac:dyDescent="0.25">
      <c r="B268" s="1"/>
      <c r="E268" s="2"/>
      <c r="H268" s="3"/>
      <c r="I268" s="3"/>
      <c r="K268" s="3"/>
      <c r="L268" s="3"/>
      <c r="X268" s="4"/>
      <c r="Z268" s="3"/>
      <c r="AA268" s="3"/>
      <c r="AE268" s="3"/>
      <c r="AK268" s="5"/>
    </row>
    <row r="269" spans="2:37" x14ac:dyDescent="0.25">
      <c r="B269" s="1"/>
      <c r="E269" s="2"/>
      <c r="F269" s="3"/>
      <c r="G269" s="3"/>
      <c r="H269" s="3"/>
      <c r="I269" s="3"/>
      <c r="K269" s="3"/>
      <c r="X269" s="4"/>
      <c r="AE269" s="3"/>
      <c r="AK269" s="5"/>
    </row>
    <row r="270" spans="2:37" x14ac:dyDescent="0.25">
      <c r="B270" s="1"/>
      <c r="E270" s="2"/>
      <c r="H270" s="3"/>
      <c r="I270" s="3"/>
      <c r="K270" s="3"/>
      <c r="L270" s="3"/>
      <c r="X270" s="4"/>
      <c r="Z270" s="3"/>
      <c r="AB270" s="3"/>
      <c r="AE270" s="3"/>
      <c r="AK270" s="5"/>
    </row>
    <row r="271" spans="2:37" x14ac:dyDescent="0.25">
      <c r="B271" s="1"/>
      <c r="E271" s="2"/>
      <c r="H271" s="3"/>
      <c r="I271" s="3"/>
      <c r="K271" s="3"/>
      <c r="L271" s="3"/>
      <c r="X271" s="4"/>
      <c r="Z271" s="3"/>
      <c r="AB271" s="3"/>
      <c r="AE271" s="3"/>
      <c r="AK271" s="5"/>
    </row>
    <row r="272" spans="2:37" x14ac:dyDescent="0.25">
      <c r="B272" s="1"/>
      <c r="D272" s="3"/>
      <c r="E272" s="2"/>
      <c r="G272" s="3"/>
      <c r="H272" s="3"/>
      <c r="I272" s="3"/>
      <c r="K272" s="3"/>
      <c r="L272" s="3"/>
      <c r="X272" s="4"/>
      <c r="Z272" s="3"/>
      <c r="AE272" s="3"/>
      <c r="AK272" s="5"/>
    </row>
    <row r="273" spans="2:37" x14ac:dyDescent="0.25">
      <c r="B273" s="1"/>
      <c r="E273" s="2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D274" s="3"/>
      <c r="E274" s="2"/>
      <c r="G274" s="3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Z275" s="3"/>
      <c r="AE275" s="3"/>
      <c r="AK275" s="5"/>
    </row>
    <row r="276" spans="2:37" x14ac:dyDescent="0.25">
      <c r="B276" s="1"/>
      <c r="E276" s="2"/>
      <c r="H276" s="3"/>
      <c r="I276" s="3"/>
      <c r="K276" s="3"/>
      <c r="L276" s="3"/>
      <c r="X276" s="4"/>
      <c r="Z276" s="3"/>
      <c r="AA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B277" s="3"/>
      <c r="AE277" s="3"/>
      <c r="AK277" s="5"/>
    </row>
    <row r="278" spans="2:37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E279" s="3"/>
      <c r="AK279" s="5"/>
    </row>
    <row r="280" spans="2:37" x14ac:dyDescent="0.25">
      <c r="B280" s="1"/>
      <c r="E280" s="2"/>
      <c r="H280" s="3"/>
      <c r="I280" s="3"/>
      <c r="K280" s="3"/>
      <c r="L280" s="3"/>
      <c r="X280" s="4"/>
      <c r="AE280" s="3"/>
      <c r="AK280" s="5"/>
    </row>
    <row r="281" spans="2:37" x14ac:dyDescent="0.25">
      <c r="B281" s="1"/>
      <c r="E281" s="2"/>
      <c r="F281" s="3"/>
      <c r="G281" s="3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1"/>
      <c r="E283" s="2"/>
      <c r="G283" s="3"/>
      <c r="H283" s="3"/>
      <c r="I283" s="3"/>
      <c r="K283" s="3"/>
      <c r="L283" s="3"/>
      <c r="X283" s="4"/>
      <c r="Z283" s="3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Z284" s="3"/>
      <c r="AB284" s="3"/>
      <c r="AE284" s="3"/>
      <c r="AK284" s="5"/>
    </row>
    <row r="285" spans="2:37" x14ac:dyDescent="0.25">
      <c r="B285" s="1"/>
      <c r="E285" s="2"/>
      <c r="G285" s="3"/>
      <c r="H285" s="3"/>
      <c r="I285" s="3"/>
      <c r="K285" s="3"/>
      <c r="L285" s="3"/>
      <c r="X285" s="4"/>
      <c r="AB285" s="3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Z286" s="3"/>
      <c r="AB286" s="3"/>
      <c r="AE286" s="3"/>
      <c r="AK286" s="5"/>
    </row>
    <row r="287" spans="2:37" x14ac:dyDescent="0.25">
      <c r="B287" s="1"/>
      <c r="E287" s="2"/>
      <c r="F287" s="3"/>
      <c r="G287" s="3"/>
      <c r="H287" s="3"/>
      <c r="I287" s="3"/>
      <c r="K287" s="3"/>
      <c r="L287" s="3"/>
      <c r="X287" s="4"/>
      <c r="Z287" s="3"/>
      <c r="AE287" s="3"/>
      <c r="AK287" s="5"/>
    </row>
    <row r="288" spans="2:37" x14ac:dyDescent="0.25">
      <c r="B288" s="3"/>
      <c r="E288" s="2"/>
      <c r="G288" s="3"/>
      <c r="H288" s="3"/>
      <c r="I288" s="3"/>
      <c r="K288" s="3"/>
      <c r="X288" s="4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AE289" s="3"/>
      <c r="AK289" s="5"/>
    </row>
    <row r="290" spans="2:37" x14ac:dyDescent="0.25">
      <c r="B290" s="1"/>
      <c r="D290" s="3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L292" s="3"/>
      <c r="X292" s="4"/>
      <c r="Z292" s="3"/>
      <c r="AD292" s="3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Z294" s="3"/>
      <c r="AE294" s="3"/>
      <c r="AK294" s="5"/>
    </row>
    <row r="295" spans="2:37" x14ac:dyDescent="0.25">
      <c r="B295" s="1"/>
      <c r="E295" s="2"/>
      <c r="H295" s="3"/>
      <c r="I295" s="3"/>
      <c r="K295" s="3"/>
      <c r="L295" s="3"/>
      <c r="X295" s="4"/>
      <c r="AB295" s="3"/>
      <c r="AE295" s="3"/>
      <c r="AK295" s="5"/>
    </row>
    <row r="296" spans="2:37" x14ac:dyDescent="0.25">
      <c r="B296" s="1"/>
      <c r="E296" s="2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X297" s="4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B298" s="3"/>
      <c r="AE298" s="3"/>
      <c r="AK298" s="5"/>
    </row>
    <row r="299" spans="2:37" x14ac:dyDescent="0.25">
      <c r="B299" s="1"/>
      <c r="E299" s="2"/>
      <c r="H299" s="3"/>
      <c r="I299" s="3"/>
      <c r="K299" s="3"/>
      <c r="L299" s="3"/>
      <c r="X299" s="4"/>
      <c r="AE299" s="3"/>
      <c r="AK299" s="5"/>
    </row>
    <row r="300" spans="2:37" x14ac:dyDescent="0.25">
      <c r="B300" s="1"/>
      <c r="D300" s="3"/>
      <c r="E300" s="2"/>
      <c r="G300" s="3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E303" s="2"/>
      <c r="H303" s="3"/>
      <c r="I303" s="3"/>
      <c r="K303" s="3"/>
      <c r="L303" s="3"/>
      <c r="X303" s="4"/>
      <c r="Z303" s="3"/>
      <c r="AE303" s="3"/>
      <c r="AK303" s="5"/>
    </row>
    <row r="304" spans="2:37" x14ac:dyDescent="0.25">
      <c r="B304" s="1"/>
      <c r="D304" s="3"/>
      <c r="E304" s="2"/>
      <c r="G304" s="3"/>
      <c r="H304" s="3"/>
      <c r="I304" s="3"/>
      <c r="K304" s="3"/>
      <c r="L304" s="3"/>
      <c r="X304" s="4"/>
      <c r="AB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Z305" s="3"/>
      <c r="AE305" s="3"/>
      <c r="AK305" s="5"/>
    </row>
    <row r="306" spans="2:37" x14ac:dyDescent="0.25">
      <c r="B306" s="1"/>
      <c r="D306" s="3"/>
      <c r="E306" s="2"/>
      <c r="G306" s="3"/>
      <c r="H306" s="3"/>
      <c r="I306" s="3"/>
      <c r="K306" s="3"/>
      <c r="L306" s="3"/>
      <c r="X306" s="4"/>
      <c r="Z306" s="3"/>
      <c r="AE306" s="3"/>
      <c r="AK306" s="5"/>
    </row>
    <row r="307" spans="2:37" x14ac:dyDescent="0.25">
      <c r="B307" s="1"/>
      <c r="E307" s="2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D308" s="3"/>
      <c r="E308" s="2"/>
      <c r="G308" s="3"/>
      <c r="H308" s="3"/>
      <c r="I308" s="3"/>
      <c r="K308" s="3"/>
      <c r="L308" s="3"/>
      <c r="X308" s="4"/>
      <c r="Z308" s="3"/>
      <c r="AD308" s="3"/>
      <c r="AE308" s="3"/>
      <c r="AK308" s="5"/>
    </row>
    <row r="309" spans="2:37" x14ac:dyDescent="0.25">
      <c r="B309" s="1"/>
      <c r="E309" s="2"/>
      <c r="H309" s="3"/>
      <c r="I309" s="3"/>
      <c r="K309" s="3"/>
      <c r="L309" s="3"/>
      <c r="X309" s="4"/>
      <c r="Z309" s="3"/>
      <c r="AB309" s="3"/>
      <c r="AD309" s="3"/>
      <c r="AE309" s="3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AD310" s="3"/>
      <c r="AE310" s="3"/>
      <c r="AK310" s="5"/>
    </row>
    <row r="311" spans="2:37" x14ac:dyDescent="0.25">
      <c r="B311" s="1"/>
      <c r="E311" s="2"/>
      <c r="G311" s="3"/>
      <c r="H311" s="3"/>
      <c r="I311" s="3"/>
      <c r="K311" s="3"/>
      <c r="L311" s="3"/>
      <c r="X311" s="4"/>
      <c r="AE311" s="3"/>
      <c r="AK311" s="5"/>
    </row>
    <row r="312" spans="2:37" x14ac:dyDescent="0.25">
      <c r="B312" s="1"/>
      <c r="D312" s="3"/>
      <c r="E312" s="2"/>
      <c r="G312" s="3"/>
      <c r="H312" s="3"/>
      <c r="I312" s="3"/>
      <c r="K312" s="3"/>
      <c r="L312" s="3"/>
      <c r="X312" s="4"/>
      <c r="Z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1"/>
      <c r="E314" s="2"/>
      <c r="G314" s="3"/>
      <c r="H314" s="3"/>
      <c r="I314" s="3"/>
      <c r="K314" s="3"/>
      <c r="X314" s="4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Z315" s="3"/>
      <c r="AE315" s="3"/>
      <c r="AK315" s="5"/>
    </row>
    <row r="316" spans="2:37" x14ac:dyDescent="0.25">
      <c r="B316" s="3"/>
      <c r="E316" s="2"/>
      <c r="G316" s="3"/>
      <c r="H316" s="3"/>
      <c r="I316" s="3"/>
      <c r="K316" s="3"/>
      <c r="L316" s="3"/>
      <c r="X316" s="4"/>
      <c r="Z316" s="3"/>
      <c r="AE316" s="3"/>
    </row>
    <row r="317" spans="2:37" x14ac:dyDescent="0.25">
      <c r="B317" s="1"/>
      <c r="E317" s="2"/>
      <c r="H317" s="3"/>
      <c r="I317" s="3"/>
      <c r="K317" s="3"/>
      <c r="L317" s="3"/>
      <c r="X317" s="4"/>
      <c r="AD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AE318" s="3"/>
      <c r="AK318" s="5"/>
    </row>
    <row r="319" spans="2:37" x14ac:dyDescent="0.25">
      <c r="B319" s="3"/>
      <c r="E319" s="2"/>
      <c r="G319" s="3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  <c r="AE320" s="3"/>
      <c r="AK320" s="5"/>
    </row>
    <row r="321" spans="2:37" x14ac:dyDescent="0.25">
      <c r="B321" s="1"/>
      <c r="E321" s="2"/>
      <c r="G321" s="3"/>
      <c r="H321" s="3"/>
      <c r="I321" s="3"/>
      <c r="K321" s="3"/>
      <c r="X321" s="4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Z322" s="3"/>
      <c r="AB322" s="3"/>
      <c r="AE322" s="3"/>
      <c r="AK322" s="5"/>
    </row>
    <row r="323" spans="2:37" x14ac:dyDescent="0.25">
      <c r="B323" s="1"/>
      <c r="E323" s="2"/>
      <c r="H323" s="3"/>
      <c r="I323" s="3"/>
      <c r="K323" s="3"/>
      <c r="L323" s="3"/>
      <c r="X323" s="4"/>
      <c r="Z323" s="3"/>
      <c r="AD323" s="3"/>
      <c r="AE323" s="3"/>
      <c r="AK323" s="5"/>
    </row>
    <row r="324" spans="2:37" x14ac:dyDescent="0.25">
      <c r="B324" s="1"/>
      <c r="E324" s="2"/>
      <c r="H324" s="3"/>
      <c r="I324" s="3"/>
      <c r="K324" s="3"/>
      <c r="L324" s="3"/>
      <c r="X324" s="4"/>
      <c r="Z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</row>
    <row r="326" spans="2:37" x14ac:dyDescent="0.25">
      <c r="B326" s="1"/>
      <c r="E326" s="2"/>
      <c r="G326" s="3"/>
      <c r="H326" s="3"/>
      <c r="I326" s="3"/>
      <c r="K326" s="3"/>
      <c r="L326" s="3"/>
      <c r="X326" s="4"/>
      <c r="Z326" s="3"/>
      <c r="AE326" s="3"/>
      <c r="AK326" s="5"/>
    </row>
    <row r="327" spans="2:37" x14ac:dyDescent="0.25">
      <c r="B327" s="1"/>
      <c r="E327" s="2"/>
      <c r="H327" s="3"/>
      <c r="I327" s="3"/>
      <c r="K327" s="3"/>
      <c r="L327" s="3"/>
      <c r="X327" s="4"/>
      <c r="AK327" s="5"/>
    </row>
    <row r="328" spans="2:37" x14ac:dyDescent="0.25">
      <c r="B328" s="1"/>
      <c r="D328" s="3"/>
      <c r="E328" s="2"/>
      <c r="H328" s="3"/>
      <c r="I328" s="3"/>
      <c r="K328" s="3"/>
      <c r="L328" s="3"/>
      <c r="X328" s="4"/>
      <c r="AK328" s="5"/>
    </row>
    <row r="329" spans="2:37" x14ac:dyDescent="0.25">
      <c r="B329" s="1"/>
      <c r="D329" s="3"/>
      <c r="E329" s="2"/>
      <c r="G329" s="3"/>
      <c r="H329" s="3"/>
      <c r="I329" s="3"/>
      <c r="K329" s="3"/>
      <c r="L329" s="3"/>
      <c r="X329" s="4"/>
      <c r="AB329" s="3"/>
      <c r="AE329" s="3"/>
      <c r="AK329" s="5"/>
    </row>
    <row r="330" spans="2:37" x14ac:dyDescent="0.25">
      <c r="B330" s="1"/>
      <c r="E330" s="2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B331" s="3"/>
      <c r="AE331" s="3"/>
      <c r="AK331" s="5"/>
    </row>
    <row r="332" spans="2:37" x14ac:dyDescent="0.25">
      <c r="B332" s="1"/>
      <c r="E332" s="2"/>
      <c r="H332" s="3"/>
      <c r="I332" s="3"/>
      <c r="K332" s="3"/>
      <c r="X332" s="4"/>
      <c r="AK332" s="5"/>
    </row>
    <row r="333" spans="2:37" x14ac:dyDescent="0.25">
      <c r="B333" s="1"/>
      <c r="E333" s="2"/>
      <c r="H333" s="3"/>
      <c r="I333" s="3"/>
      <c r="K333" s="3"/>
      <c r="X333" s="4"/>
      <c r="AK333" s="5"/>
    </row>
    <row r="334" spans="2:37" x14ac:dyDescent="0.25">
      <c r="B334" s="1"/>
      <c r="E334" s="2"/>
      <c r="H334" s="3"/>
      <c r="I334" s="3"/>
      <c r="K334" s="3"/>
      <c r="X334" s="4"/>
      <c r="AK334" s="5"/>
    </row>
    <row r="335" spans="2:37" x14ac:dyDescent="0.25">
      <c r="B335" s="1"/>
      <c r="E335" s="2"/>
      <c r="G335" s="3"/>
      <c r="H335" s="3"/>
      <c r="I335" s="3"/>
      <c r="K335" s="3"/>
      <c r="L335" s="3"/>
      <c r="X335" s="4"/>
      <c r="AA335" s="3"/>
      <c r="AE335" s="3"/>
      <c r="AK335" s="5"/>
    </row>
    <row r="336" spans="2:37" x14ac:dyDescent="0.25">
      <c r="B336" s="1"/>
      <c r="E336" s="2"/>
      <c r="H336" s="3"/>
      <c r="I336" s="3"/>
      <c r="K336" s="3"/>
      <c r="L336" s="3"/>
      <c r="X336" s="4"/>
      <c r="Z336" s="3"/>
      <c r="AE336" s="3"/>
      <c r="AK336" s="5"/>
    </row>
    <row r="337" spans="2:37" x14ac:dyDescent="0.25">
      <c r="B337" s="1"/>
      <c r="E337" s="2"/>
      <c r="H337" s="3"/>
      <c r="I337" s="3"/>
      <c r="K337" s="3"/>
      <c r="L337" s="3"/>
      <c r="X337" s="4"/>
      <c r="AA337" s="3"/>
      <c r="AB337" s="3"/>
      <c r="AE337" s="3"/>
      <c r="AK337" s="5"/>
    </row>
    <row r="338" spans="2:37" x14ac:dyDescent="0.25">
      <c r="B338" s="1"/>
      <c r="E338" s="2"/>
      <c r="H338" s="3"/>
      <c r="I338" s="3"/>
      <c r="K338" s="3"/>
      <c r="L338" s="3"/>
      <c r="X338" s="4"/>
      <c r="AA338" s="3"/>
      <c r="AE338" s="3"/>
      <c r="AK338" s="5"/>
    </row>
    <row r="339" spans="2:37" x14ac:dyDescent="0.25">
      <c r="B339" s="3"/>
      <c r="E339" s="2"/>
      <c r="G339" s="3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D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</row>
    <row r="342" spans="2:37" x14ac:dyDescent="0.25">
      <c r="B342" s="1"/>
      <c r="D342" s="3"/>
      <c r="E342" s="2"/>
      <c r="G342" s="3"/>
      <c r="H342" s="3"/>
      <c r="I342" s="3"/>
      <c r="K342" s="3"/>
      <c r="L342" s="3"/>
      <c r="X342" s="4"/>
    </row>
    <row r="343" spans="2:37" x14ac:dyDescent="0.25">
      <c r="B343" s="1"/>
      <c r="D343" s="3"/>
      <c r="E343" s="2"/>
      <c r="G343" s="3"/>
      <c r="H343" s="3"/>
      <c r="I343" s="3"/>
      <c r="K343" s="3"/>
      <c r="X343" s="4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x14ac:dyDescent="0.25">
      <c r="B346" s="1"/>
      <c r="E346" s="2"/>
      <c r="G346" s="3"/>
      <c r="H346" s="3"/>
      <c r="I346" s="3"/>
      <c r="K346" s="3"/>
      <c r="L346" s="3"/>
      <c r="X346" s="4"/>
      <c r="AD346" s="3"/>
      <c r="AE346" s="3"/>
      <c r="AK346" s="5"/>
    </row>
    <row r="347" spans="2:37" x14ac:dyDescent="0.25">
      <c r="B347" s="1"/>
      <c r="E347" s="2"/>
      <c r="H347" s="3"/>
      <c r="I347" s="3"/>
      <c r="K347" s="3"/>
      <c r="L347" s="3"/>
      <c r="X347" s="4"/>
      <c r="Z347" s="3"/>
      <c r="AE347" s="3"/>
      <c r="AK347" s="5"/>
    </row>
    <row r="348" spans="2:37" x14ac:dyDescent="0.25">
      <c r="B348" s="1"/>
      <c r="E348" s="2"/>
      <c r="G348" s="3"/>
      <c r="H348" s="3"/>
      <c r="I348" s="3"/>
      <c r="K348" s="3"/>
      <c r="L348" s="3"/>
      <c r="X348" s="4"/>
      <c r="AA348" s="3"/>
      <c r="AE348" s="3"/>
      <c r="AK348" s="5"/>
    </row>
    <row r="349" spans="2:37" x14ac:dyDescent="0.25">
      <c r="B349" s="1"/>
      <c r="E349" s="2"/>
      <c r="H349" s="3"/>
      <c r="I349" s="3"/>
      <c r="K349" s="3"/>
      <c r="L349" s="3"/>
      <c r="X349" s="4"/>
    </row>
    <row r="350" spans="2:37" x14ac:dyDescent="0.25">
      <c r="B350" s="3"/>
      <c r="G350" s="3"/>
    </row>
    <row r="351" spans="2:37" x14ac:dyDescent="0.25">
      <c r="B351" s="1"/>
      <c r="E351" s="2"/>
      <c r="H351" s="3"/>
      <c r="I351" s="3"/>
      <c r="K351" s="3"/>
      <c r="L351" s="3"/>
      <c r="X351" s="4"/>
      <c r="AK351" s="5"/>
    </row>
    <row r="352" spans="2:37" x14ac:dyDescent="0.25">
      <c r="B352" s="1"/>
      <c r="D352" s="3"/>
      <c r="E352" s="2"/>
      <c r="G352" s="3"/>
      <c r="H352" s="3"/>
      <c r="I352" s="3"/>
      <c r="K352" s="3"/>
      <c r="X352" s="4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E353" s="3"/>
      <c r="AK353" s="5"/>
    </row>
    <row r="354" spans="2:37" x14ac:dyDescent="0.25">
      <c r="B354" s="1"/>
      <c r="D354" s="3"/>
      <c r="E354" s="2"/>
      <c r="G354" s="3"/>
      <c r="H354" s="3"/>
      <c r="I354" s="3"/>
      <c r="K354" s="3"/>
      <c r="L354" s="3"/>
      <c r="X354" s="4"/>
      <c r="AB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AB355" s="3"/>
      <c r="AD355" s="3"/>
      <c r="AE355" s="3"/>
      <c r="AK355" s="5"/>
    </row>
    <row r="356" spans="2:37" x14ac:dyDescent="0.25">
      <c r="B356" s="1"/>
      <c r="D356" s="3"/>
      <c r="E356" s="2"/>
      <c r="G356" s="3"/>
      <c r="H356" s="3"/>
      <c r="I356" s="3"/>
      <c r="K356" s="3"/>
      <c r="L356" s="3"/>
      <c r="X356" s="4"/>
      <c r="AB356" s="3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B357" s="3"/>
      <c r="AE357" s="3"/>
      <c r="AK357" s="5"/>
    </row>
    <row r="358" spans="2:37" x14ac:dyDescent="0.25">
      <c r="B358" s="1"/>
      <c r="E358" s="2"/>
      <c r="H358" s="3"/>
      <c r="I358" s="3"/>
      <c r="K358" s="3"/>
      <c r="L358" s="3"/>
      <c r="X358" s="4"/>
      <c r="AB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AB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Z360" s="3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X361" s="4"/>
      <c r="AE361" s="3"/>
      <c r="AK361" s="5"/>
    </row>
    <row r="362" spans="2:37" x14ac:dyDescent="0.25">
      <c r="B362" s="1"/>
      <c r="E362" s="2"/>
      <c r="H362" s="3"/>
      <c r="I362" s="3"/>
      <c r="K362" s="3"/>
      <c r="L362" s="3"/>
      <c r="X362" s="4"/>
      <c r="Z362" s="3"/>
      <c r="AE362" s="3"/>
      <c r="AK362" s="5"/>
    </row>
    <row r="363" spans="2:37" x14ac:dyDescent="0.25">
      <c r="B363" s="1"/>
      <c r="E363" s="2"/>
      <c r="G363" s="3"/>
      <c r="H363" s="3"/>
      <c r="I363" s="3"/>
      <c r="K363" s="3"/>
      <c r="L363" s="3"/>
      <c r="X363" s="4"/>
      <c r="Z363" s="3"/>
      <c r="AE363" s="3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Z364" s="3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E365" s="3"/>
      <c r="AK365" s="5"/>
    </row>
    <row r="366" spans="2:37" x14ac:dyDescent="0.25">
      <c r="B366" s="1"/>
      <c r="E366" s="2"/>
      <c r="H366" s="3"/>
      <c r="I366" s="3"/>
      <c r="K366" s="3"/>
      <c r="L366" s="3"/>
      <c r="X366" s="4"/>
      <c r="AB366" s="3"/>
      <c r="AK366" s="5"/>
    </row>
    <row r="367" spans="2:37" x14ac:dyDescent="0.25">
      <c r="B367" s="1"/>
      <c r="E367" s="2"/>
      <c r="H367" s="3"/>
      <c r="I367" s="3"/>
      <c r="K367" s="3"/>
      <c r="X367" s="4"/>
      <c r="AK367" s="5"/>
    </row>
    <row r="368" spans="2:37" x14ac:dyDescent="0.25">
      <c r="B368" s="1"/>
      <c r="E368" s="2"/>
      <c r="H368" s="3"/>
      <c r="I368" s="3"/>
      <c r="K368" s="3"/>
      <c r="X368" s="4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B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  <c r="AB370" s="3"/>
      <c r="AK370" s="5"/>
    </row>
    <row r="371" spans="2:37" x14ac:dyDescent="0.25">
      <c r="B371" s="1"/>
      <c r="D371" s="3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A372" s="3"/>
      <c r="AD372" s="3"/>
      <c r="AE372" s="3"/>
      <c r="AK372" s="5"/>
    </row>
    <row r="373" spans="2:37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x14ac:dyDescent="0.25">
      <c r="B374" s="1"/>
      <c r="E374" s="2"/>
      <c r="H374" s="3"/>
      <c r="I374" s="3"/>
      <c r="K374" s="3"/>
      <c r="L374" s="3"/>
      <c r="X374" s="4"/>
      <c r="AD374" s="3"/>
      <c r="AE374" s="3"/>
      <c r="AK374" s="5"/>
    </row>
    <row r="375" spans="2:37" x14ac:dyDescent="0.25">
      <c r="B375" s="1"/>
      <c r="E375" s="2"/>
      <c r="H375" s="3"/>
      <c r="I375" s="3"/>
      <c r="K375" s="3"/>
      <c r="L375" s="3"/>
      <c r="X375" s="4"/>
    </row>
    <row r="376" spans="2:37" x14ac:dyDescent="0.25">
      <c r="B376" s="3"/>
      <c r="G376" s="3"/>
    </row>
    <row r="377" spans="2:37" x14ac:dyDescent="0.25">
      <c r="B377" s="1"/>
      <c r="E377" s="2"/>
      <c r="H377" s="3"/>
      <c r="I377" s="3"/>
      <c r="K377" s="3"/>
      <c r="L377" s="3"/>
      <c r="X377" s="4"/>
      <c r="AK377" s="5"/>
    </row>
    <row r="378" spans="2:37" x14ac:dyDescent="0.25">
      <c r="B378" s="3"/>
      <c r="E378" s="2"/>
      <c r="G378" s="3"/>
      <c r="H378" s="3"/>
      <c r="I378" s="3"/>
      <c r="K378" s="3"/>
      <c r="X378" s="4"/>
      <c r="AK378" s="5"/>
    </row>
    <row r="379" spans="2:37" x14ac:dyDescent="0.25">
      <c r="B379" s="1"/>
      <c r="E379" s="2"/>
      <c r="H379" s="3"/>
      <c r="I379" s="3"/>
      <c r="K379" s="3"/>
      <c r="X379" s="4"/>
      <c r="AE379" s="3"/>
      <c r="AK379" s="5"/>
    </row>
    <row r="380" spans="2:37" x14ac:dyDescent="0.25">
      <c r="B380" s="1"/>
      <c r="E380" s="2"/>
      <c r="G380" s="3"/>
      <c r="H380" s="3"/>
      <c r="I380" s="3"/>
      <c r="K380" s="3"/>
      <c r="L380" s="3"/>
      <c r="X380" s="4"/>
      <c r="AD380" s="3"/>
      <c r="AE380" s="3"/>
      <c r="AK380" s="5"/>
    </row>
    <row r="381" spans="2:37" x14ac:dyDescent="0.25">
      <c r="B381" s="1"/>
      <c r="E381" s="2"/>
      <c r="H381" s="3"/>
      <c r="I381" s="3"/>
      <c r="K381" s="3"/>
      <c r="L381" s="3"/>
      <c r="X381" s="4"/>
      <c r="AD381" s="3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AD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AA383" s="3"/>
      <c r="AE383" s="3"/>
      <c r="AK383" s="5"/>
    </row>
    <row r="384" spans="2:37" x14ac:dyDescent="0.25">
      <c r="B384" s="1"/>
      <c r="E384" s="2"/>
      <c r="F384" s="3"/>
      <c r="G384" s="3"/>
      <c r="H384" s="3"/>
      <c r="I384" s="3"/>
      <c r="K384" s="3"/>
      <c r="L384" s="3"/>
      <c r="X384" s="4"/>
    </row>
    <row r="385" spans="2:37" x14ac:dyDescent="0.25">
      <c r="B385" s="1"/>
      <c r="C385" s="3"/>
      <c r="E385" s="2"/>
      <c r="G385" s="3"/>
      <c r="H385" s="3"/>
      <c r="I385" s="3"/>
      <c r="K385" s="3"/>
      <c r="L385" s="3"/>
      <c r="X385" s="4"/>
      <c r="AE385" s="3"/>
      <c r="AK385" s="5"/>
    </row>
    <row r="386" spans="2:37" x14ac:dyDescent="0.25">
      <c r="B386" s="1"/>
      <c r="D386" s="3"/>
      <c r="E386" s="2"/>
      <c r="G386" s="3"/>
      <c r="H386" s="3"/>
      <c r="I386" s="3"/>
      <c r="K386" s="3"/>
      <c r="X386" s="4"/>
      <c r="AE386" s="3"/>
      <c r="AK386" s="5"/>
    </row>
    <row r="387" spans="2:37" x14ac:dyDescent="0.25">
      <c r="B387" s="1"/>
      <c r="E387" s="2"/>
      <c r="G387" s="3"/>
      <c r="H387" s="3"/>
      <c r="I387" s="3"/>
      <c r="K387" s="3"/>
      <c r="L387" s="3"/>
      <c r="X387" s="4"/>
      <c r="Z387" s="3"/>
      <c r="AE387" s="3"/>
      <c r="AK387" s="5"/>
    </row>
    <row r="388" spans="2:37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x14ac:dyDescent="0.25">
      <c r="B389" s="1"/>
      <c r="E389" s="2"/>
      <c r="G389" s="3"/>
      <c r="H389" s="3"/>
      <c r="I389" s="3"/>
      <c r="K389" s="3"/>
      <c r="L389" s="3"/>
      <c r="X389" s="4"/>
      <c r="AB389" s="3"/>
      <c r="AE389" s="3"/>
      <c r="AK389" s="5"/>
    </row>
    <row r="390" spans="2:37" x14ac:dyDescent="0.25">
      <c r="B390" s="3"/>
      <c r="E390" s="2"/>
      <c r="G390" s="3"/>
      <c r="H390" s="3"/>
      <c r="I390" s="3"/>
      <c r="K390" s="3"/>
      <c r="L390" s="3"/>
      <c r="X390" s="4"/>
      <c r="AB390" s="3"/>
      <c r="AD390" s="3"/>
      <c r="AE390" s="3"/>
      <c r="AK390" s="5"/>
    </row>
    <row r="391" spans="2:37" x14ac:dyDescent="0.25">
      <c r="B391" s="1"/>
      <c r="E391" s="2"/>
      <c r="H391" s="3"/>
      <c r="I391" s="3"/>
      <c r="K391" s="3"/>
      <c r="X391" s="4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D393" s="3"/>
      <c r="AK393" s="5"/>
    </row>
    <row r="394" spans="2:37" x14ac:dyDescent="0.25">
      <c r="B394" s="1"/>
      <c r="D394" s="3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Z396" s="3"/>
      <c r="AE396" s="3"/>
      <c r="AK396" s="5"/>
    </row>
    <row r="397" spans="2:37" x14ac:dyDescent="0.25">
      <c r="B397" s="1"/>
      <c r="E397" s="2"/>
      <c r="G397" s="3"/>
      <c r="H397" s="3"/>
      <c r="I397" s="3"/>
      <c r="K397" s="3"/>
      <c r="X397" s="4"/>
    </row>
    <row r="398" spans="2:37" x14ac:dyDescent="0.25">
      <c r="B398" s="1"/>
      <c r="E398" s="2"/>
      <c r="H398" s="3"/>
      <c r="I398" s="3"/>
      <c r="K398" s="3"/>
      <c r="L398" s="3"/>
      <c r="X398" s="4"/>
      <c r="AA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K400" s="5"/>
    </row>
    <row r="401" spans="2:37" x14ac:dyDescent="0.25">
      <c r="B401" s="1"/>
      <c r="D401" s="3"/>
      <c r="E401" s="2"/>
      <c r="X401" s="4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Z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D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Z404" s="3"/>
      <c r="AB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Z405" s="3"/>
      <c r="AB405" s="3"/>
      <c r="AD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2:37" x14ac:dyDescent="0.25">
      <c r="B408" s="1"/>
      <c r="E408" s="2"/>
      <c r="F408" s="3"/>
      <c r="G408" s="3"/>
      <c r="H408" s="3"/>
      <c r="I408" s="3"/>
      <c r="K408" s="3"/>
      <c r="L408" s="3"/>
      <c r="X408" s="4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D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AB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D413" s="3"/>
      <c r="AE413" s="3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AB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D415" s="3"/>
      <c r="AE415" s="3"/>
      <c r="AK415" s="5"/>
    </row>
    <row r="416" spans="2:37" x14ac:dyDescent="0.25">
      <c r="B416" s="1"/>
      <c r="E416" s="2"/>
      <c r="H416" s="3"/>
      <c r="I416" s="3"/>
      <c r="K416" s="3"/>
      <c r="L416" s="3"/>
      <c r="X416" s="4"/>
      <c r="Z416" s="3"/>
      <c r="AB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Z417" s="3"/>
      <c r="AD417" s="3"/>
      <c r="AE417" s="3"/>
      <c r="AK417" s="5"/>
    </row>
    <row r="418" spans="2:37" x14ac:dyDescent="0.25">
      <c r="B418" s="1"/>
      <c r="E418" s="2"/>
      <c r="H418" s="3"/>
      <c r="I418" s="3"/>
      <c r="K418" s="3"/>
      <c r="L418" s="3"/>
      <c r="X418" s="4"/>
      <c r="AB418" s="3"/>
      <c r="AE418" s="3"/>
      <c r="AK418" s="5"/>
    </row>
    <row r="419" spans="2:37" x14ac:dyDescent="0.25">
      <c r="B419" s="1"/>
      <c r="E419" s="2"/>
      <c r="G419" s="3"/>
      <c r="H419" s="3"/>
      <c r="I419" s="3"/>
      <c r="K419" s="3"/>
      <c r="L419" s="3"/>
      <c r="X419" s="4"/>
      <c r="AB419" s="3"/>
      <c r="AD419" s="3"/>
      <c r="AE419" s="3"/>
      <c r="AK419" s="5"/>
    </row>
    <row r="420" spans="2:37" x14ac:dyDescent="0.25">
      <c r="B420" s="1"/>
      <c r="E420" s="2"/>
      <c r="H420" s="3"/>
      <c r="I420" s="3"/>
      <c r="K420" s="3"/>
      <c r="L420" s="3"/>
      <c r="X420" s="4"/>
      <c r="AB420" s="3"/>
      <c r="AE420" s="3"/>
      <c r="AK420" s="5"/>
    </row>
    <row r="421" spans="2:37" x14ac:dyDescent="0.25">
      <c r="B421" s="1"/>
      <c r="E421" s="2"/>
      <c r="G421" s="3"/>
      <c r="H421" s="3"/>
      <c r="I421" s="3"/>
      <c r="K421" s="3"/>
      <c r="L421" s="3"/>
      <c r="X421" s="4"/>
      <c r="AD421" s="3"/>
      <c r="AE421" s="3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AB422" s="3"/>
      <c r="AE422" s="3"/>
      <c r="AK422" s="5"/>
    </row>
    <row r="423" spans="2:37" x14ac:dyDescent="0.25">
      <c r="B423" s="1"/>
      <c r="D423" s="3"/>
      <c r="E423" s="2"/>
      <c r="G423" s="3"/>
      <c r="H423" s="3"/>
      <c r="I423" s="3"/>
      <c r="K423" s="3"/>
      <c r="X423" s="4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B424" s="3"/>
      <c r="AD424" s="3"/>
      <c r="AE424" s="3"/>
      <c r="AK424" s="5"/>
    </row>
    <row r="425" spans="2:37" x14ac:dyDescent="0.25">
      <c r="B425" s="3"/>
      <c r="E425" s="2"/>
      <c r="G425" s="3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H427" s="3"/>
      <c r="I427" s="3"/>
      <c r="K427" s="3"/>
      <c r="X427" s="4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AK428" s="5"/>
    </row>
    <row r="429" spans="2:37" x14ac:dyDescent="0.25">
      <c r="B429" s="1"/>
      <c r="E429" s="2"/>
      <c r="G429" s="3"/>
      <c r="H429" s="3"/>
      <c r="I429" s="3"/>
      <c r="K429" s="3"/>
      <c r="X429" s="4"/>
      <c r="AK429" s="5"/>
    </row>
    <row r="430" spans="2:37" x14ac:dyDescent="0.25">
      <c r="B430" s="1"/>
      <c r="E430" s="2"/>
      <c r="H430" s="3"/>
      <c r="I430" s="3"/>
      <c r="K430" s="3"/>
      <c r="X430" s="4"/>
      <c r="AK430" s="5"/>
    </row>
    <row r="431" spans="2:37" x14ac:dyDescent="0.25">
      <c r="B431" s="1"/>
      <c r="E431" s="2"/>
      <c r="H431" s="3"/>
      <c r="I431" s="3"/>
      <c r="K431" s="3"/>
      <c r="L431" s="3"/>
      <c r="X431" s="4"/>
      <c r="Z431" s="3"/>
      <c r="AE431" s="3"/>
      <c r="AK431" s="5"/>
    </row>
    <row r="432" spans="2:37" x14ac:dyDescent="0.25">
      <c r="B432" s="1"/>
      <c r="E432" s="2"/>
      <c r="G432" s="3"/>
      <c r="H432" s="3"/>
      <c r="I432" s="3"/>
      <c r="K432" s="3"/>
      <c r="L432" s="3"/>
      <c r="X432" s="4"/>
      <c r="Z432" s="3"/>
      <c r="AE432" s="3"/>
      <c r="AK432" s="5"/>
    </row>
    <row r="433" spans="2:37" x14ac:dyDescent="0.25">
      <c r="B433" s="1"/>
      <c r="E433" s="2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F434" s="3"/>
      <c r="G434" s="3"/>
      <c r="H434" s="3"/>
      <c r="I434" s="3"/>
      <c r="K434" s="3"/>
      <c r="L434" s="3"/>
      <c r="X434" s="4"/>
      <c r="Z434" s="3"/>
      <c r="AE434" s="3"/>
      <c r="AK434" s="5"/>
    </row>
    <row r="435" spans="2:37" x14ac:dyDescent="0.25">
      <c r="B435" s="1"/>
      <c r="E435" s="2"/>
      <c r="H435" s="3"/>
      <c r="I435" s="3"/>
      <c r="K435" s="3"/>
      <c r="L435" s="3"/>
      <c r="X435" s="4"/>
      <c r="Z435" s="3"/>
      <c r="AB435" s="3"/>
      <c r="AE435" s="3"/>
      <c r="AK435" s="5"/>
    </row>
    <row r="436" spans="2:37" x14ac:dyDescent="0.25">
      <c r="B436" s="1"/>
      <c r="E436" s="2"/>
      <c r="H436" s="3"/>
      <c r="I436" s="3"/>
      <c r="K436" s="3"/>
      <c r="X436" s="4"/>
      <c r="AE436" s="3"/>
      <c r="AK436" s="5"/>
    </row>
    <row r="437" spans="2:37" x14ac:dyDescent="0.25">
      <c r="B437" s="1"/>
      <c r="E437" s="2"/>
      <c r="H437" s="3"/>
      <c r="I437" s="3"/>
      <c r="K437" s="3"/>
      <c r="X437" s="4"/>
      <c r="AE437" s="3"/>
      <c r="AK437" s="5"/>
    </row>
    <row r="438" spans="2:37" x14ac:dyDescent="0.25">
      <c r="B438" s="1"/>
      <c r="E438" s="2"/>
      <c r="G438" s="3"/>
      <c r="H438" s="3"/>
      <c r="I438" s="3"/>
      <c r="K438" s="3"/>
      <c r="L438" s="3"/>
      <c r="X438" s="4"/>
      <c r="Z438" s="3"/>
      <c r="AE438" s="3"/>
      <c r="AK438" s="5"/>
    </row>
    <row r="439" spans="2:37" x14ac:dyDescent="0.25">
      <c r="B439" s="1"/>
      <c r="E439" s="2"/>
      <c r="H439" s="3"/>
      <c r="I439" s="3"/>
      <c r="K439" s="3"/>
      <c r="L439" s="3"/>
      <c r="X439" s="4"/>
    </row>
    <row r="440" spans="2:37" x14ac:dyDescent="0.25">
      <c r="B440" s="3"/>
      <c r="G440" s="3"/>
    </row>
    <row r="441" spans="2:37" x14ac:dyDescent="0.25">
      <c r="B441" s="1"/>
      <c r="E441" s="2"/>
      <c r="H441" s="3"/>
      <c r="I441" s="3"/>
      <c r="K441" s="3"/>
      <c r="L441" s="3"/>
      <c r="X441" s="4"/>
      <c r="AE441" s="3"/>
      <c r="AK441" s="5"/>
    </row>
    <row r="442" spans="2:37" x14ac:dyDescent="0.25">
      <c r="B442" s="3"/>
      <c r="E442" s="2"/>
      <c r="F442" s="3"/>
      <c r="G442" s="3"/>
      <c r="H442" s="3"/>
      <c r="I442" s="3"/>
      <c r="K442" s="3"/>
      <c r="L442" s="3"/>
      <c r="X442" s="4"/>
    </row>
    <row r="443" spans="2:37" x14ac:dyDescent="0.25">
      <c r="B443" s="1"/>
      <c r="E443" s="2"/>
      <c r="G443" s="3"/>
      <c r="H443" s="3"/>
      <c r="I443" s="3"/>
      <c r="K443" s="3"/>
      <c r="X443" s="4"/>
    </row>
    <row r="444" spans="2:37" x14ac:dyDescent="0.25">
      <c r="B444" s="1"/>
      <c r="E444" s="2"/>
      <c r="H444" s="3"/>
      <c r="I444" s="3"/>
      <c r="K444" s="3"/>
      <c r="X444" s="4"/>
    </row>
    <row r="445" spans="2:37" x14ac:dyDescent="0.25">
      <c r="B445" s="1"/>
      <c r="E445" s="2"/>
      <c r="G445" s="3"/>
      <c r="H445" s="3"/>
      <c r="I445" s="3"/>
      <c r="K445" s="3"/>
      <c r="L445" s="3"/>
      <c r="X445" s="4"/>
      <c r="AB445" s="3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A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  <c r="Z447" s="3"/>
      <c r="AE447" s="3"/>
      <c r="AK447" s="5"/>
    </row>
    <row r="448" spans="2:37" x14ac:dyDescent="0.25">
      <c r="B448" s="1"/>
      <c r="E448" s="2"/>
      <c r="H448" s="3"/>
      <c r="I448" s="3"/>
      <c r="K448" s="3"/>
      <c r="X448" s="4"/>
    </row>
    <row r="449" spans="2:37" x14ac:dyDescent="0.25">
      <c r="B449" s="1"/>
      <c r="E449" s="2"/>
      <c r="G449" s="3"/>
      <c r="X449" s="4"/>
    </row>
    <row r="450" spans="2:37" x14ac:dyDescent="0.25">
      <c r="B450" s="1"/>
      <c r="E450" s="2"/>
      <c r="H450" s="3"/>
      <c r="I450" s="3"/>
      <c r="K450" s="3"/>
      <c r="X450" s="4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B451" s="3"/>
      <c r="AK451" s="5"/>
    </row>
    <row r="452" spans="2:37" x14ac:dyDescent="0.25">
      <c r="B452" s="1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  <c r="AD453" s="3"/>
      <c r="AE453" s="3"/>
      <c r="AK453" s="5"/>
    </row>
    <row r="454" spans="2:37" x14ac:dyDescent="0.25">
      <c r="B454" s="1"/>
      <c r="E454" s="2"/>
      <c r="H454" s="3"/>
      <c r="I454" s="3"/>
      <c r="K454" s="3"/>
      <c r="L454" s="3"/>
      <c r="X454" s="4"/>
      <c r="AE454" s="3"/>
      <c r="AK454" s="5"/>
    </row>
    <row r="455" spans="2:37" x14ac:dyDescent="0.25">
      <c r="B455" s="1"/>
      <c r="E455" s="2"/>
      <c r="G455" s="3"/>
      <c r="H455" s="3"/>
      <c r="I455" s="3"/>
      <c r="K455" s="3"/>
      <c r="L455" s="3"/>
      <c r="X455" s="4"/>
      <c r="AD455" s="3"/>
      <c r="AE455" s="3"/>
      <c r="AK455" s="5"/>
    </row>
    <row r="456" spans="2:37" x14ac:dyDescent="0.25">
      <c r="B456" s="1"/>
      <c r="E456" s="2"/>
      <c r="H456" s="3"/>
      <c r="I456" s="3"/>
      <c r="K456" s="3"/>
      <c r="L456" s="3"/>
      <c r="X456" s="4"/>
      <c r="AK456" s="5"/>
    </row>
    <row r="457" spans="2:37" x14ac:dyDescent="0.25">
      <c r="B457" s="3"/>
      <c r="E457" s="2"/>
      <c r="G457" s="3"/>
      <c r="H457" s="3"/>
      <c r="I457" s="3"/>
      <c r="K457" s="3"/>
      <c r="L457" s="3"/>
      <c r="X457" s="4"/>
      <c r="AD457" s="3"/>
      <c r="AE457" s="3"/>
      <c r="AK457" s="5"/>
    </row>
    <row r="458" spans="2:37" x14ac:dyDescent="0.25">
      <c r="B458" s="1"/>
      <c r="E458" s="2"/>
      <c r="H458" s="3"/>
      <c r="I458" s="3"/>
      <c r="K458" s="3"/>
      <c r="L458" s="3"/>
      <c r="X458" s="4"/>
    </row>
    <row r="459" spans="2:37" x14ac:dyDescent="0.25">
      <c r="B459" s="3"/>
      <c r="E459" s="2"/>
      <c r="G459" s="3"/>
      <c r="H459" s="3"/>
      <c r="I459" s="3"/>
      <c r="K459" s="3"/>
      <c r="L459" s="3"/>
      <c r="X459" s="4"/>
    </row>
    <row r="460" spans="2:37" x14ac:dyDescent="0.25">
      <c r="B460" s="1"/>
      <c r="E460" s="2"/>
      <c r="F460" s="3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1"/>
      <c r="E461" s="2"/>
      <c r="G461" s="3"/>
      <c r="H461" s="3"/>
      <c r="I461" s="3"/>
      <c r="K461" s="3"/>
      <c r="X461" s="4"/>
    </row>
    <row r="462" spans="2:37" x14ac:dyDescent="0.25">
      <c r="B462" s="1"/>
      <c r="E462" s="2"/>
      <c r="H462" s="3"/>
      <c r="I462" s="3"/>
      <c r="K462" s="3"/>
      <c r="L462" s="3"/>
    </row>
    <row r="463" spans="2:37" x14ac:dyDescent="0.25">
      <c r="B463" s="1"/>
      <c r="E463" s="2"/>
      <c r="F463" s="3"/>
      <c r="G463" s="3"/>
      <c r="H463" s="3"/>
      <c r="I463" s="3"/>
      <c r="K463" s="3"/>
      <c r="L463" s="3"/>
      <c r="X463" s="4"/>
      <c r="Z463" s="3"/>
      <c r="AE463" s="3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</row>
    <row r="466" spans="2:37" x14ac:dyDescent="0.25">
      <c r="B466" s="1"/>
      <c r="E466" s="2"/>
      <c r="F466" s="3"/>
      <c r="G466" s="3"/>
      <c r="H466" s="3"/>
      <c r="I466" s="3"/>
      <c r="K466" s="3"/>
      <c r="L466" s="3"/>
      <c r="X466" s="4"/>
      <c r="AB466" s="3"/>
      <c r="AD466" s="3"/>
      <c r="AE466" s="3"/>
      <c r="AK466" s="5"/>
    </row>
    <row r="467" spans="2:37" x14ac:dyDescent="0.25">
      <c r="B467" s="1"/>
      <c r="E467" s="2"/>
      <c r="H467" s="3"/>
      <c r="I467" s="3"/>
      <c r="K467" s="3"/>
      <c r="X467" s="4"/>
    </row>
    <row r="469" spans="2:37" x14ac:dyDescent="0.25">
      <c r="B469" s="1"/>
      <c r="E469" s="2"/>
      <c r="H469" s="3"/>
      <c r="I469" s="3"/>
      <c r="K469" s="3"/>
      <c r="L469" s="3"/>
      <c r="X469" s="4"/>
      <c r="Z469" s="3"/>
      <c r="AE469" s="3"/>
      <c r="AK469" s="5"/>
    </row>
    <row r="470" spans="2:37" x14ac:dyDescent="0.25">
      <c r="B470" s="3"/>
      <c r="E470" s="2"/>
      <c r="G470" s="3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Z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X472" s="4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Z473" s="3"/>
      <c r="AB473" s="3"/>
      <c r="AE473" s="3"/>
      <c r="AK473" s="5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A474" s="3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B475" s="3"/>
      <c r="AK475" s="5"/>
    </row>
    <row r="476" spans="2:37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Z477" s="3"/>
      <c r="AB477" s="3"/>
      <c r="AE477" s="3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B478" s="3"/>
      <c r="AE478" s="3"/>
      <c r="AK478" s="5"/>
    </row>
    <row r="479" spans="2:37" x14ac:dyDescent="0.25">
      <c r="B479" s="1"/>
      <c r="E479" s="2"/>
      <c r="H479" s="3"/>
      <c r="I479" s="3"/>
      <c r="K479" s="3"/>
      <c r="L479" s="3"/>
      <c r="X479" s="4"/>
      <c r="AB479" s="3"/>
      <c r="AE479" s="3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A480" s="3"/>
      <c r="AE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AB481" s="3"/>
      <c r="AD481" s="3"/>
      <c r="AE481" s="3"/>
      <c r="AK481" s="5"/>
    </row>
    <row r="482" spans="2:37" x14ac:dyDescent="0.25">
      <c r="B482" s="1"/>
      <c r="E482" s="2"/>
      <c r="H482" s="3"/>
      <c r="I482" s="3"/>
      <c r="K482" s="3"/>
      <c r="L482" s="3"/>
      <c r="X482" s="4"/>
      <c r="AB482" s="3"/>
      <c r="AK482" s="5"/>
    </row>
    <row r="483" spans="2:37" x14ac:dyDescent="0.25">
      <c r="B483" s="1"/>
      <c r="E483" s="2"/>
      <c r="G483" s="3"/>
      <c r="H483" s="3"/>
      <c r="I483" s="3"/>
      <c r="K483" s="3"/>
      <c r="L483" s="3"/>
      <c r="X483" s="4"/>
      <c r="AB483" s="3"/>
      <c r="AD483" s="3"/>
      <c r="AE483" s="3"/>
      <c r="AK483" s="5"/>
    </row>
    <row r="484" spans="2:37" x14ac:dyDescent="0.25">
      <c r="B484" s="1"/>
      <c r="E484" s="2"/>
      <c r="F484" s="3"/>
      <c r="G484" s="3"/>
      <c r="H484" s="3"/>
      <c r="I484" s="3"/>
      <c r="K484" s="3"/>
      <c r="L484" s="3"/>
      <c r="X484" s="4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  <c r="AB485" s="3"/>
      <c r="AK485" s="5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  <c r="Z486" s="3"/>
      <c r="AE486" s="3"/>
      <c r="AK486" s="5"/>
    </row>
    <row r="487" spans="2:37" x14ac:dyDescent="0.25">
      <c r="B487" s="1"/>
      <c r="E487" s="2"/>
      <c r="F487" s="3"/>
      <c r="G487" s="3"/>
      <c r="H487" s="3"/>
      <c r="I487" s="3"/>
      <c r="K487" s="3"/>
      <c r="L487" s="3"/>
      <c r="X487" s="4"/>
      <c r="AE487" s="3"/>
      <c r="AK487" s="5"/>
    </row>
    <row r="488" spans="2:37" x14ac:dyDescent="0.25">
      <c r="B488" s="1"/>
      <c r="E488" s="2"/>
      <c r="G488" s="3"/>
      <c r="H488" s="3"/>
      <c r="I488" s="3"/>
      <c r="K488" s="3"/>
      <c r="X488" s="4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K489" s="5"/>
    </row>
    <row r="490" spans="2:37" x14ac:dyDescent="0.25">
      <c r="B490" s="1"/>
      <c r="E490" s="2"/>
      <c r="G490" s="3"/>
      <c r="H490" s="3"/>
      <c r="I490" s="3"/>
      <c r="K490" s="3"/>
      <c r="L490" s="3"/>
      <c r="X490" s="4"/>
    </row>
    <row r="491" spans="2:37" x14ac:dyDescent="0.25">
      <c r="B491" s="1"/>
      <c r="E491" s="2"/>
      <c r="G491" s="3"/>
      <c r="H491" s="3"/>
      <c r="I491" s="3"/>
      <c r="K491" s="3"/>
      <c r="L491" s="3"/>
      <c r="X491" s="4"/>
    </row>
    <row r="492" spans="2:37" x14ac:dyDescent="0.25">
      <c r="B492" s="1"/>
      <c r="E492" s="2"/>
      <c r="F492" s="3"/>
      <c r="G492" s="3"/>
      <c r="H492" s="3"/>
      <c r="I492" s="3"/>
      <c r="K492" s="3"/>
      <c r="X492" s="4"/>
      <c r="AK492" s="5"/>
    </row>
    <row r="493" spans="2:37" x14ac:dyDescent="0.25">
      <c r="B493" s="1"/>
      <c r="E493" s="2"/>
      <c r="H493" s="3"/>
      <c r="I493" s="3"/>
      <c r="K493" s="3"/>
      <c r="L493" s="3"/>
      <c r="X493" s="4"/>
      <c r="Z493" s="3"/>
      <c r="AB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E494" s="3"/>
      <c r="AK494" s="5"/>
    </row>
    <row r="495" spans="2:37" x14ac:dyDescent="0.25">
      <c r="B495" s="1"/>
      <c r="D495" s="3"/>
      <c r="E495" s="2"/>
      <c r="H495" s="3"/>
      <c r="I495" s="3"/>
      <c r="K495" s="3"/>
      <c r="L495" s="3"/>
      <c r="X495" s="4"/>
      <c r="AE495" s="3"/>
      <c r="AK495" s="5"/>
    </row>
    <row r="496" spans="2:37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AD497" s="3"/>
      <c r="AE497" s="3"/>
      <c r="AK497" s="5"/>
    </row>
    <row r="498" spans="2:37" x14ac:dyDescent="0.25">
      <c r="B498" s="1"/>
      <c r="E498" s="2"/>
      <c r="G498" s="3"/>
      <c r="H498" s="3"/>
      <c r="I498" s="3"/>
      <c r="K498" s="3"/>
      <c r="L498" s="3"/>
      <c r="X498" s="4"/>
      <c r="AD498" s="3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D499" s="3"/>
      <c r="AE499" s="3"/>
      <c r="AK499" s="5"/>
    </row>
    <row r="500" spans="2:37" x14ac:dyDescent="0.25">
      <c r="B500" s="1"/>
      <c r="E500" s="2"/>
      <c r="G500" s="3"/>
      <c r="H500" s="3"/>
      <c r="I500" s="3"/>
      <c r="K500" s="3"/>
      <c r="L500" s="3"/>
      <c r="X500" s="4"/>
      <c r="AB500" s="3"/>
      <c r="AE500" s="3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D502" s="3"/>
      <c r="E502" s="2"/>
      <c r="G502" s="3"/>
      <c r="H502" s="3"/>
      <c r="I502" s="3"/>
      <c r="K502" s="3"/>
      <c r="X502" s="4"/>
      <c r="AE502" s="3"/>
      <c r="AK502" s="5"/>
    </row>
    <row r="503" spans="2:37" x14ac:dyDescent="0.25">
      <c r="B503" s="1"/>
      <c r="E503" s="2"/>
      <c r="H503" s="3"/>
      <c r="I503" s="3"/>
      <c r="K503" s="3"/>
      <c r="X503" s="4"/>
      <c r="AE503" s="3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AK504" s="5"/>
    </row>
    <row r="505" spans="2:37" x14ac:dyDescent="0.25">
      <c r="B505" s="1"/>
      <c r="E505" s="2"/>
      <c r="F505" s="3"/>
      <c r="G505" s="3"/>
      <c r="H505" s="3"/>
      <c r="I505" s="3"/>
      <c r="K505" s="3"/>
      <c r="X505" s="4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Z506" s="3"/>
      <c r="AE506" s="3"/>
      <c r="AK506" s="5"/>
    </row>
    <row r="507" spans="2:37" x14ac:dyDescent="0.25">
      <c r="B507" s="1"/>
      <c r="E507" s="2"/>
      <c r="H507" s="3"/>
      <c r="I507" s="3"/>
      <c r="K507" s="3"/>
      <c r="L507" s="3"/>
      <c r="X507" s="4"/>
      <c r="AE507" s="3"/>
      <c r="AK507" s="5"/>
    </row>
    <row r="508" spans="2:37" x14ac:dyDescent="0.25">
      <c r="B508" s="1"/>
      <c r="D508" s="3"/>
      <c r="E508" s="2"/>
      <c r="G508" s="3"/>
      <c r="H508" s="3"/>
      <c r="I508" s="3"/>
      <c r="K508" s="3"/>
      <c r="L508" s="3"/>
      <c r="X508" s="4"/>
      <c r="Z508" s="3"/>
      <c r="AB508" s="3"/>
      <c r="AE508" s="3"/>
      <c r="AK508" s="5"/>
    </row>
    <row r="509" spans="2:37" x14ac:dyDescent="0.25">
      <c r="B509" s="1"/>
      <c r="E509" s="2"/>
      <c r="H509" s="3"/>
      <c r="I509" s="3"/>
      <c r="K509" s="3"/>
      <c r="X509" s="4"/>
      <c r="AK509" s="5"/>
    </row>
    <row r="510" spans="2:37" x14ac:dyDescent="0.25">
      <c r="B510" s="1"/>
      <c r="E510" s="2"/>
      <c r="G510" s="3"/>
      <c r="H510" s="3"/>
      <c r="I510" s="3"/>
      <c r="K510" s="3"/>
      <c r="L510" s="3"/>
      <c r="X510" s="4"/>
      <c r="AB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AK513" s="5"/>
    </row>
    <row r="514" spans="2:37" x14ac:dyDescent="0.25">
      <c r="B514" s="1"/>
      <c r="D514" s="3"/>
      <c r="E514" s="2"/>
      <c r="G514" s="3"/>
      <c r="H514" s="3"/>
      <c r="I514" s="3"/>
      <c r="K514" s="3"/>
      <c r="X514" s="4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  <c r="Z515" s="3"/>
      <c r="AD515" s="3"/>
      <c r="AE515" s="3"/>
      <c r="AK515" s="5"/>
    </row>
    <row r="516" spans="2:37" x14ac:dyDescent="0.25">
      <c r="B516" s="1"/>
      <c r="E516" s="2"/>
      <c r="H516" s="3"/>
      <c r="I516" s="3"/>
      <c r="K516" s="3"/>
      <c r="L516" s="3"/>
      <c r="X516" s="4"/>
      <c r="AD516" s="3"/>
      <c r="AE516" s="3"/>
      <c r="AK516" s="5"/>
    </row>
    <row r="517" spans="2:37" x14ac:dyDescent="0.25">
      <c r="B517" s="1"/>
      <c r="D517" s="3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G518" s="3"/>
      <c r="H518" s="3"/>
      <c r="I518" s="3"/>
      <c r="K518" s="3"/>
      <c r="L518" s="3"/>
      <c r="X518" s="4"/>
      <c r="Z518" s="3"/>
      <c r="AB518" s="3"/>
      <c r="AE518" s="3"/>
      <c r="AK518" s="5"/>
    </row>
    <row r="519" spans="2:37" x14ac:dyDescent="0.25">
      <c r="B519" s="1"/>
      <c r="E519" s="2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</row>
    <row r="521" spans="2:37" x14ac:dyDescent="0.25">
      <c r="B521" s="1"/>
      <c r="D521" s="3"/>
      <c r="E521" s="2"/>
      <c r="H521" s="3"/>
      <c r="I521" s="3"/>
      <c r="K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</row>
    <row r="523" spans="2:37" x14ac:dyDescent="0.25">
      <c r="B523" s="1"/>
      <c r="E523" s="2"/>
      <c r="F523" s="3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  <c r="Z524" s="3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  <c r="AK525" s="5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E527" s="2"/>
      <c r="G527" s="3"/>
      <c r="H527" s="3"/>
      <c r="I527" s="3"/>
      <c r="K527" s="3"/>
      <c r="L527" s="3"/>
      <c r="X527" s="4"/>
      <c r="AB527" s="3"/>
      <c r="AE527" s="3"/>
      <c r="AK527" s="5"/>
    </row>
    <row r="528" spans="2:37" x14ac:dyDescent="0.25">
      <c r="B528" s="1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</row>
    <row r="531" spans="2:37" x14ac:dyDescent="0.25">
      <c r="B531" s="3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D532" s="3"/>
      <c r="E532" s="2"/>
      <c r="G532" s="3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D533" s="3"/>
      <c r="E533" s="2"/>
      <c r="G533" s="3"/>
      <c r="H533" s="3"/>
      <c r="I533" s="3"/>
      <c r="K533" s="3"/>
      <c r="L533" s="3"/>
      <c r="X533" s="4"/>
    </row>
    <row r="534" spans="2:37" x14ac:dyDescent="0.25">
      <c r="B534" s="3"/>
      <c r="E534" s="2"/>
      <c r="G534" s="3"/>
      <c r="X534" s="4"/>
    </row>
    <row r="535" spans="2:37" x14ac:dyDescent="0.25">
      <c r="B535" s="1"/>
      <c r="E535" s="2"/>
      <c r="G535" s="3"/>
      <c r="H535" s="3"/>
      <c r="I535" s="3"/>
      <c r="K535" s="3"/>
      <c r="L535" s="3"/>
      <c r="X535" s="4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Z536" s="3"/>
      <c r="AD536" s="3"/>
      <c r="AE536" s="3"/>
      <c r="AK536" s="5"/>
    </row>
    <row r="537" spans="2:37" x14ac:dyDescent="0.25">
      <c r="B537" s="1"/>
      <c r="E537" s="2"/>
      <c r="H537" s="3"/>
      <c r="I537" s="3"/>
      <c r="K537" s="3"/>
      <c r="L537" s="3"/>
      <c r="X537" s="4"/>
      <c r="Z537" s="3"/>
      <c r="AE537" s="3"/>
      <c r="AK537" s="5"/>
    </row>
    <row r="538" spans="2:37" x14ac:dyDescent="0.25">
      <c r="B538" s="1"/>
      <c r="E538" s="2"/>
      <c r="H538" s="3"/>
      <c r="I538" s="3"/>
      <c r="K538" s="3"/>
      <c r="L538" s="3"/>
      <c r="X538" s="4"/>
      <c r="Z538" s="3"/>
      <c r="AE538" s="3"/>
      <c r="AK538" s="5"/>
    </row>
    <row r="539" spans="2:37" x14ac:dyDescent="0.25">
      <c r="B539" s="1"/>
      <c r="E539" s="2"/>
      <c r="H539" s="3"/>
      <c r="I539" s="3"/>
      <c r="K539" s="3"/>
      <c r="L539" s="3"/>
      <c r="X539" s="4"/>
    </row>
    <row r="540" spans="2:37" x14ac:dyDescent="0.25">
      <c r="B540" s="1"/>
      <c r="D540" s="3"/>
      <c r="E540" s="2"/>
      <c r="F540" s="3"/>
      <c r="G540" s="3"/>
      <c r="X540" s="4"/>
    </row>
    <row r="541" spans="2:37" x14ac:dyDescent="0.25">
      <c r="B541" s="1"/>
      <c r="E541" s="2"/>
      <c r="H541" s="3"/>
      <c r="I541" s="3"/>
      <c r="K541" s="3"/>
      <c r="L541" s="3"/>
      <c r="X541" s="4"/>
    </row>
    <row r="542" spans="2:37" x14ac:dyDescent="0.25">
      <c r="B542" s="1"/>
      <c r="D542" s="3"/>
      <c r="E542" s="2"/>
      <c r="F542" s="3"/>
      <c r="G542" s="3"/>
      <c r="H542" s="3"/>
      <c r="I542" s="3"/>
      <c r="K542" s="3"/>
      <c r="X542" s="4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</row>
    <row r="544" spans="2:37" x14ac:dyDescent="0.25">
      <c r="B544" s="1"/>
      <c r="E544" s="2"/>
      <c r="G544" s="3"/>
      <c r="H544" s="3"/>
      <c r="I544" s="3"/>
      <c r="K544" s="3"/>
      <c r="X544" s="4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</row>
    <row r="547" spans="2:37" x14ac:dyDescent="0.25">
      <c r="B547" s="1"/>
      <c r="E547" s="2"/>
      <c r="F547" s="3"/>
      <c r="G547" s="3"/>
      <c r="H547" s="3"/>
      <c r="I547" s="3"/>
      <c r="K547" s="3"/>
      <c r="L547" s="3"/>
      <c r="X547" s="4"/>
      <c r="AK547" s="5"/>
    </row>
    <row r="548" spans="2:37" x14ac:dyDescent="0.25">
      <c r="B548" s="1"/>
      <c r="E548" s="2"/>
      <c r="F548" s="3"/>
      <c r="H548" s="3"/>
      <c r="I548" s="3"/>
      <c r="K548" s="3"/>
      <c r="L548" s="3"/>
      <c r="X548" s="4"/>
      <c r="Z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AB549" s="3"/>
      <c r="AD549" s="3"/>
      <c r="AE549" s="3"/>
      <c r="AK549" s="5"/>
    </row>
    <row r="550" spans="2:37" x14ac:dyDescent="0.25">
      <c r="B550" s="1"/>
      <c r="E550" s="2"/>
      <c r="H550" s="3"/>
      <c r="I550" s="3"/>
      <c r="K550" s="3"/>
      <c r="L550" s="3"/>
      <c r="X550" s="4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G552" s="3"/>
      <c r="H552" s="3"/>
      <c r="I552" s="3"/>
      <c r="K552" s="3"/>
      <c r="L552" s="3"/>
      <c r="X552" s="4"/>
      <c r="AB552" s="3"/>
      <c r="AE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AB553" s="3"/>
      <c r="AE553" s="3"/>
      <c r="AK553" s="5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  <c r="Z554" s="3"/>
      <c r="AE554" s="3"/>
      <c r="AK554" s="5"/>
    </row>
    <row r="555" spans="2:37" x14ac:dyDescent="0.25">
      <c r="B555" s="1"/>
      <c r="E555" s="2"/>
      <c r="F555" s="3"/>
      <c r="G555" s="3"/>
      <c r="H555" s="3"/>
      <c r="I555" s="3"/>
      <c r="K555" s="3"/>
      <c r="L555" s="3"/>
      <c r="X555" s="4"/>
      <c r="Z555" s="3"/>
      <c r="AB555" s="3"/>
      <c r="AE555" s="3"/>
      <c r="AK555" s="5"/>
    </row>
    <row r="556" spans="2:37" x14ac:dyDescent="0.25">
      <c r="B556" s="1"/>
      <c r="E556" s="2"/>
      <c r="G556" s="3"/>
      <c r="H556" s="3"/>
      <c r="I556" s="3"/>
      <c r="K556" s="3"/>
      <c r="L556" s="3"/>
      <c r="X556" s="4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L557" s="3"/>
      <c r="X557" s="4"/>
      <c r="Z557" s="3"/>
      <c r="AE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Z558" s="3"/>
      <c r="AB558" s="3"/>
      <c r="AE558" s="3"/>
      <c r="AK558" s="5"/>
    </row>
    <row r="559" spans="2:37" x14ac:dyDescent="0.25">
      <c r="B559" s="1"/>
      <c r="E559" s="2"/>
      <c r="F559" s="3"/>
      <c r="G559" s="3"/>
      <c r="H559" s="3"/>
      <c r="I559" s="3"/>
      <c r="K559" s="3"/>
      <c r="X559" s="4"/>
      <c r="AE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F561" s="3"/>
      <c r="G561" s="3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G562" s="3"/>
      <c r="H562" s="3"/>
      <c r="I562" s="3"/>
      <c r="K562" s="3"/>
      <c r="L562" s="3"/>
      <c r="X562" s="4"/>
      <c r="AD562" s="3"/>
      <c r="AE562" s="3"/>
      <c r="AK562" s="5"/>
    </row>
    <row r="563" spans="2:37" x14ac:dyDescent="0.25">
      <c r="B563" s="1"/>
      <c r="E563" s="2"/>
      <c r="F563" s="3"/>
      <c r="G563" s="3"/>
      <c r="H563" s="3"/>
      <c r="I563" s="3"/>
      <c r="K563" s="3"/>
      <c r="L563" s="3"/>
      <c r="X563" s="4"/>
      <c r="AE563" s="3"/>
      <c r="AK563" s="5"/>
    </row>
    <row r="564" spans="2:37" x14ac:dyDescent="0.25">
      <c r="B564" s="3"/>
      <c r="E564" s="2"/>
      <c r="G564" s="3"/>
      <c r="H564" s="3"/>
      <c r="I564" s="3"/>
      <c r="K564" s="3"/>
      <c r="L564" s="3"/>
      <c r="X564" s="4"/>
    </row>
    <row r="565" spans="2:37" x14ac:dyDescent="0.25">
      <c r="B565" s="1"/>
      <c r="E565" s="2"/>
      <c r="F565" s="3"/>
      <c r="G565" s="3"/>
      <c r="H565" s="3"/>
      <c r="I565" s="3"/>
      <c r="K565" s="3"/>
      <c r="L565" s="3"/>
      <c r="X565" s="4"/>
      <c r="AD565" s="3"/>
      <c r="AE565" s="3"/>
      <c r="AK565" s="5"/>
    </row>
    <row r="566" spans="2:37" x14ac:dyDescent="0.25">
      <c r="B566" s="1"/>
      <c r="E566" s="2"/>
      <c r="H566" s="3"/>
      <c r="I566" s="3"/>
      <c r="K566" s="3"/>
      <c r="L566" s="3"/>
      <c r="X566" s="4"/>
      <c r="AD566" s="3"/>
      <c r="AE566" s="3"/>
      <c r="AK566" s="5"/>
    </row>
    <row r="567" spans="2:37" x14ac:dyDescent="0.25">
      <c r="B567" s="1"/>
      <c r="E567" s="2"/>
      <c r="F567" s="3"/>
      <c r="G567" s="3"/>
      <c r="H567" s="3"/>
      <c r="I567" s="3"/>
      <c r="K567" s="3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</row>
    <row r="569" spans="2:37" x14ac:dyDescent="0.25">
      <c r="B569" s="3"/>
      <c r="E569" s="2"/>
      <c r="F569" s="3"/>
      <c r="G569" s="3"/>
      <c r="H569" s="3"/>
      <c r="I569" s="3"/>
      <c r="K569" s="3"/>
      <c r="L569" s="3"/>
      <c r="X569" s="4"/>
      <c r="Z569" s="3"/>
      <c r="AE569" s="3"/>
      <c r="AK569" s="5"/>
    </row>
    <row r="570" spans="2:37" x14ac:dyDescent="0.25">
      <c r="B570" s="1"/>
      <c r="E570" s="2"/>
      <c r="H570" s="3"/>
      <c r="I570" s="3"/>
      <c r="K570" s="3"/>
      <c r="L570" s="3"/>
      <c r="X570" s="4"/>
      <c r="AB570" s="3"/>
      <c r="AK570" s="5"/>
    </row>
    <row r="571" spans="2:37" x14ac:dyDescent="0.25">
      <c r="B571" s="1"/>
      <c r="E571" s="2"/>
      <c r="F571" s="3"/>
      <c r="G571" s="3"/>
      <c r="H571" s="3"/>
      <c r="I571" s="3"/>
      <c r="K571" s="3"/>
      <c r="L571" s="3"/>
      <c r="X571" s="4"/>
      <c r="AB571" s="3"/>
      <c r="AK571" s="5"/>
    </row>
    <row r="572" spans="2:37" x14ac:dyDescent="0.25">
      <c r="B572" s="1"/>
      <c r="E572" s="2"/>
      <c r="H572" s="3"/>
      <c r="I572" s="3"/>
      <c r="K572" s="3"/>
      <c r="L572" s="3"/>
      <c r="X572" s="4"/>
      <c r="AB572" s="3"/>
      <c r="AK572" s="5"/>
    </row>
    <row r="573" spans="2:37" x14ac:dyDescent="0.25">
      <c r="B573" s="1"/>
      <c r="E573" s="2"/>
      <c r="G573" s="3"/>
      <c r="H573" s="3"/>
      <c r="I573" s="3"/>
      <c r="K573" s="3"/>
      <c r="L573" s="3"/>
      <c r="X573" s="4"/>
      <c r="AB573" s="3"/>
      <c r="AK573" s="5"/>
    </row>
    <row r="574" spans="2:37" x14ac:dyDescent="0.25">
      <c r="B574" s="1"/>
      <c r="E574" s="2"/>
      <c r="H574" s="3"/>
      <c r="I574" s="3"/>
      <c r="K574" s="3"/>
      <c r="L574" s="3"/>
      <c r="X574" s="4"/>
    </row>
    <row r="575" spans="2:37" x14ac:dyDescent="0.25">
      <c r="B575" s="3"/>
      <c r="G575" s="3"/>
    </row>
    <row r="576" spans="2:37" x14ac:dyDescent="0.25">
      <c r="B576" s="1"/>
      <c r="E576" s="2"/>
      <c r="H576" s="3"/>
      <c r="I576" s="3"/>
      <c r="K576" s="3"/>
      <c r="L576" s="3"/>
      <c r="X576" s="4"/>
      <c r="AB576" s="3"/>
      <c r="AE576" s="3"/>
      <c r="AK576" s="5"/>
    </row>
    <row r="577" spans="2:37" x14ac:dyDescent="0.25">
      <c r="B577" s="1"/>
      <c r="E577" s="2"/>
      <c r="H577" s="3"/>
      <c r="I577" s="3"/>
      <c r="K577" s="3"/>
      <c r="X577" s="4"/>
    </row>
    <row r="578" spans="2:37" x14ac:dyDescent="0.25">
      <c r="B578" s="1"/>
      <c r="E578" s="2"/>
      <c r="H578" s="3"/>
      <c r="I578" s="3"/>
      <c r="K578" s="3"/>
      <c r="X578" s="4"/>
    </row>
    <row r="579" spans="2:37" x14ac:dyDescent="0.25">
      <c r="B579" s="1"/>
      <c r="E579" s="2"/>
      <c r="H579" s="3"/>
      <c r="I579" s="3"/>
      <c r="K579" s="3"/>
      <c r="X579" s="4"/>
      <c r="AE579" s="3"/>
      <c r="AK579" s="5"/>
    </row>
    <row r="580" spans="2:37" x14ac:dyDescent="0.25">
      <c r="B580" s="1"/>
      <c r="E580" s="2"/>
      <c r="H580" s="3"/>
      <c r="I580" s="3"/>
      <c r="K580" s="3"/>
      <c r="L580" s="3"/>
      <c r="X580" s="4"/>
    </row>
    <row r="581" spans="2:37" x14ac:dyDescent="0.25">
      <c r="F581" s="3"/>
      <c r="G581" s="3"/>
    </row>
    <row r="582" spans="2:37" x14ac:dyDescent="0.25">
      <c r="B582" s="1"/>
      <c r="E582" s="2"/>
      <c r="H582" s="3"/>
      <c r="I582" s="3"/>
      <c r="K582" s="3"/>
      <c r="L582" s="3"/>
      <c r="X582" s="4"/>
    </row>
    <row r="583" spans="2:37" x14ac:dyDescent="0.25">
      <c r="B583" s="3"/>
      <c r="D583" s="3"/>
      <c r="F583" s="3"/>
      <c r="G583" s="3"/>
    </row>
    <row r="584" spans="2:37" x14ac:dyDescent="0.25">
      <c r="B584" s="1"/>
      <c r="E584" s="2"/>
      <c r="H584" s="3"/>
      <c r="I584" s="3"/>
      <c r="K584" s="3"/>
      <c r="L584" s="3"/>
      <c r="X584" s="4"/>
      <c r="AD584" s="3"/>
      <c r="AE584" s="3"/>
      <c r="AK584" s="5"/>
    </row>
    <row r="585" spans="2:37" x14ac:dyDescent="0.25">
      <c r="B585" s="3"/>
      <c r="E585" s="2"/>
      <c r="G585" s="3"/>
      <c r="X585" s="4"/>
    </row>
    <row r="586" spans="2:37" x14ac:dyDescent="0.25">
      <c r="B586" s="1"/>
      <c r="E586" s="2"/>
      <c r="H586" s="3"/>
      <c r="I586" s="3"/>
      <c r="K586" s="3"/>
      <c r="L586" s="3"/>
      <c r="X586" s="4"/>
      <c r="Z586" s="3"/>
      <c r="AB586" s="3"/>
      <c r="AE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Z587" s="3"/>
      <c r="AE587" s="3"/>
      <c r="AK587" s="5"/>
    </row>
    <row r="588" spans="2:37" x14ac:dyDescent="0.25">
      <c r="B588" s="1"/>
      <c r="E588" s="2"/>
      <c r="G588" s="3"/>
      <c r="H588" s="3"/>
      <c r="I588" s="3"/>
      <c r="K588" s="3"/>
      <c r="X588" s="4"/>
      <c r="AK588" s="5"/>
    </row>
    <row r="589" spans="2:37" x14ac:dyDescent="0.25">
      <c r="B589" s="1"/>
      <c r="E589" s="2"/>
      <c r="H589" s="3"/>
      <c r="I589" s="3"/>
      <c r="K589" s="3"/>
      <c r="L589" s="3"/>
      <c r="X589" s="4"/>
      <c r="Z589" s="3"/>
      <c r="AE589" s="3"/>
      <c r="AK589" s="5"/>
    </row>
    <row r="590" spans="2:37" x14ac:dyDescent="0.25">
      <c r="B590" s="3"/>
      <c r="D590" s="3"/>
      <c r="E590" s="2"/>
      <c r="G590" s="3"/>
      <c r="H590" s="3"/>
      <c r="I590" s="3"/>
      <c r="K590" s="3"/>
      <c r="L590" s="3"/>
      <c r="X590" s="4"/>
    </row>
    <row r="591" spans="2:37" x14ac:dyDescent="0.25">
      <c r="B591" s="1"/>
      <c r="E591" s="2"/>
      <c r="G591" s="3"/>
      <c r="H591" s="3"/>
      <c r="I591" s="3"/>
      <c r="K591" s="3"/>
      <c r="L591" s="3"/>
      <c r="X591" s="4"/>
      <c r="Z591" s="3"/>
      <c r="AK591" s="5"/>
    </row>
    <row r="592" spans="2:37" x14ac:dyDescent="0.25">
      <c r="B592" s="1"/>
      <c r="E592" s="2"/>
      <c r="H592" s="3"/>
      <c r="I592" s="3"/>
      <c r="K592" s="3"/>
      <c r="L592" s="3"/>
      <c r="X592" s="4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3"/>
      <c r="E594" s="2"/>
      <c r="G594" s="3"/>
      <c r="H594" s="3"/>
      <c r="I594" s="3"/>
      <c r="K594" s="3"/>
      <c r="L594" s="3"/>
      <c r="X594" s="4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X595" s="4"/>
      <c r="AK595" s="5"/>
    </row>
    <row r="596" spans="2:37" x14ac:dyDescent="0.25">
      <c r="B596" s="1"/>
      <c r="E596" s="2"/>
      <c r="H596" s="3"/>
      <c r="I596" s="3"/>
      <c r="K596" s="3"/>
      <c r="L596" s="3"/>
      <c r="X596" s="4"/>
      <c r="AD596" s="3"/>
      <c r="AE596" s="3"/>
      <c r="AK596" s="5"/>
    </row>
    <row r="597" spans="2:37" x14ac:dyDescent="0.25">
      <c r="B597" s="1"/>
      <c r="E597" s="2"/>
      <c r="G597" s="3"/>
      <c r="H597" s="3"/>
      <c r="I597" s="3"/>
      <c r="K597" s="3"/>
      <c r="L597" s="3"/>
      <c r="X597" s="4"/>
      <c r="Z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L598" s="3"/>
      <c r="X598" s="4"/>
    </row>
    <row r="599" spans="2:37" x14ac:dyDescent="0.25">
      <c r="B599" s="1"/>
      <c r="E599" s="2"/>
      <c r="G599" s="3"/>
      <c r="H599" s="3"/>
      <c r="I599" s="3"/>
      <c r="K599" s="3"/>
      <c r="L599" s="3"/>
      <c r="X599" s="4"/>
      <c r="AB599" s="3"/>
      <c r="AK599" s="5"/>
    </row>
    <row r="600" spans="2:37" x14ac:dyDescent="0.25">
      <c r="B600" s="1"/>
      <c r="E600" s="2"/>
      <c r="H600" s="3"/>
      <c r="I600" s="3"/>
      <c r="K600" s="3"/>
      <c r="L600" s="3"/>
      <c r="X600" s="4"/>
    </row>
    <row r="601" spans="2:37" x14ac:dyDescent="0.25">
      <c r="B601" s="3"/>
      <c r="D601" s="3"/>
      <c r="G601" s="3"/>
    </row>
    <row r="602" spans="2:37" x14ac:dyDescent="0.25">
      <c r="B602" s="1"/>
      <c r="E602" s="2"/>
      <c r="H602" s="3"/>
      <c r="I602" s="3"/>
      <c r="K602" s="3"/>
      <c r="L602" s="3"/>
      <c r="X602" s="4"/>
      <c r="AE602" s="3"/>
      <c r="AK602" s="5"/>
    </row>
    <row r="603" spans="2:37" x14ac:dyDescent="0.25">
      <c r="B603" s="3"/>
      <c r="E603" s="2"/>
      <c r="G603" s="3"/>
      <c r="H603" s="3"/>
      <c r="I603" s="3"/>
      <c r="K603" s="3"/>
      <c r="L603" s="3"/>
      <c r="X603" s="4"/>
      <c r="Z603" s="3"/>
      <c r="AB603" s="3"/>
      <c r="AE603" s="3"/>
      <c r="AK603" s="5"/>
    </row>
    <row r="604" spans="2:37" x14ac:dyDescent="0.25">
      <c r="B604" s="1"/>
      <c r="E604" s="2"/>
      <c r="H604" s="3"/>
      <c r="I604" s="3"/>
      <c r="K604" s="3"/>
      <c r="L604" s="3"/>
      <c r="X604" s="4"/>
      <c r="AD604" s="3"/>
      <c r="AE604" s="3"/>
      <c r="AK604" s="5"/>
    </row>
    <row r="605" spans="2:37" x14ac:dyDescent="0.25">
      <c r="B605" s="1"/>
      <c r="E605" s="2"/>
      <c r="G605" s="3"/>
      <c r="H605" s="3"/>
      <c r="I605" s="3"/>
      <c r="K605" s="3"/>
      <c r="X605" s="4"/>
      <c r="AE605" s="3"/>
      <c r="AK605" s="5"/>
    </row>
    <row r="606" spans="2:37" x14ac:dyDescent="0.25">
      <c r="B606" s="1"/>
      <c r="E606" s="2"/>
      <c r="F606" s="3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x14ac:dyDescent="0.25">
      <c r="B607" s="1"/>
      <c r="E607" s="2"/>
      <c r="G607" s="3"/>
      <c r="H607" s="3"/>
      <c r="I607" s="3"/>
      <c r="K607" s="3"/>
      <c r="X607" s="4"/>
      <c r="AK607" s="5"/>
    </row>
    <row r="608" spans="2:37" x14ac:dyDescent="0.25">
      <c r="B608" s="1"/>
      <c r="E608" s="2"/>
      <c r="H608" s="3"/>
      <c r="I608" s="3"/>
      <c r="K608" s="3"/>
      <c r="L608" s="3"/>
      <c r="X608" s="4"/>
      <c r="AD608" s="3"/>
      <c r="AE608" s="3"/>
      <c r="AK608" s="5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D610" s="3"/>
      <c r="E610" s="2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X611" s="4"/>
    </row>
    <row r="612" spans="2:37" x14ac:dyDescent="0.25">
      <c r="B612" s="1"/>
      <c r="E612" s="2"/>
      <c r="H612" s="3"/>
      <c r="I612" s="3"/>
      <c r="K612" s="3"/>
      <c r="X612" s="4"/>
    </row>
    <row r="613" spans="2:37" x14ac:dyDescent="0.25">
      <c r="B613" s="1"/>
      <c r="E613" s="2"/>
      <c r="H613" s="3"/>
      <c r="I613" s="3"/>
      <c r="K613" s="3"/>
      <c r="X613" s="4"/>
    </row>
    <row r="614" spans="2:37" x14ac:dyDescent="0.25">
      <c r="B614" s="1"/>
      <c r="E614" s="2"/>
      <c r="G614" s="3"/>
      <c r="H614" s="3"/>
      <c r="I614" s="3"/>
      <c r="K614" s="3"/>
      <c r="L614" s="3"/>
      <c r="X614" s="4"/>
      <c r="AD614" s="3"/>
      <c r="AE614" s="3"/>
      <c r="AK614" s="5"/>
    </row>
    <row r="615" spans="2:37" x14ac:dyDescent="0.25">
      <c r="B615" s="1"/>
      <c r="E615" s="2"/>
      <c r="G615" s="3"/>
      <c r="H615" s="3"/>
      <c r="I615" s="3"/>
      <c r="K615" s="3"/>
      <c r="X615" s="4"/>
    </row>
    <row r="616" spans="2:37" x14ac:dyDescent="0.25">
      <c r="B616" s="1"/>
      <c r="E616" s="2"/>
      <c r="G616" s="3"/>
      <c r="H616" s="3"/>
      <c r="I616" s="3"/>
      <c r="K616" s="3"/>
      <c r="L616" s="3"/>
      <c r="X616" s="4"/>
    </row>
    <row r="617" spans="2:37" x14ac:dyDescent="0.25">
      <c r="B617" s="1"/>
      <c r="E617" s="2"/>
      <c r="G617" s="3"/>
      <c r="H617" s="3"/>
      <c r="I617" s="3"/>
      <c r="K617" s="3"/>
      <c r="L617" s="3"/>
      <c r="X617" s="4"/>
      <c r="AD617" s="3"/>
      <c r="AE617" s="3"/>
      <c r="AK617" s="5"/>
    </row>
    <row r="618" spans="2:37" x14ac:dyDescent="0.25">
      <c r="B618" s="1"/>
      <c r="E618" s="2"/>
      <c r="G618" s="3"/>
      <c r="H618" s="3"/>
      <c r="I618" s="3"/>
      <c r="K618" s="3"/>
      <c r="L618" s="3"/>
      <c r="X618" s="4"/>
    </row>
    <row r="619" spans="2:37" x14ac:dyDescent="0.25">
      <c r="B619" s="3"/>
      <c r="E619" s="2"/>
      <c r="G619" s="3"/>
      <c r="H619" s="3"/>
      <c r="I619" s="3"/>
      <c r="K619" s="3"/>
    </row>
    <row r="620" spans="2:37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x14ac:dyDescent="0.25">
      <c r="B622" s="1"/>
      <c r="E622" s="2"/>
      <c r="H622" s="3"/>
      <c r="I622" s="3"/>
      <c r="K622" s="3"/>
      <c r="L622" s="3"/>
      <c r="X622" s="4"/>
      <c r="Z622" s="3"/>
      <c r="AB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Z624" s="3"/>
      <c r="AE624" s="3"/>
      <c r="AK624" s="5"/>
    </row>
    <row r="625" spans="2:37" x14ac:dyDescent="0.25">
      <c r="B625" s="1"/>
      <c r="E625" s="2"/>
      <c r="H625" s="3"/>
      <c r="I625" s="3"/>
      <c r="K625" s="3"/>
      <c r="X625" s="4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D626" s="3"/>
      <c r="AE626" s="3"/>
      <c r="AK626" s="5"/>
    </row>
    <row r="627" spans="2:37" x14ac:dyDescent="0.25">
      <c r="B627" s="1"/>
      <c r="D627" s="3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x14ac:dyDescent="0.25">
      <c r="B628" s="1"/>
      <c r="E628" s="2"/>
      <c r="H628" s="3"/>
      <c r="I628" s="3"/>
      <c r="K628" s="3"/>
      <c r="L628" s="3"/>
      <c r="X628" s="4"/>
      <c r="Z628" s="3"/>
      <c r="AE628" s="3"/>
      <c r="AK628" s="5"/>
    </row>
    <row r="629" spans="2:37" x14ac:dyDescent="0.25">
      <c r="B629" s="1"/>
      <c r="D629" s="3"/>
      <c r="E629" s="2"/>
      <c r="G629" s="3"/>
      <c r="H629" s="3"/>
      <c r="I629" s="3"/>
      <c r="K629" s="3"/>
      <c r="X629" s="4"/>
    </row>
    <row r="630" spans="2:37" x14ac:dyDescent="0.25">
      <c r="B630" s="1"/>
      <c r="E630" s="2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</row>
    <row r="633" spans="2:37" x14ac:dyDescent="0.25">
      <c r="B633" s="1"/>
      <c r="E633" s="2"/>
      <c r="G633" s="3"/>
      <c r="H633" s="3"/>
      <c r="I633" s="3"/>
      <c r="K633" s="3"/>
      <c r="X633" s="4"/>
    </row>
    <row r="634" spans="2:37" x14ac:dyDescent="0.25">
      <c r="B634" s="1"/>
      <c r="E634" s="2"/>
      <c r="H634" s="3"/>
      <c r="I634" s="3"/>
      <c r="K634" s="3"/>
      <c r="L634" s="3"/>
      <c r="X634" s="4"/>
    </row>
    <row r="635" spans="2:37" x14ac:dyDescent="0.25">
      <c r="B635" s="1"/>
      <c r="D635" s="3"/>
      <c r="E635" s="2"/>
      <c r="G635" s="3"/>
      <c r="H635" s="3"/>
      <c r="I635" s="3"/>
      <c r="K635" s="3"/>
      <c r="X635" s="4"/>
    </row>
    <row r="636" spans="2:37" x14ac:dyDescent="0.25">
      <c r="B636" s="1"/>
      <c r="E636" s="2"/>
      <c r="H636" s="3"/>
      <c r="I636" s="3"/>
      <c r="K636" s="3"/>
      <c r="X636" s="4"/>
    </row>
    <row r="637" spans="2:37" x14ac:dyDescent="0.25">
      <c r="B637" s="1"/>
      <c r="E637" s="2"/>
      <c r="H637" s="3"/>
      <c r="I637" s="3"/>
      <c r="K637" s="3"/>
      <c r="L637" s="3"/>
      <c r="X637" s="4"/>
      <c r="AD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AB638" s="3"/>
      <c r="AD638" s="3"/>
      <c r="AE638" s="3"/>
      <c r="AK638" s="5"/>
    </row>
    <row r="639" spans="2:37" x14ac:dyDescent="0.25">
      <c r="B639" s="1"/>
      <c r="E639" s="2"/>
      <c r="G639" s="3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H640" s="3"/>
      <c r="I640" s="3"/>
      <c r="K640" s="3"/>
      <c r="L640" s="3"/>
      <c r="X640" s="4"/>
      <c r="AB640" s="3"/>
      <c r="AE640" s="3"/>
      <c r="AK640" s="5"/>
    </row>
    <row r="641" spans="2:37" x14ac:dyDescent="0.25">
      <c r="B641" s="1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D643" s="3"/>
      <c r="E643" s="2"/>
      <c r="G643" s="3"/>
      <c r="H643" s="3"/>
      <c r="I643" s="3"/>
      <c r="K643" s="3"/>
      <c r="L643" s="3"/>
      <c r="X643" s="4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AE644" s="3"/>
      <c r="AK644" s="5"/>
    </row>
    <row r="645" spans="2:37" x14ac:dyDescent="0.25">
      <c r="B645" s="1"/>
      <c r="E645" s="2"/>
      <c r="F645" s="3"/>
      <c r="G645" s="3"/>
      <c r="H645" s="3"/>
      <c r="I645" s="3"/>
      <c r="K645" s="3"/>
      <c r="X645" s="4"/>
      <c r="AK645" s="5"/>
    </row>
    <row r="646" spans="2:37" x14ac:dyDescent="0.25">
      <c r="B646" s="1"/>
      <c r="E646" s="2"/>
      <c r="H646" s="3"/>
      <c r="I646" s="3"/>
      <c r="K646" s="3"/>
      <c r="X646" s="4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Z647" s="3"/>
      <c r="AD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E648" s="3"/>
      <c r="AK648" s="5"/>
    </row>
    <row r="649" spans="2:37" x14ac:dyDescent="0.25">
      <c r="B649" s="1"/>
      <c r="D649" s="3"/>
      <c r="E649" s="2"/>
      <c r="G649" s="3"/>
      <c r="H649" s="3"/>
      <c r="I649" s="3"/>
      <c r="K649" s="3"/>
      <c r="L649" s="3"/>
      <c r="X649" s="4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Z650" s="3"/>
      <c r="AB650" s="3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B651" s="3"/>
      <c r="AD651" s="3"/>
      <c r="AE651" s="3"/>
      <c r="AK651" s="5"/>
    </row>
    <row r="652" spans="2:37" x14ac:dyDescent="0.25">
      <c r="B652" s="1"/>
      <c r="E652" s="2"/>
      <c r="F652" s="3"/>
      <c r="G652" s="3"/>
      <c r="H652" s="3"/>
      <c r="I652" s="3"/>
      <c r="K652" s="3"/>
      <c r="L652" s="3"/>
      <c r="X652" s="4"/>
      <c r="AB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B653" s="3"/>
      <c r="AD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Z654" s="3"/>
      <c r="AB654" s="3"/>
      <c r="AD654" s="3"/>
      <c r="AE654" s="3"/>
      <c r="AK654" s="5"/>
    </row>
    <row r="655" spans="2:37" x14ac:dyDescent="0.25">
      <c r="B655" s="1"/>
      <c r="E655" s="2"/>
      <c r="H655" s="3"/>
      <c r="I655" s="3"/>
      <c r="K655" s="3"/>
      <c r="L655" s="3"/>
      <c r="X655" s="4"/>
      <c r="AD655" s="3"/>
      <c r="AE655" s="3"/>
      <c r="AK655" s="5"/>
    </row>
    <row r="656" spans="2:37" x14ac:dyDescent="0.25">
      <c r="B656" s="1"/>
      <c r="E656" s="2"/>
      <c r="F656" s="3"/>
      <c r="G656" s="3"/>
      <c r="H656" s="3"/>
      <c r="I656" s="3"/>
      <c r="K656" s="3"/>
      <c r="L656" s="3"/>
      <c r="X656" s="4"/>
      <c r="AD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AB657" s="3"/>
      <c r="AD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Z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D659" s="3"/>
      <c r="AE659" s="3"/>
      <c r="AK659" s="5"/>
    </row>
    <row r="660" spans="2:37" x14ac:dyDescent="0.25">
      <c r="B660" s="1"/>
      <c r="E660" s="2"/>
      <c r="G660" s="3"/>
      <c r="H660" s="3"/>
      <c r="I660" s="3"/>
      <c r="K660" s="3"/>
      <c r="L660" s="3"/>
      <c r="X660" s="4"/>
      <c r="Z660" s="3"/>
      <c r="AE660" s="3"/>
      <c r="AK660" s="5"/>
    </row>
    <row r="661" spans="2:37" x14ac:dyDescent="0.25">
      <c r="B661" s="1"/>
      <c r="E661" s="2"/>
      <c r="G661" s="3"/>
      <c r="H661" s="3"/>
      <c r="I661" s="3"/>
      <c r="K661" s="3"/>
      <c r="L661" s="3"/>
      <c r="X661" s="4"/>
    </row>
    <row r="662" spans="2:37" x14ac:dyDescent="0.25">
      <c r="B662" s="1"/>
      <c r="D662" s="3"/>
      <c r="E662" s="2"/>
      <c r="G662" s="3"/>
      <c r="H662" s="3"/>
      <c r="I662" s="3"/>
      <c r="K662" s="3"/>
      <c r="X662" s="4"/>
      <c r="AK662" s="5"/>
    </row>
    <row r="663" spans="2:37" x14ac:dyDescent="0.25">
      <c r="B663" s="1"/>
      <c r="E663" s="2"/>
      <c r="H663" s="3"/>
      <c r="I663" s="3"/>
      <c r="K663" s="3"/>
      <c r="X663" s="4"/>
      <c r="AK663" s="5"/>
    </row>
    <row r="664" spans="2:37" x14ac:dyDescent="0.25">
      <c r="B664" s="1"/>
      <c r="E664" s="2"/>
      <c r="G664" s="3"/>
      <c r="H664" s="3"/>
      <c r="I664" s="3"/>
      <c r="K664" s="3"/>
      <c r="X664" s="4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</row>
    <row r="667" spans="2:37" x14ac:dyDescent="0.25">
      <c r="B667" s="3"/>
      <c r="D667" s="3"/>
      <c r="E667" s="2"/>
      <c r="G667" s="3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H668" s="3"/>
      <c r="I668" s="3"/>
      <c r="K668" s="3"/>
      <c r="L668" s="3"/>
      <c r="X668" s="4"/>
      <c r="AA668" s="3"/>
      <c r="AB668" s="3"/>
      <c r="AE668" s="3"/>
      <c r="AK668" s="5"/>
    </row>
    <row r="669" spans="2:37" x14ac:dyDescent="0.25">
      <c r="B669" s="3"/>
      <c r="E669" s="2"/>
      <c r="G669" s="3"/>
      <c r="H669" s="3"/>
      <c r="I669" s="3"/>
      <c r="K669" s="3"/>
      <c r="L669" s="3"/>
      <c r="X669" s="4"/>
      <c r="AA669" s="3"/>
      <c r="AB669" s="3"/>
      <c r="AE669" s="3"/>
      <c r="AK669" s="5"/>
    </row>
    <row r="670" spans="2:37" x14ac:dyDescent="0.25">
      <c r="B670" s="1"/>
      <c r="E670" s="2"/>
      <c r="H670" s="3"/>
      <c r="I670" s="3"/>
      <c r="K670" s="3"/>
      <c r="L670" s="3"/>
      <c r="X670" s="4"/>
      <c r="AA670" s="3"/>
      <c r="AE670" s="3"/>
      <c r="AK670" s="5"/>
    </row>
    <row r="671" spans="2:37" x14ac:dyDescent="0.25">
      <c r="B671" s="1"/>
      <c r="E671" s="2"/>
      <c r="F671" s="3"/>
      <c r="G671" s="3"/>
      <c r="H671" s="3"/>
      <c r="I671" s="3"/>
      <c r="K671" s="3"/>
      <c r="L671" s="3"/>
      <c r="X671" s="4"/>
      <c r="AA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A672" s="3"/>
      <c r="AE672" s="3"/>
      <c r="AK672" s="5"/>
    </row>
    <row r="673" spans="2:37" x14ac:dyDescent="0.25">
      <c r="B673" s="1"/>
      <c r="E673" s="2"/>
      <c r="F673" s="3"/>
      <c r="G673" s="3"/>
      <c r="H673" s="3"/>
      <c r="I673" s="3"/>
      <c r="K673" s="3"/>
      <c r="L673" s="3"/>
      <c r="X673" s="4"/>
      <c r="AA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K674" s="5"/>
    </row>
    <row r="675" spans="2:37" x14ac:dyDescent="0.25">
      <c r="B675" s="1"/>
      <c r="E675" s="2"/>
      <c r="F675" s="3"/>
      <c r="G675" s="3"/>
      <c r="H675" s="3"/>
      <c r="I675" s="3"/>
      <c r="K675" s="3"/>
      <c r="X675" s="4"/>
      <c r="AE675" s="3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Z676" s="3"/>
      <c r="AD676" s="3"/>
      <c r="AE676" s="3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D677" s="3"/>
      <c r="AE677" s="3"/>
      <c r="AK677" s="5"/>
    </row>
    <row r="678" spans="2:37" x14ac:dyDescent="0.25">
      <c r="B678" s="1"/>
      <c r="E678" s="2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H680" s="3"/>
      <c r="I680" s="3"/>
      <c r="K680" s="3"/>
      <c r="X680" s="4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K682" s="5"/>
    </row>
    <row r="683" spans="2:37" x14ac:dyDescent="0.25">
      <c r="B683" s="1"/>
      <c r="D683" s="3"/>
      <c r="E683" s="2"/>
      <c r="G683" s="3"/>
      <c r="H683" s="3"/>
      <c r="I683" s="3"/>
      <c r="K683" s="3"/>
      <c r="L683" s="3"/>
      <c r="X683" s="4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G685" s="3"/>
      <c r="H685" s="3"/>
      <c r="I685" s="3"/>
      <c r="K685" s="3"/>
      <c r="L685" s="3"/>
      <c r="X685" s="4"/>
      <c r="AB685" s="3"/>
      <c r="AD685" s="3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AD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B688" s="3"/>
      <c r="AE688" s="3"/>
      <c r="AK688" s="5"/>
    </row>
    <row r="689" spans="2:37" x14ac:dyDescent="0.25">
      <c r="B689" s="1"/>
      <c r="D689" s="3"/>
      <c r="E689" s="2"/>
      <c r="G689" s="3"/>
      <c r="H689" s="3"/>
      <c r="I689" s="3"/>
      <c r="K689" s="3"/>
      <c r="X689" s="4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E690" s="3"/>
      <c r="AK690" s="5"/>
    </row>
    <row r="691" spans="2:37" x14ac:dyDescent="0.25">
      <c r="B691" s="1"/>
      <c r="E691" s="2"/>
      <c r="F691" s="3"/>
      <c r="G691" s="3"/>
      <c r="H691" s="3"/>
      <c r="I691" s="3"/>
      <c r="K691" s="3"/>
      <c r="L691" s="3"/>
      <c r="X691" s="4"/>
      <c r="AB691" s="3"/>
      <c r="AE691" s="3"/>
      <c r="AK691" s="5"/>
    </row>
    <row r="692" spans="2:37" x14ac:dyDescent="0.25">
      <c r="B692" s="1"/>
      <c r="E692" s="2"/>
      <c r="G692" s="3"/>
      <c r="H692" s="3"/>
      <c r="I692" s="3"/>
      <c r="K692" s="3"/>
      <c r="L692" s="3"/>
      <c r="X692" s="4"/>
      <c r="Z692" s="3"/>
      <c r="AE692" s="3"/>
      <c r="AK692" s="5"/>
    </row>
    <row r="693" spans="2:37" x14ac:dyDescent="0.25">
      <c r="B693" s="1"/>
      <c r="E693" s="2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Z694" s="3"/>
      <c r="AE694" s="3"/>
      <c r="AK694" s="5"/>
    </row>
    <row r="695" spans="2:37" x14ac:dyDescent="0.25">
      <c r="B695" s="1"/>
      <c r="E695" s="2"/>
      <c r="H695" s="3"/>
      <c r="I695" s="3"/>
      <c r="K695" s="3"/>
      <c r="L695" s="3"/>
      <c r="X695" s="4"/>
      <c r="AB695" s="3"/>
      <c r="AK695" s="5"/>
    </row>
    <row r="696" spans="2:37" x14ac:dyDescent="0.25">
      <c r="B696" s="1"/>
      <c r="E696" s="2"/>
      <c r="H696" s="3"/>
      <c r="I696" s="3"/>
      <c r="K696" s="3"/>
      <c r="X696" s="4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AK697" s="5"/>
    </row>
    <row r="698" spans="2:37" x14ac:dyDescent="0.25">
      <c r="B698" s="1"/>
      <c r="E698" s="2"/>
      <c r="G698" s="3"/>
      <c r="H698" s="3"/>
      <c r="I698" s="3"/>
      <c r="K698" s="3"/>
      <c r="L698" s="3"/>
      <c r="X698" s="4"/>
      <c r="Z698" s="3"/>
      <c r="AE698" s="3"/>
      <c r="AK698" s="5"/>
    </row>
    <row r="699" spans="2:37" x14ac:dyDescent="0.25">
      <c r="B699" s="1"/>
      <c r="E699" s="2"/>
      <c r="H699" s="3"/>
      <c r="I699" s="3"/>
      <c r="K699" s="3"/>
      <c r="L699" s="3"/>
      <c r="X699" s="4"/>
      <c r="AE699" s="3"/>
      <c r="AK699" s="5"/>
    </row>
    <row r="700" spans="2:37" x14ac:dyDescent="0.25">
      <c r="B700" s="3"/>
      <c r="E700" s="2"/>
      <c r="F700" s="3"/>
      <c r="G700" s="3"/>
      <c r="H700" s="3"/>
      <c r="I700" s="3"/>
      <c r="K700" s="3"/>
      <c r="L700" s="3"/>
      <c r="X700" s="4"/>
    </row>
    <row r="701" spans="2:37" x14ac:dyDescent="0.25">
      <c r="B701" s="1"/>
      <c r="E701" s="2"/>
      <c r="F701" s="3"/>
      <c r="G701" s="3"/>
      <c r="H701" s="3"/>
      <c r="I701" s="3"/>
      <c r="K701" s="3"/>
      <c r="L701" s="3"/>
      <c r="X701" s="4"/>
    </row>
    <row r="702" spans="2:37" x14ac:dyDescent="0.25">
      <c r="B702" s="1"/>
      <c r="E702" s="2"/>
      <c r="F702" s="3"/>
      <c r="G702" s="3"/>
      <c r="X702" s="4"/>
    </row>
    <row r="703" spans="2:37" x14ac:dyDescent="0.25">
      <c r="B703" s="1"/>
      <c r="E703" s="2"/>
      <c r="H703" s="3"/>
      <c r="I703" s="3"/>
      <c r="K703" s="3"/>
      <c r="L703" s="3"/>
      <c r="X703" s="4"/>
    </row>
    <row r="704" spans="2:37" x14ac:dyDescent="0.25">
      <c r="B704" s="3"/>
      <c r="E704" s="2"/>
      <c r="F704" s="3"/>
      <c r="G704" s="3"/>
      <c r="H704" s="3"/>
      <c r="I704" s="3"/>
      <c r="K704" s="3"/>
      <c r="L704" s="3"/>
      <c r="Z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</row>
    <row r="706" spans="2:37" x14ac:dyDescent="0.25">
      <c r="F706" s="3"/>
      <c r="G706" s="3"/>
    </row>
    <row r="707" spans="2:37" x14ac:dyDescent="0.25">
      <c r="B707" s="1"/>
      <c r="E707" s="2"/>
      <c r="H707" s="3"/>
      <c r="I707" s="3"/>
      <c r="K707" s="3"/>
      <c r="L707" s="3"/>
      <c r="X707" s="4"/>
    </row>
    <row r="708" spans="2:37" x14ac:dyDescent="0.25">
      <c r="D708" s="3"/>
      <c r="F708" s="3"/>
      <c r="G708" s="3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D709" s="3"/>
      <c r="AE709" s="3"/>
      <c r="AK709" s="5"/>
    </row>
    <row r="710" spans="2:37" x14ac:dyDescent="0.25">
      <c r="B710" s="1"/>
      <c r="E710" s="2"/>
      <c r="H710" s="3"/>
      <c r="I710" s="3"/>
      <c r="K710" s="3"/>
      <c r="L710" s="3"/>
      <c r="X710" s="4"/>
      <c r="Z710" s="3"/>
      <c r="AE710" s="3"/>
      <c r="AK710" s="5"/>
    </row>
    <row r="711" spans="2:37" x14ac:dyDescent="0.25">
      <c r="B711" s="1"/>
      <c r="E711" s="2"/>
      <c r="H711" s="3"/>
      <c r="I711" s="3"/>
      <c r="K711" s="3"/>
      <c r="L711" s="3"/>
      <c r="X711" s="4"/>
      <c r="Z711" s="3"/>
      <c r="AE711" s="3"/>
      <c r="AK711" s="5"/>
    </row>
    <row r="712" spans="2:37" x14ac:dyDescent="0.25">
      <c r="B712" s="1"/>
      <c r="D712" s="3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X713" s="4"/>
    </row>
    <row r="714" spans="2:37" x14ac:dyDescent="0.25">
      <c r="B714" s="1"/>
      <c r="E714" s="2"/>
      <c r="H714" s="3"/>
      <c r="I714" s="3"/>
      <c r="K714" s="3"/>
      <c r="L714" s="3"/>
      <c r="X714" s="4"/>
      <c r="Z714" s="3"/>
      <c r="AE714" s="3"/>
      <c r="AK714" s="5"/>
    </row>
    <row r="715" spans="2:37" x14ac:dyDescent="0.25">
      <c r="B715" s="1"/>
      <c r="E715" s="2"/>
      <c r="H715" s="3"/>
      <c r="I715" s="3"/>
      <c r="K715" s="3"/>
      <c r="X715" s="4"/>
      <c r="AE715" s="3"/>
      <c r="AK715" s="5"/>
    </row>
    <row r="716" spans="2:37" x14ac:dyDescent="0.25">
      <c r="B716" s="1"/>
      <c r="E716" s="2"/>
      <c r="H716" s="3"/>
      <c r="I716" s="3"/>
      <c r="K716" s="3"/>
      <c r="X716" s="4"/>
      <c r="AK716" s="5"/>
    </row>
    <row r="717" spans="2:37" x14ac:dyDescent="0.25">
      <c r="B717" s="1"/>
      <c r="E717" s="2"/>
      <c r="H717" s="3"/>
      <c r="I717" s="3"/>
      <c r="K717" s="3"/>
      <c r="X717" s="4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X719" s="4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</row>
    <row r="721" spans="2:37" x14ac:dyDescent="0.25">
      <c r="B721" s="1"/>
      <c r="E721" s="2"/>
      <c r="G721" s="3"/>
      <c r="H721" s="3"/>
      <c r="I721" s="3"/>
      <c r="K721" s="3"/>
      <c r="X721" s="4"/>
    </row>
    <row r="722" spans="2:37" x14ac:dyDescent="0.25">
      <c r="B722" s="1"/>
      <c r="E722" s="2"/>
      <c r="H722" s="3"/>
      <c r="I722" s="3"/>
      <c r="K722" s="3"/>
      <c r="L722" s="3"/>
      <c r="X722" s="4"/>
    </row>
    <row r="723" spans="2:37" x14ac:dyDescent="0.25">
      <c r="B723" s="3"/>
      <c r="E723" s="2"/>
      <c r="G723" s="3"/>
      <c r="H723" s="3"/>
      <c r="I723" s="3"/>
      <c r="K723" s="3"/>
      <c r="L723" s="3"/>
      <c r="X723" s="4"/>
    </row>
    <row r="724" spans="2:37" x14ac:dyDescent="0.25">
      <c r="B724" s="1"/>
      <c r="E724" s="2"/>
      <c r="F724" s="3"/>
      <c r="G724" s="3"/>
      <c r="H724" s="3"/>
      <c r="I724" s="3"/>
      <c r="K724" s="3"/>
      <c r="L724" s="3"/>
      <c r="X724" s="4"/>
    </row>
    <row r="725" spans="2:37" x14ac:dyDescent="0.25">
      <c r="B725" s="1"/>
      <c r="E725" s="2"/>
      <c r="G725" s="3"/>
      <c r="H725" s="3"/>
      <c r="I725" s="3"/>
      <c r="K725" s="3"/>
      <c r="X725" s="4"/>
    </row>
    <row r="726" spans="2:37" x14ac:dyDescent="0.25">
      <c r="B726" s="1"/>
      <c r="E726" s="2"/>
      <c r="H726" s="3"/>
      <c r="I726" s="3"/>
      <c r="K726" s="3"/>
      <c r="X726" s="4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D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Z729" s="3"/>
      <c r="AD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D730" s="3"/>
      <c r="AE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AD731" s="3"/>
      <c r="AE731" s="3"/>
      <c r="AK731" s="5"/>
    </row>
    <row r="732" spans="2:37" x14ac:dyDescent="0.25">
      <c r="B732" s="1"/>
      <c r="E732" s="2"/>
      <c r="H732" s="3"/>
      <c r="I732" s="3"/>
      <c r="K732" s="3"/>
      <c r="L732" s="3"/>
      <c r="X732" s="4"/>
      <c r="AD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E733" s="3"/>
      <c r="AK733" s="5"/>
    </row>
    <row r="734" spans="2:37" x14ac:dyDescent="0.25">
      <c r="B734" s="1"/>
      <c r="E734" s="2"/>
      <c r="H734" s="3"/>
      <c r="I734" s="3"/>
      <c r="K734" s="3"/>
      <c r="X734" s="4"/>
      <c r="AE734" s="3"/>
      <c r="AK734" s="5"/>
    </row>
    <row r="735" spans="2:37" x14ac:dyDescent="0.25">
      <c r="B735" s="1"/>
      <c r="E735" s="2"/>
      <c r="G735" s="3"/>
      <c r="H735" s="3"/>
      <c r="I735" s="3"/>
      <c r="K735" s="3"/>
      <c r="X735" s="4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G737" s="3"/>
      <c r="H737" s="3"/>
      <c r="I737" s="3"/>
      <c r="K737" s="3"/>
      <c r="L737" s="3"/>
      <c r="X737" s="4"/>
      <c r="Z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Z738" s="3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K739" s="5"/>
    </row>
    <row r="740" spans="2:37" x14ac:dyDescent="0.25">
      <c r="B740" s="1"/>
      <c r="D740" s="3"/>
      <c r="E740" s="2"/>
      <c r="G740" s="3"/>
      <c r="H740" s="3"/>
      <c r="I740" s="3"/>
      <c r="K740" s="3"/>
      <c r="L740" s="3"/>
      <c r="X740" s="4"/>
    </row>
    <row r="741" spans="2:37" x14ac:dyDescent="0.25">
      <c r="B741" s="1"/>
      <c r="E741" s="2"/>
      <c r="G741" s="3"/>
      <c r="H741" s="3"/>
      <c r="I741" s="3"/>
      <c r="K741" s="3"/>
      <c r="L741" s="3"/>
      <c r="X741" s="4"/>
      <c r="AB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B742" s="3"/>
      <c r="AE742" s="3"/>
      <c r="AK742" s="5"/>
    </row>
    <row r="743" spans="2:37" x14ac:dyDescent="0.25">
      <c r="B743" s="1"/>
      <c r="E743" s="2"/>
      <c r="G743" s="3"/>
      <c r="H743" s="3"/>
      <c r="I743" s="3"/>
      <c r="K743" s="3"/>
      <c r="L743" s="3"/>
      <c r="X743" s="4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L744" s="3"/>
      <c r="X744" s="4"/>
      <c r="AB744" s="3"/>
      <c r="AE744" s="3"/>
      <c r="AK744" s="5"/>
    </row>
    <row r="745" spans="2:37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x14ac:dyDescent="0.25">
      <c r="B746" s="1"/>
      <c r="D746" s="3"/>
      <c r="E746" s="2"/>
      <c r="G746" s="3"/>
      <c r="H746" s="3"/>
      <c r="I746" s="3"/>
      <c r="K746" s="3"/>
      <c r="L746" s="3"/>
      <c r="X746" s="4"/>
      <c r="AK746" s="5"/>
    </row>
    <row r="747" spans="2:37" x14ac:dyDescent="0.25">
      <c r="B747" s="1"/>
      <c r="E747" s="2"/>
      <c r="F747" s="3"/>
      <c r="G747" s="3"/>
      <c r="H747" s="3"/>
      <c r="I747" s="3"/>
      <c r="K747" s="3"/>
      <c r="L747" s="3"/>
      <c r="X747" s="4"/>
      <c r="AK747" s="5"/>
    </row>
    <row r="748" spans="2:37" x14ac:dyDescent="0.25">
      <c r="B748" s="1"/>
      <c r="D748" s="3"/>
      <c r="E748" s="2"/>
      <c r="G748" s="3"/>
      <c r="H748" s="3"/>
      <c r="I748" s="3"/>
      <c r="K748" s="3"/>
      <c r="L748" s="3"/>
      <c r="X748" s="4"/>
      <c r="AA748" s="3"/>
      <c r="AB748" s="3"/>
      <c r="AE748" s="3"/>
      <c r="AK748" s="5"/>
    </row>
    <row r="749" spans="2:37" x14ac:dyDescent="0.25">
      <c r="B749" s="1"/>
      <c r="E749" s="2"/>
      <c r="H749" s="3"/>
      <c r="I749" s="3"/>
      <c r="K749" s="3"/>
      <c r="X749" s="4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Z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A751" s="3"/>
      <c r="AE751" s="3"/>
      <c r="AK751" s="5"/>
    </row>
    <row r="752" spans="2:37" x14ac:dyDescent="0.25">
      <c r="B752" s="1"/>
      <c r="E752" s="2"/>
      <c r="H752" s="3"/>
      <c r="I752" s="3"/>
      <c r="K752" s="3"/>
      <c r="L752" s="3"/>
      <c r="X752" s="4"/>
      <c r="AD752" s="3"/>
      <c r="AE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E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</row>
    <row r="755" spans="2:37" x14ac:dyDescent="0.25">
      <c r="B755" s="3"/>
      <c r="E755" s="2"/>
      <c r="G755" s="3"/>
      <c r="H755" s="3"/>
      <c r="I755" s="3"/>
      <c r="K755" s="3"/>
      <c r="L755" s="3"/>
      <c r="X755" s="4"/>
    </row>
    <row r="756" spans="2:37" x14ac:dyDescent="0.25">
      <c r="B756" s="1"/>
      <c r="D756" s="3"/>
      <c r="E756" s="2"/>
      <c r="G756" s="3"/>
      <c r="H756" s="3"/>
      <c r="I756" s="3"/>
      <c r="K756" s="3"/>
      <c r="L756" s="3"/>
      <c r="X756" s="4"/>
    </row>
    <row r="757" spans="2:37" x14ac:dyDescent="0.25">
      <c r="B757" s="3"/>
      <c r="E757" s="2"/>
      <c r="F757" s="3"/>
      <c r="G757" s="3"/>
      <c r="H757" s="3"/>
      <c r="I757" s="3"/>
      <c r="K757" s="3"/>
      <c r="L757" s="3"/>
      <c r="X757" s="4"/>
    </row>
    <row r="758" spans="2:37" x14ac:dyDescent="0.25">
      <c r="B758" s="1"/>
      <c r="E758" s="2"/>
      <c r="G758" s="3"/>
      <c r="H758" s="3"/>
      <c r="I758" s="3"/>
      <c r="K758" s="3"/>
      <c r="X758" s="4"/>
      <c r="AK758" s="5"/>
    </row>
    <row r="759" spans="2:37" x14ac:dyDescent="0.25">
      <c r="B759" s="1"/>
      <c r="E759" s="2"/>
      <c r="G759" s="3"/>
      <c r="H759" s="3"/>
      <c r="I759" s="3"/>
      <c r="K759" s="3"/>
      <c r="L759" s="3"/>
      <c r="X759" s="4"/>
      <c r="AB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AE760" s="3"/>
      <c r="AK760" s="5"/>
    </row>
    <row r="761" spans="2:37" x14ac:dyDescent="0.25">
      <c r="B761" s="1"/>
      <c r="E761" s="2"/>
      <c r="F761" s="3"/>
      <c r="G761" s="3"/>
      <c r="H761" s="3"/>
      <c r="I761" s="3"/>
      <c r="K761" s="3"/>
      <c r="L761" s="3"/>
      <c r="X761" s="4"/>
      <c r="AA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K762" s="5"/>
    </row>
    <row r="763" spans="2:37" x14ac:dyDescent="0.25">
      <c r="B763" s="1"/>
      <c r="E763" s="2"/>
      <c r="G763" s="3"/>
      <c r="H763" s="3"/>
      <c r="I763" s="3"/>
      <c r="K763" s="3"/>
      <c r="L763" s="3"/>
      <c r="X763" s="4"/>
      <c r="AA763" s="3"/>
      <c r="AK763" s="5"/>
    </row>
    <row r="764" spans="2:37" x14ac:dyDescent="0.25">
      <c r="B764" s="3"/>
      <c r="E764" s="2"/>
      <c r="G764" s="3"/>
      <c r="H764" s="3"/>
      <c r="I764" s="3"/>
      <c r="K764" s="3"/>
      <c r="L764" s="3"/>
      <c r="X764" s="4"/>
      <c r="AA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A765" s="3"/>
      <c r="AE765" s="3"/>
      <c r="AK765" s="5"/>
    </row>
    <row r="766" spans="2:37" x14ac:dyDescent="0.25">
      <c r="B766" s="1"/>
      <c r="E766" s="2"/>
      <c r="G766" s="3"/>
      <c r="H766" s="3"/>
      <c r="I766" s="3"/>
      <c r="K766" s="3"/>
      <c r="X766" s="4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AA767" s="3"/>
      <c r="AD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A768" s="3"/>
      <c r="AD768" s="3"/>
      <c r="AE768" s="3"/>
      <c r="AK768" s="5"/>
    </row>
    <row r="769" spans="2:37" x14ac:dyDescent="0.25">
      <c r="B769" s="1"/>
      <c r="E769" s="2"/>
      <c r="G769" s="3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B772" s="3"/>
      <c r="AE772" s="3"/>
      <c r="AK772" s="5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x14ac:dyDescent="0.25">
      <c r="B775" s="3"/>
      <c r="E775" s="2"/>
      <c r="G775" s="3"/>
      <c r="H775" s="3"/>
      <c r="I775" s="3"/>
      <c r="K775" s="3"/>
      <c r="L775" s="3"/>
      <c r="X775" s="4"/>
      <c r="Z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  <c r="Z776" s="3"/>
      <c r="AE776" s="3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Z777" s="3"/>
      <c r="AE777" s="3"/>
      <c r="AK777" s="5"/>
    </row>
    <row r="778" spans="2:37" x14ac:dyDescent="0.25">
      <c r="B778" s="1"/>
      <c r="E778" s="2"/>
      <c r="H778" s="3"/>
      <c r="I778" s="3"/>
      <c r="K778" s="3"/>
      <c r="X778" s="4"/>
      <c r="AE778" s="3"/>
      <c r="AK778" s="5"/>
    </row>
    <row r="779" spans="2:37" x14ac:dyDescent="0.25">
      <c r="B779" s="1"/>
      <c r="E779" s="2"/>
      <c r="H779" s="3"/>
      <c r="I779" s="3"/>
      <c r="K779" s="3"/>
      <c r="L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Z780" s="3"/>
      <c r="AD780" s="3"/>
      <c r="AE780" s="3"/>
      <c r="AK780" s="5"/>
    </row>
    <row r="781" spans="2:37" x14ac:dyDescent="0.25">
      <c r="B781" s="1"/>
      <c r="E781" s="2"/>
      <c r="G781" s="3"/>
      <c r="H781" s="3"/>
      <c r="I781" s="3"/>
      <c r="K781" s="3"/>
      <c r="L781" s="3"/>
      <c r="X781" s="4"/>
    </row>
    <row r="782" spans="2:37" x14ac:dyDescent="0.25">
      <c r="B782" s="3"/>
      <c r="E782" s="2"/>
      <c r="G782" s="3"/>
      <c r="H782" s="3"/>
      <c r="I782" s="3"/>
      <c r="K782" s="3"/>
      <c r="L782" s="3"/>
      <c r="X782" s="4"/>
    </row>
    <row r="783" spans="2:37" x14ac:dyDescent="0.25">
      <c r="B783" s="1"/>
      <c r="E783" s="2"/>
      <c r="F783" s="3"/>
      <c r="H783" s="3"/>
      <c r="I783" s="3"/>
      <c r="K783" s="3"/>
      <c r="L783" s="3"/>
      <c r="X783" s="4"/>
      <c r="AB783" s="3"/>
      <c r="AE783" s="3"/>
      <c r="AK783" s="5"/>
    </row>
    <row r="784" spans="2:37" x14ac:dyDescent="0.25">
      <c r="B784" s="1"/>
      <c r="E784" s="2"/>
      <c r="G784" s="3"/>
      <c r="H784" s="3"/>
      <c r="I784" s="3"/>
      <c r="K784" s="3"/>
      <c r="L784" s="3"/>
      <c r="X784" s="4"/>
      <c r="Z784" s="3"/>
      <c r="AD784" s="3"/>
      <c r="AE784" s="3"/>
      <c r="AK784" s="5"/>
    </row>
    <row r="785" spans="2:37" x14ac:dyDescent="0.25">
      <c r="B785" s="1"/>
      <c r="E785" s="2"/>
      <c r="H785" s="3"/>
      <c r="I785" s="3"/>
      <c r="K785" s="3"/>
      <c r="L785" s="3"/>
      <c r="X785" s="4"/>
    </row>
    <row r="786" spans="2:37" x14ac:dyDescent="0.25">
      <c r="B786" s="3"/>
      <c r="D786" s="3"/>
      <c r="F786" s="3"/>
      <c r="G786" s="3"/>
    </row>
    <row r="787" spans="2:37" x14ac:dyDescent="0.25">
      <c r="B787" s="1"/>
      <c r="E787" s="2"/>
      <c r="H787" s="3"/>
      <c r="I787" s="3"/>
      <c r="K787" s="3"/>
      <c r="L787" s="3"/>
      <c r="X787" s="4"/>
      <c r="Z787" s="3"/>
      <c r="AB787" s="3"/>
      <c r="AE787" s="3"/>
      <c r="AK787" s="5"/>
    </row>
    <row r="788" spans="2:37" x14ac:dyDescent="0.25">
      <c r="B788" s="1"/>
      <c r="E788" s="2"/>
      <c r="G788" s="3"/>
      <c r="H788" s="3"/>
      <c r="I788" s="3"/>
      <c r="K788" s="3"/>
      <c r="X788" s="4"/>
      <c r="AK788" s="5"/>
    </row>
    <row r="789" spans="2:37" x14ac:dyDescent="0.25">
      <c r="B789" s="1"/>
      <c r="E789" s="2"/>
      <c r="H789" s="3"/>
      <c r="I789" s="3"/>
      <c r="K789" s="3"/>
      <c r="L789" s="3"/>
      <c r="X789" s="4"/>
      <c r="AK789" s="5"/>
    </row>
    <row r="790" spans="2:37" x14ac:dyDescent="0.25">
      <c r="B790" s="3"/>
      <c r="E790" s="2"/>
      <c r="G790" s="3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AE791" s="3"/>
      <c r="AK791" s="5"/>
    </row>
    <row r="792" spans="2:37" x14ac:dyDescent="0.25">
      <c r="B792" s="1"/>
      <c r="E792" s="2"/>
      <c r="G792" s="3"/>
      <c r="H792" s="3"/>
      <c r="I792" s="3"/>
      <c r="K792" s="3"/>
      <c r="X792" s="4"/>
    </row>
    <row r="793" spans="2:37" x14ac:dyDescent="0.25">
      <c r="B793" s="1"/>
      <c r="E793" s="2"/>
      <c r="H793" s="3"/>
      <c r="I793" s="3"/>
      <c r="K793" s="3"/>
      <c r="X793" s="4"/>
    </row>
    <row r="794" spans="2:37" x14ac:dyDescent="0.25">
      <c r="B794" s="1"/>
      <c r="E794" s="2"/>
      <c r="G794" s="3"/>
      <c r="H794" s="3"/>
      <c r="I794" s="3"/>
      <c r="K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K795" s="5"/>
    </row>
    <row r="796" spans="2:37" x14ac:dyDescent="0.25">
      <c r="B796" s="1"/>
      <c r="E796" s="2"/>
      <c r="H796" s="3"/>
      <c r="I796" s="3"/>
      <c r="K796" s="3"/>
      <c r="L796" s="3"/>
      <c r="X796" s="4"/>
      <c r="Z796" s="3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AB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D798" s="3"/>
      <c r="AE798" s="3"/>
      <c r="AK798" s="5"/>
    </row>
    <row r="799" spans="2:37" x14ac:dyDescent="0.25">
      <c r="B799" s="1"/>
      <c r="E799" s="2"/>
      <c r="G799" s="3"/>
      <c r="H799" s="3"/>
      <c r="I799" s="3"/>
      <c r="K799" s="3"/>
      <c r="L799" s="3"/>
      <c r="X799" s="4"/>
      <c r="AK799" s="5"/>
    </row>
    <row r="800" spans="2:37" x14ac:dyDescent="0.25">
      <c r="B800" s="1"/>
      <c r="E800" s="2"/>
      <c r="H800" s="3"/>
      <c r="I800" s="3"/>
      <c r="K800" s="3"/>
      <c r="X800" s="4"/>
      <c r="AE800" s="3"/>
      <c r="AK800" s="5"/>
    </row>
    <row r="801" spans="2:37" x14ac:dyDescent="0.25">
      <c r="B801" s="1"/>
      <c r="E801" s="2"/>
      <c r="H801" s="3"/>
      <c r="I801" s="3"/>
      <c r="K801" s="3"/>
      <c r="X801" s="4"/>
      <c r="AE801" s="3"/>
      <c r="AK801" s="5"/>
    </row>
    <row r="802" spans="2:37" x14ac:dyDescent="0.25">
      <c r="B802" s="1"/>
      <c r="E802" s="2"/>
      <c r="H802" s="3"/>
      <c r="I802" s="3"/>
      <c r="K802" s="3"/>
      <c r="L802" s="3"/>
      <c r="X802" s="4"/>
    </row>
    <row r="803" spans="2:37" x14ac:dyDescent="0.25">
      <c r="B803" s="3"/>
      <c r="D803" s="3"/>
      <c r="G803" s="3"/>
    </row>
    <row r="804" spans="2:37" x14ac:dyDescent="0.25">
      <c r="B804" s="1"/>
      <c r="E804" s="2"/>
      <c r="H804" s="3"/>
      <c r="I804" s="3"/>
      <c r="K804" s="3"/>
      <c r="L804" s="3"/>
      <c r="X804" s="4"/>
    </row>
    <row r="805" spans="2:37" x14ac:dyDescent="0.25">
      <c r="B805" s="3"/>
      <c r="F805" s="3"/>
      <c r="G805" s="3"/>
    </row>
    <row r="806" spans="2:37" x14ac:dyDescent="0.25">
      <c r="B806" s="1"/>
      <c r="E806" s="2"/>
      <c r="H806" s="3"/>
      <c r="I806" s="3"/>
      <c r="K806" s="3"/>
      <c r="L806" s="3"/>
      <c r="X806" s="4"/>
      <c r="AE806" s="3"/>
      <c r="AK806" s="5"/>
    </row>
    <row r="807" spans="2:37" x14ac:dyDescent="0.25">
      <c r="B807" s="1"/>
      <c r="E807" s="2"/>
      <c r="F807" s="3"/>
      <c r="G807" s="3"/>
      <c r="H807" s="3"/>
      <c r="I807" s="3"/>
      <c r="K807" s="3"/>
      <c r="X807" s="4"/>
      <c r="AE807" s="3"/>
      <c r="AK807" s="5"/>
    </row>
    <row r="808" spans="2:37" x14ac:dyDescent="0.25">
      <c r="B808" s="1"/>
      <c r="E808" s="2"/>
      <c r="H808" s="3"/>
      <c r="I808" s="3"/>
      <c r="K808" s="3"/>
      <c r="L808" s="3"/>
      <c r="X808" s="4"/>
      <c r="Z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A809" s="3"/>
      <c r="AE809" s="3"/>
      <c r="AK809" s="5"/>
    </row>
    <row r="810" spans="2:37" x14ac:dyDescent="0.25">
      <c r="B810" s="1"/>
      <c r="D810" s="3"/>
      <c r="E810" s="2"/>
      <c r="G810" s="3"/>
      <c r="H810" s="3"/>
      <c r="I810" s="3"/>
      <c r="K810" s="3"/>
      <c r="X810" s="4"/>
      <c r="AE810" s="3"/>
      <c r="AK810" s="5"/>
    </row>
    <row r="811" spans="2:37" x14ac:dyDescent="0.25">
      <c r="B811" s="1"/>
      <c r="E811" s="2"/>
      <c r="H811" s="3"/>
      <c r="I811" s="3"/>
      <c r="K811" s="3"/>
      <c r="L811" s="3"/>
      <c r="X811" s="4"/>
      <c r="Z811" s="3"/>
      <c r="AB811" s="3"/>
      <c r="AE811" s="3"/>
      <c r="AK811" s="5"/>
    </row>
    <row r="812" spans="2:37" x14ac:dyDescent="0.25">
      <c r="B812" s="1"/>
      <c r="E812" s="2"/>
      <c r="H812" s="3"/>
      <c r="I812" s="3"/>
      <c r="K812" s="3"/>
      <c r="L812" s="3"/>
      <c r="X812" s="4"/>
      <c r="AA812" s="3"/>
      <c r="AB812" s="3"/>
      <c r="AE812" s="3"/>
      <c r="AK812" s="5"/>
    </row>
    <row r="813" spans="2:37" x14ac:dyDescent="0.25">
      <c r="B813" s="1"/>
      <c r="E813" s="2"/>
      <c r="F813" s="3"/>
      <c r="G813" s="3"/>
      <c r="H813" s="3"/>
      <c r="I813" s="3"/>
      <c r="K813" s="3"/>
      <c r="L813" s="3"/>
      <c r="X813" s="4"/>
      <c r="AB813" s="3"/>
      <c r="AK813" s="5"/>
    </row>
    <row r="814" spans="2:37" x14ac:dyDescent="0.25">
      <c r="B814" s="1"/>
      <c r="E814" s="2"/>
      <c r="H814" s="3"/>
      <c r="I814" s="3"/>
      <c r="K814" s="3"/>
      <c r="L814" s="3"/>
      <c r="X814" s="4"/>
      <c r="Z814" s="3"/>
      <c r="AB814" s="3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G816" s="3"/>
      <c r="H816" s="3"/>
      <c r="I816" s="3"/>
      <c r="K816" s="3"/>
      <c r="L816" s="3"/>
      <c r="X816" s="4"/>
      <c r="AD816" s="3"/>
      <c r="AE816" s="3"/>
      <c r="AK816" s="5"/>
    </row>
    <row r="817" spans="2:37" x14ac:dyDescent="0.25">
      <c r="B817" s="1"/>
      <c r="D817" s="3"/>
      <c r="E817" s="2"/>
      <c r="G817" s="3"/>
      <c r="H817" s="3"/>
      <c r="I817" s="3"/>
      <c r="K817" s="3"/>
      <c r="L817" s="3"/>
      <c r="X817" s="4"/>
      <c r="AD817" s="3"/>
      <c r="AE817" s="3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K818" s="5"/>
    </row>
    <row r="819" spans="2:37" x14ac:dyDescent="0.25">
      <c r="B819" s="1"/>
      <c r="D819" s="3"/>
      <c r="E819" s="2"/>
      <c r="H819" s="3"/>
      <c r="I819" s="3"/>
      <c r="K819" s="3"/>
      <c r="L819" s="3"/>
      <c r="X819" s="4"/>
    </row>
    <row r="820" spans="2:37" x14ac:dyDescent="0.25">
      <c r="B820" s="3"/>
      <c r="E820" s="2"/>
      <c r="G820" s="3"/>
      <c r="H820" s="3"/>
      <c r="I820" s="3"/>
      <c r="K820" s="3"/>
      <c r="L820" s="3"/>
      <c r="X820" s="4"/>
      <c r="AD820" s="3"/>
      <c r="AE820" s="3"/>
      <c r="AK820" s="5"/>
    </row>
    <row r="821" spans="2:37" x14ac:dyDescent="0.25">
      <c r="B821" s="1"/>
      <c r="E821" s="2"/>
      <c r="H821" s="3"/>
      <c r="I821" s="3"/>
      <c r="K821" s="3"/>
      <c r="L821" s="3"/>
      <c r="X821" s="4"/>
      <c r="AB821" s="3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L822" s="3"/>
      <c r="X822" s="4"/>
    </row>
    <row r="823" spans="2:37" x14ac:dyDescent="0.25">
      <c r="B823" s="1"/>
      <c r="E823" s="2"/>
      <c r="F823" s="3"/>
      <c r="G823" s="3"/>
      <c r="H823" s="3"/>
      <c r="I823" s="3"/>
      <c r="K823" s="3"/>
      <c r="L823" s="3"/>
      <c r="X823" s="4"/>
      <c r="AB823" s="3"/>
      <c r="AE823" s="3"/>
      <c r="AK823" s="5"/>
    </row>
    <row r="824" spans="2:37" x14ac:dyDescent="0.25">
      <c r="B824" s="1"/>
      <c r="E824" s="2"/>
      <c r="G824" s="3"/>
      <c r="H824" s="3"/>
      <c r="I824" s="3"/>
      <c r="K824" s="3"/>
      <c r="L824" s="3"/>
      <c r="X824" s="4"/>
    </row>
    <row r="825" spans="2:37" x14ac:dyDescent="0.25">
      <c r="B825" s="1"/>
      <c r="E825" s="2"/>
      <c r="F825" s="3"/>
      <c r="G825" s="3"/>
      <c r="H825" s="3"/>
      <c r="I825" s="3"/>
      <c r="K825" s="3"/>
      <c r="X825" s="4"/>
    </row>
    <row r="826" spans="2:37" x14ac:dyDescent="0.25">
      <c r="B826" s="1"/>
      <c r="E826" s="2"/>
      <c r="G826" s="3"/>
      <c r="H826" s="3"/>
      <c r="I826" s="3"/>
      <c r="K826" s="3"/>
      <c r="L826" s="3"/>
      <c r="X826" s="4"/>
      <c r="AE826" s="3"/>
      <c r="AK826" s="5"/>
    </row>
    <row r="827" spans="2:37" x14ac:dyDescent="0.25">
      <c r="B827" s="1"/>
      <c r="E827" s="2"/>
      <c r="G827" s="3"/>
      <c r="H827" s="3"/>
      <c r="I827" s="3"/>
      <c r="K827" s="3"/>
      <c r="X827" s="4"/>
      <c r="AK827" s="5"/>
    </row>
    <row r="828" spans="2:37" x14ac:dyDescent="0.25">
      <c r="B828" s="1"/>
      <c r="E828" s="2"/>
      <c r="H828" s="3"/>
      <c r="I828" s="3"/>
      <c r="K828" s="3"/>
      <c r="X828" s="4"/>
      <c r="AE828" s="3"/>
      <c r="AK828" s="5"/>
    </row>
    <row r="829" spans="2:37" x14ac:dyDescent="0.25">
      <c r="B829" s="3"/>
      <c r="E829" s="2"/>
      <c r="G829" s="3"/>
      <c r="H829" s="3"/>
      <c r="I829" s="3"/>
      <c r="K829" s="3"/>
      <c r="L829" s="3"/>
      <c r="X829" s="4"/>
      <c r="Z829" s="3"/>
      <c r="AE829" s="3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X831" s="4"/>
      <c r="AK831" s="5"/>
    </row>
    <row r="832" spans="2:37" x14ac:dyDescent="0.25">
      <c r="B832" s="1"/>
      <c r="E832" s="2"/>
      <c r="H832" s="3"/>
      <c r="I832" s="3"/>
      <c r="K832" s="3"/>
      <c r="L832" s="3"/>
      <c r="X832" s="4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B833" s="3"/>
      <c r="AE833" s="3"/>
      <c r="AK833" s="5"/>
    </row>
    <row r="834" spans="2:37" x14ac:dyDescent="0.25">
      <c r="B834" s="1"/>
      <c r="E834" s="2"/>
      <c r="H834" s="3"/>
      <c r="I834" s="3"/>
      <c r="K834" s="3"/>
      <c r="X834" s="4"/>
      <c r="AK834" s="5"/>
    </row>
    <row r="835" spans="2:37" x14ac:dyDescent="0.25">
      <c r="B835" s="1"/>
      <c r="E835" s="2"/>
      <c r="H835" s="3"/>
      <c r="I835" s="3"/>
      <c r="K835" s="3"/>
      <c r="X835" s="4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E836" s="3"/>
      <c r="AK836" s="5"/>
    </row>
    <row r="837" spans="2:37" x14ac:dyDescent="0.25">
      <c r="B837" s="1"/>
      <c r="E837" s="2"/>
      <c r="H837" s="3"/>
      <c r="I837" s="3"/>
      <c r="K837" s="3"/>
      <c r="X837" s="4"/>
      <c r="AK837" s="5"/>
    </row>
    <row r="838" spans="2:37" x14ac:dyDescent="0.25">
      <c r="B838" s="1"/>
      <c r="E838" s="2"/>
      <c r="H838" s="3"/>
      <c r="I838" s="3"/>
      <c r="K838" s="3"/>
      <c r="X838" s="4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x14ac:dyDescent="0.25">
      <c r="B843" s="1"/>
      <c r="D843" s="3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G845" s="3"/>
      <c r="H845" s="3"/>
      <c r="I845" s="3"/>
      <c r="K845" s="3"/>
      <c r="L845" s="3"/>
      <c r="X845" s="4"/>
      <c r="AK845" s="5"/>
    </row>
    <row r="846" spans="2:37" x14ac:dyDescent="0.25">
      <c r="B846" s="1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3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F858" s="3"/>
      <c r="G858" s="3"/>
      <c r="H858" s="3"/>
      <c r="I858" s="3"/>
      <c r="K858" s="3"/>
      <c r="L858" s="3"/>
      <c r="X858" s="4"/>
      <c r="AD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AD860" s="3"/>
      <c r="AE860" s="3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E861" s="3"/>
      <c r="AK861" s="5"/>
    </row>
    <row r="862" spans="2:37" x14ac:dyDescent="0.25">
      <c r="B862" s="1"/>
      <c r="E862" s="2"/>
      <c r="G862" s="3"/>
      <c r="H862" s="3"/>
      <c r="I862" s="3"/>
      <c r="K862" s="3"/>
      <c r="L862" s="3"/>
      <c r="X862" s="4"/>
      <c r="AD862" s="3"/>
      <c r="AE862" s="3"/>
      <c r="AK862" s="5"/>
    </row>
    <row r="863" spans="2:37" x14ac:dyDescent="0.25">
      <c r="B863" s="1"/>
      <c r="E863" s="2"/>
      <c r="H863" s="3"/>
      <c r="I863" s="3"/>
      <c r="K863" s="3"/>
      <c r="L863" s="3"/>
      <c r="X863" s="4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D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  <c r="Z865" s="3"/>
      <c r="AD865" s="3"/>
      <c r="AE865" s="3"/>
      <c r="AK865" s="5"/>
    </row>
    <row r="866" spans="2:37" x14ac:dyDescent="0.25">
      <c r="B866" s="1"/>
      <c r="E866" s="2"/>
      <c r="F866" s="3"/>
      <c r="G866" s="3"/>
      <c r="H866" s="3"/>
      <c r="I866" s="3"/>
      <c r="K866" s="3"/>
      <c r="L866" s="3"/>
      <c r="X866" s="4"/>
      <c r="Z866" s="3"/>
      <c r="AE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  <c r="AB867" s="3"/>
      <c r="AE867" s="3"/>
      <c r="AK867" s="5"/>
    </row>
    <row r="868" spans="2:37" x14ac:dyDescent="0.25">
      <c r="B868" s="3"/>
      <c r="E868" s="2"/>
      <c r="G868" s="3"/>
      <c r="H868" s="3"/>
      <c r="I868" s="3"/>
      <c r="K868" s="3"/>
      <c r="L868" s="3"/>
      <c r="X868" s="4"/>
      <c r="Z868" s="3"/>
      <c r="AK868" s="5"/>
    </row>
    <row r="869" spans="2:37" x14ac:dyDescent="0.25">
      <c r="B869" s="1"/>
      <c r="E869" s="2"/>
      <c r="H869" s="3"/>
      <c r="I869" s="3"/>
      <c r="K869" s="3"/>
      <c r="L869" s="3"/>
      <c r="X869" s="4"/>
      <c r="Z869" s="3"/>
      <c r="AB869" s="3"/>
      <c r="AE869" s="3"/>
      <c r="AK869" s="5"/>
    </row>
    <row r="870" spans="2:37" x14ac:dyDescent="0.25">
      <c r="B870" s="1"/>
      <c r="E870" s="2"/>
      <c r="G870" s="3"/>
      <c r="H870" s="3"/>
      <c r="I870" s="3"/>
      <c r="K870" s="3"/>
      <c r="L870" s="3"/>
      <c r="X870" s="4"/>
      <c r="AK870" s="5"/>
    </row>
    <row r="871" spans="2:37" x14ac:dyDescent="0.25">
      <c r="B871" s="1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x14ac:dyDescent="0.25">
      <c r="B872" s="1"/>
      <c r="E872" s="2"/>
      <c r="G872" s="3"/>
      <c r="H872" s="3"/>
      <c r="I872" s="3"/>
      <c r="K872" s="3"/>
      <c r="L872" s="3"/>
      <c r="X872" s="4"/>
      <c r="Z872" s="3"/>
      <c r="AB872" s="3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Z873" s="3"/>
      <c r="AB873" s="3"/>
      <c r="AE873" s="3"/>
      <c r="AK873" s="5"/>
    </row>
    <row r="874" spans="2:37" x14ac:dyDescent="0.25">
      <c r="B874" s="1"/>
      <c r="E874" s="2"/>
      <c r="H874" s="3"/>
      <c r="I874" s="3"/>
      <c r="K874" s="3"/>
      <c r="X874" s="4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A875" s="3"/>
      <c r="AD875" s="3"/>
      <c r="AE875" s="3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  <c r="AA876" s="3"/>
      <c r="AK876" s="5"/>
    </row>
    <row r="877" spans="2:37" x14ac:dyDescent="0.25">
      <c r="B877" s="3"/>
      <c r="E877" s="2"/>
      <c r="G877" s="3"/>
      <c r="H877" s="3"/>
      <c r="I877" s="3"/>
      <c r="K877" s="3"/>
      <c r="X877" s="4"/>
      <c r="AK877" s="5"/>
    </row>
    <row r="878" spans="2:37" x14ac:dyDescent="0.25">
      <c r="B878" s="1"/>
      <c r="E878" s="2"/>
      <c r="F878" s="3"/>
      <c r="G878" s="3"/>
      <c r="H878" s="3"/>
      <c r="I878" s="3"/>
      <c r="K878" s="3"/>
      <c r="L878" s="3"/>
      <c r="X878" s="4"/>
      <c r="Z878" s="3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</row>
    <row r="880" spans="2:37" x14ac:dyDescent="0.25">
      <c r="B880" s="3"/>
      <c r="G880" s="3"/>
    </row>
    <row r="881" spans="2:37" x14ac:dyDescent="0.25">
      <c r="B881" s="1"/>
      <c r="E881" s="2"/>
      <c r="H881" s="3"/>
      <c r="I881" s="3"/>
      <c r="K881" s="3"/>
      <c r="L881" s="3"/>
      <c r="X881" s="4"/>
      <c r="AK881" s="5"/>
    </row>
    <row r="882" spans="2:37" x14ac:dyDescent="0.25">
      <c r="B882" s="3"/>
      <c r="D882" s="3"/>
      <c r="E882" s="2"/>
      <c r="G882" s="3"/>
      <c r="H882" s="3"/>
      <c r="I882" s="3"/>
      <c r="K882" s="3"/>
      <c r="L882" s="3"/>
      <c r="X882" s="4"/>
      <c r="AB882" s="3"/>
      <c r="AK882" s="5"/>
    </row>
    <row r="883" spans="2:37" x14ac:dyDescent="0.25">
      <c r="B883" s="1"/>
      <c r="E883" s="2"/>
      <c r="H883" s="3"/>
      <c r="I883" s="3"/>
      <c r="K883" s="3"/>
      <c r="X883" s="4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Z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Z885" s="3"/>
      <c r="AE885" s="3"/>
      <c r="AK885" s="5"/>
    </row>
    <row r="886" spans="2:37" x14ac:dyDescent="0.25">
      <c r="B886" s="1"/>
      <c r="E886" s="2"/>
      <c r="H886" s="3"/>
      <c r="I886" s="3"/>
      <c r="K886" s="3"/>
      <c r="X886" s="4"/>
      <c r="AK886" s="5"/>
    </row>
    <row r="887" spans="2:37" x14ac:dyDescent="0.25">
      <c r="B887" s="1"/>
      <c r="E887" s="2"/>
      <c r="G887" s="3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Z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E889" s="3"/>
      <c r="AK889" s="5"/>
    </row>
    <row r="890" spans="2:37" x14ac:dyDescent="0.25">
      <c r="B890" s="1"/>
      <c r="E890" s="2"/>
      <c r="H890" s="3"/>
      <c r="I890" s="3"/>
      <c r="K890" s="3"/>
      <c r="X890" s="4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Z891" s="3"/>
      <c r="AE891" s="3"/>
      <c r="AK891" s="5"/>
    </row>
    <row r="892" spans="2:37" x14ac:dyDescent="0.25">
      <c r="B892" s="1"/>
      <c r="E892" s="2"/>
      <c r="H892" s="3"/>
      <c r="I892" s="3"/>
      <c r="K892" s="3"/>
      <c r="X892" s="4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D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Z895" s="3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D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AK901" s="5"/>
    </row>
    <row r="902" spans="2:37" x14ac:dyDescent="0.25">
      <c r="B902" s="1"/>
      <c r="E902" s="2"/>
      <c r="F902" s="3"/>
      <c r="G902" s="3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F904" s="3"/>
      <c r="G904" s="3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x14ac:dyDescent="0.25">
      <c r="B906" s="1"/>
      <c r="E906" s="2"/>
      <c r="F906" s="3"/>
      <c r="G906" s="3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H907" s="3"/>
      <c r="I907" s="3"/>
      <c r="K907" s="3"/>
      <c r="L907" s="3"/>
      <c r="X907" s="4"/>
      <c r="AE907" s="3"/>
      <c r="AK907" s="5"/>
    </row>
    <row r="908" spans="2:37" x14ac:dyDescent="0.25">
      <c r="B908" s="3"/>
      <c r="E908" s="2"/>
      <c r="F908" s="3"/>
      <c r="G908" s="3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B909" s="3"/>
      <c r="AE909" s="3"/>
      <c r="AK909" s="5"/>
    </row>
    <row r="910" spans="2:37" x14ac:dyDescent="0.25">
      <c r="B910" s="1"/>
      <c r="E910" s="2"/>
      <c r="G910" s="3"/>
      <c r="H910" s="3"/>
      <c r="I910" s="3"/>
      <c r="K910" s="3"/>
      <c r="L910" s="3"/>
      <c r="X910" s="4"/>
      <c r="AB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AB911" s="3"/>
      <c r="AE911" s="3"/>
      <c r="AK911" s="5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AB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Z914" s="3"/>
      <c r="AB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Z915" s="3"/>
      <c r="AB915" s="3"/>
      <c r="AE915" s="3"/>
      <c r="AK915" s="5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</row>
    <row r="917" spans="2:37" x14ac:dyDescent="0.25">
      <c r="B917" s="1"/>
      <c r="E917" s="2"/>
      <c r="G917" s="3"/>
      <c r="H917" s="3"/>
      <c r="I917" s="3"/>
      <c r="K917" s="3"/>
      <c r="L917" s="3"/>
      <c r="X917" s="4"/>
    </row>
    <row r="918" spans="2:37" x14ac:dyDescent="0.25">
      <c r="B918" s="3"/>
      <c r="D918" s="3"/>
      <c r="E918" s="2"/>
      <c r="G918" s="3"/>
      <c r="H918" s="3"/>
      <c r="I918" s="3"/>
      <c r="K918" s="3"/>
      <c r="L918" s="3"/>
      <c r="X918" s="4"/>
    </row>
    <row r="919" spans="2:37" x14ac:dyDescent="0.25">
      <c r="B919" s="1"/>
      <c r="E919" s="2"/>
      <c r="F919" s="3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D920" s="3"/>
      <c r="E920" s="2"/>
      <c r="G920" s="3"/>
      <c r="H920" s="3"/>
      <c r="I920" s="3"/>
      <c r="K920" s="3"/>
      <c r="L920" s="3"/>
      <c r="X920" s="4"/>
    </row>
    <row r="921" spans="2:37" x14ac:dyDescent="0.25">
      <c r="B921" s="1"/>
      <c r="E921" s="2"/>
      <c r="G921" s="3"/>
      <c r="H921" s="3"/>
      <c r="I921" s="3"/>
      <c r="K921" s="3"/>
      <c r="L921" s="3"/>
      <c r="X921" s="4"/>
      <c r="Z921" s="3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A922" s="3"/>
      <c r="AB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D923" s="3"/>
      <c r="AE923" s="3"/>
      <c r="AK923" s="5"/>
    </row>
    <row r="924" spans="2:37" x14ac:dyDescent="0.25">
      <c r="B924" s="1"/>
      <c r="D924" s="3"/>
      <c r="E924" s="2"/>
      <c r="G924" s="3"/>
      <c r="H924" s="3"/>
      <c r="I924" s="3"/>
      <c r="K924" s="3"/>
      <c r="X924" s="4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Z925" s="3"/>
      <c r="AD925" s="3"/>
      <c r="AE925" s="3"/>
      <c r="AK925" s="5"/>
    </row>
    <row r="926" spans="2:37" x14ac:dyDescent="0.25">
      <c r="B926" s="3"/>
      <c r="E926" s="2"/>
      <c r="G926" s="3"/>
      <c r="H926" s="3"/>
      <c r="I926" s="3"/>
      <c r="K926" s="3"/>
      <c r="L926" s="3"/>
      <c r="X926" s="4"/>
      <c r="AD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D927" s="3"/>
      <c r="AE927" s="3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  <c r="AA928" s="3"/>
      <c r="AD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E929" s="3"/>
      <c r="AK929" s="5"/>
    </row>
    <row r="930" spans="2:37" x14ac:dyDescent="0.25">
      <c r="B930" s="1"/>
      <c r="E930" s="2"/>
      <c r="H930" s="3"/>
      <c r="I930" s="3"/>
      <c r="K930" s="3"/>
      <c r="L930" s="3"/>
      <c r="X930" s="4"/>
      <c r="AB930" s="3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E932" s="2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AK934" s="5"/>
    </row>
    <row r="935" spans="2:37" x14ac:dyDescent="0.25">
      <c r="B935" s="1"/>
      <c r="E935" s="2"/>
      <c r="F935" s="3"/>
      <c r="G935" s="3"/>
      <c r="H935" s="3"/>
      <c r="I935" s="3"/>
      <c r="K935" s="3"/>
      <c r="X935" s="4"/>
      <c r="AE935" s="3"/>
      <c r="AK935" s="5"/>
    </row>
    <row r="936" spans="2:37" x14ac:dyDescent="0.25">
      <c r="B936" s="1"/>
      <c r="E936" s="2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D937" s="3"/>
      <c r="E937" s="2"/>
      <c r="G937" s="3"/>
      <c r="H937" s="3"/>
      <c r="I937" s="3"/>
      <c r="K937" s="3"/>
      <c r="L937" s="3"/>
      <c r="X937" s="4"/>
      <c r="Z937" s="3"/>
      <c r="AE937" s="3"/>
      <c r="AK937" s="5"/>
    </row>
    <row r="938" spans="2:37" x14ac:dyDescent="0.25">
      <c r="B938" s="1"/>
      <c r="E938" s="2"/>
      <c r="H938" s="3"/>
      <c r="I938" s="3"/>
      <c r="K938" s="3"/>
      <c r="L938" s="3"/>
      <c r="X938" s="4"/>
      <c r="AK938" s="5"/>
    </row>
    <row r="939" spans="2:37" x14ac:dyDescent="0.25">
      <c r="B939" s="3"/>
      <c r="E939" s="2"/>
      <c r="F939" s="3"/>
      <c r="G939" s="3"/>
      <c r="H939" s="3"/>
      <c r="I939" s="3"/>
      <c r="K939" s="3"/>
      <c r="X939" s="4"/>
      <c r="AK939" s="5"/>
    </row>
    <row r="940" spans="2:37" x14ac:dyDescent="0.25">
      <c r="B940" s="1"/>
      <c r="E940" s="2"/>
      <c r="H940" s="3"/>
      <c r="I940" s="3"/>
      <c r="K940" s="3"/>
      <c r="X940" s="4"/>
      <c r="AK940" s="5"/>
    </row>
    <row r="941" spans="2:37" x14ac:dyDescent="0.25">
      <c r="B941" s="1"/>
      <c r="E941" s="2"/>
      <c r="H941" s="3"/>
      <c r="I941" s="3"/>
      <c r="K941" s="3"/>
      <c r="X941" s="4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</row>
    <row r="943" spans="2:37" x14ac:dyDescent="0.25">
      <c r="B943" s="3"/>
      <c r="C943" s="3"/>
      <c r="G943" s="3"/>
    </row>
    <row r="944" spans="2:37" x14ac:dyDescent="0.25">
      <c r="B944" s="1"/>
      <c r="D944" s="3"/>
      <c r="E944" s="2"/>
      <c r="G944" s="3"/>
      <c r="H944" s="3"/>
      <c r="I944" s="3"/>
      <c r="K944" s="3"/>
      <c r="L944" s="3"/>
      <c r="X944" s="4"/>
      <c r="Z944" s="3"/>
      <c r="AB944" s="3"/>
      <c r="AE944" s="3"/>
      <c r="AK944" s="5"/>
    </row>
    <row r="945" spans="2:37" x14ac:dyDescent="0.25">
      <c r="F945" s="3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x14ac:dyDescent="0.25">
      <c r="B947" s="1"/>
      <c r="E947" s="2"/>
      <c r="G947" s="3"/>
      <c r="H947" s="3"/>
      <c r="I947" s="3"/>
      <c r="K947" s="3"/>
      <c r="X947" s="4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B951" s="3"/>
      <c r="AE951" s="3"/>
      <c r="AK951" s="5"/>
    </row>
    <row r="952" spans="2:37" x14ac:dyDescent="0.25">
      <c r="B952" s="3"/>
      <c r="E952" s="2"/>
      <c r="G952" s="3"/>
      <c r="H952" s="3"/>
      <c r="I952" s="3"/>
      <c r="K952" s="3"/>
      <c r="L952" s="3"/>
      <c r="X952" s="4"/>
      <c r="Z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3"/>
      <c r="E955" s="2"/>
      <c r="G955" s="3"/>
      <c r="H955" s="3"/>
      <c r="I955" s="3"/>
      <c r="K955" s="3"/>
      <c r="L955" s="3"/>
      <c r="X955" s="4"/>
      <c r="Z955" s="3"/>
      <c r="AE955" s="3"/>
      <c r="AK955" s="5"/>
    </row>
    <row r="956" spans="2:37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D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Z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Z959" s="3"/>
      <c r="AE959" s="3"/>
      <c r="AK959" s="5"/>
    </row>
    <row r="960" spans="2:37" x14ac:dyDescent="0.25">
      <c r="B960" s="1"/>
      <c r="E960" s="2"/>
      <c r="H960" s="3"/>
      <c r="I960" s="3"/>
      <c r="K960" s="3"/>
      <c r="L960" s="3"/>
      <c r="X960" s="4"/>
      <c r="AK960" s="5"/>
    </row>
    <row r="961" spans="2:37" x14ac:dyDescent="0.25">
      <c r="B961" s="1"/>
      <c r="D961" s="3"/>
      <c r="E961" s="2"/>
      <c r="G961" s="3"/>
      <c r="H961" s="3"/>
      <c r="I961" s="3"/>
      <c r="K961" s="3"/>
      <c r="X961" s="4"/>
    </row>
    <row r="962" spans="2:37" x14ac:dyDescent="0.25">
      <c r="B962" s="1"/>
      <c r="E962" s="2"/>
      <c r="H962" s="3"/>
      <c r="I962" s="3"/>
      <c r="K962" s="3"/>
      <c r="L962" s="3"/>
      <c r="X962" s="4"/>
      <c r="AD962" s="3"/>
      <c r="AE962" s="3"/>
      <c r="AK962" s="5"/>
    </row>
    <row r="963" spans="2:37" x14ac:dyDescent="0.25">
      <c r="B963" s="1"/>
      <c r="E963" s="2"/>
      <c r="G963" s="3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H964" s="3"/>
      <c r="I964" s="3"/>
      <c r="K964" s="3"/>
      <c r="L964" s="3"/>
      <c r="X964" s="4"/>
      <c r="AK964" s="5"/>
    </row>
    <row r="965" spans="2:37" x14ac:dyDescent="0.25">
      <c r="B965" s="1"/>
      <c r="E965" s="2"/>
      <c r="F965" s="3"/>
      <c r="G965" s="3"/>
      <c r="H965" s="3"/>
      <c r="I965" s="3"/>
      <c r="K965" s="3"/>
      <c r="X965" s="4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AK966" s="5"/>
    </row>
    <row r="967" spans="2:37" x14ac:dyDescent="0.25">
      <c r="B967" s="1"/>
      <c r="E967" s="2"/>
      <c r="F967" s="3"/>
      <c r="G967" s="3"/>
      <c r="H967" s="3"/>
      <c r="I967" s="3"/>
      <c r="K967" s="3"/>
      <c r="L967" s="3"/>
      <c r="X967" s="4"/>
    </row>
    <row r="968" spans="2:37" x14ac:dyDescent="0.25">
      <c r="B968" s="1"/>
      <c r="D968" s="3"/>
      <c r="E968" s="2"/>
      <c r="H968" s="3"/>
      <c r="I968" s="3"/>
      <c r="K968" s="3"/>
      <c r="L968" s="3"/>
      <c r="X968" s="4"/>
      <c r="AB968" s="3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L969" s="3"/>
      <c r="X969" s="4"/>
    </row>
    <row r="970" spans="2:37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E973" s="2"/>
      <c r="H973" s="3"/>
      <c r="I973" s="3"/>
      <c r="K973" s="3"/>
      <c r="L973" s="3"/>
      <c r="X973" s="4"/>
      <c r="AE973" s="3"/>
      <c r="AK973" s="5"/>
    </row>
    <row r="974" spans="2:37" x14ac:dyDescent="0.25">
      <c r="B974" s="1"/>
      <c r="E974" s="2"/>
      <c r="G974" s="3"/>
      <c r="H974" s="3"/>
      <c r="I974" s="3"/>
      <c r="K974" s="3"/>
      <c r="X974" s="4"/>
      <c r="AE974" s="3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B975" s="3"/>
      <c r="AE975" s="3"/>
      <c r="AK975" s="5"/>
    </row>
    <row r="976" spans="2:37" x14ac:dyDescent="0.25">
      <c r="B976" s="1"/>
      <c r="E976" s="2"/>
      <c r="G976" s="3"/>
      <c r="H976" s="3"/>
      <c r="I976" s="3"/>
      <c r="K976" s="3"/>
      <c r="L976" s="3"/>
      <c r="X976" s="4"/>
      <c r="AD976" s="3"/>
      <c r="AE976" s="3"/>
      <c r="AK976" s="5"/>
    </row>
    <row r="977" spans="2:37" x14ac:dyDescent="0.25">
      <c r="B977" s="1"/>
      <c r="E977" s="2"/>
      <c r="H977" s="3"/>
      <c r="I977" s="3"/>
      <c r="K977" s="3"/>
      <c r="L977" s="3"/>
      <c r="X977" s="4"/>
      <c r="AD977" s="3"/>
      <c r="AE977" s="3"/>
      <c r="AK977" s="5"/>
    </row>
    <row r="978" spans="2:37" x14ac:dyDescent="0.25">
      <c r="B978" s="1"/>
      <c r="D978" s="3"/>
      <c r="E978" s="2"/>
      <c r="G978" s="3"/>
      <c r="H978" s="3"/>
      <c r="I978" s="3"/>
      <c r="K978" s="3"/>
      <c r="L978" s="3"/>
      <c r="X978" s="4"/>
    </row>
    <row r="979" spans="2:37" x14ac:dyDescent="0.25">
      <c r="B979" s="1"/>
      <c r="D979" s="3"/>
      <c r="E979" s="2"/>
      <c r="H979" s="3"/>
      <c r="I979" s="3"/>
      <c r="K979" s="3"/>
      <c r="X979" s="4"/>
      <c r="AK979" s="5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  <c r="Z980" s="3"/>
      <c r="AE980" s="3"/>
      <c r="AK980" s="5"/>
    </row>
    <row r="981" spans="2:37" x14ac:dyDescent="0.25">
      <c r="B981" s="1"/>
      <c r="D981" s="3"/>
      <c r="E981" s="2"/>
      <c r="G981" s="3"/>
      <c r="H981" s="3"/>
      <c r="I981" s="3"/>
      <c r="K981" s="3"/>
      <c r="L981" s="3"/>
      <c r="X981" s="4"/>
    </row>
    <row r="982" spans="2:37" x14ac:dyDescent="0.25">
      <c r="B982" s="3"/>
      <c r="E982" s="2"/>
      <c r="G982" s="3"/>
      <c r="H982" s="3"/>
      <c r="I982" s="3"/>
      <c r="K982" s="3"/>
      <c r="L982" s="3"/>
      <c r="X982" s="4"/>
      <c r="Z982" s="3"/>
      <c r="AE982" s="3"/>
      <c r="AK982" s="5"/>
    </row>
    <row r="983" spans="2:37" x14ac:dyDescent="0.25">
      <c r="B983" s="1"/>
      <c r="E983" s="2"/>
      <c r="H983" s="3"/>
      <c r="I983" s="3"/>
      <c r="K983" s="3"/>
      <c r="L983" s="3"/>
      <c r="X983" s="4"/>
      <c r="AB983" s="3"/>
      <c r="AE983" s="3"/>
      <c r="AK983" s="5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  <c r="AB984" s="3"/>
      <c r="AE984" s="3"/>
      <c r="AK984" s="5"/>
    </row>
    <row r="985" spans="2:37" x14ac:dyDescent="0.25">
      <c r="B985" s="1"/>
      <c r="E985" s="2"/>
      <c r="H985" s="3"/>
      <c r="I985" s="3"/>
      <c r="K985" s="3"/>
      <c r="L985" s="3"/>
      <c r="X985" s="4"/>
      <c r="AB985" s="3"/>
      <c r="AK985" s="5"/>
    </row>
    <row r="986" spans="2:37" x14ac:dyDescent="0.25">
      <c r="B986" s="1"/>
      <c r="E986" s="2"/>
      <c r="G986" s="3"/>
      <c r="H986" s="3"/>
      <c r="I986" s="3"/>
      <c r="K986" s="3"/>
      <c r="X986" s="4"/>
      <c r="AE986" s="3"/>
      <c r="AK986" s="5"/>
    </row>
    <row r="987" spans="2:37" x14ac:dyDescent="0.25">
      <c r="B987" s="1"/>
      <c r="E987" s="2"/>
      <c r="H987" s="3"/>
      <c r="I987" s="3"/>
      <c r="K987" s="3"/>
      <c r="X987" s="4"/>
      <c r="AK987" s="5"/>
    </row>
    <row r="988" spans="2:37" x14ac:dyDescent="0.25">
      <c r="B988" s="1"/>
      <c r="E988" s="2"/>
      <c r="H988" s="3"/>
      <c r="I988" s="3"/>
      <c r="K988" s="3"/>
      <c r="X988" s="4"/>
    </row>
    <row r="989" spans="2:37" x14ac:dyDescent="0.25">
      <c r="B989" s="1"/>
      <c r="E989" s="2"/>
      <c r="H989" s="3"/>
      <c r="I989" s="3"/>
      <c r="K989" s="3"/>
      <c r="X989" s="4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</row>
    <row r="991" spans="2:37" x14ac:dyDescent="0.25">
      <c r="B991" s="3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G992" s="3"/>
      <c r="H992" s="3"/>
      <c r="I992" s="3"/>
      <c r="K992" s="3"/>
      <c r="L992" s="3"/>
      <c r="X992" s="4"/>
    </row>
    <row r="993" spans="2:37" x14ac:dyDescent="0.25">
      <c r="B993" s="1"/>
      <c r="E993" s="2"/>
      <c r="F993" s="3"/>
      <c r="G993" s="3"/>
      <c r="H993" s="3"/>
      <c r="I993" s="3"/>
      <c r="K993" s="3"/>
      <c r="L993" s="3"/>
      <c r="X993" s="4"/>
    </row>
    <row r="994" spans="2:37" x14ac:dyDescent="0.25">
      <c r="B994" s="1"/>
      <c r="E994" s="2"/>
      <c r="G994" s="3"/>
      <c r="H994" s="3"/>
      <c r="I994" s="3"/>
      <c r="K994" s="3"/>
      <c r="L994" s="3"/>
      <c r="X994" s="4"/>
    </row>
    <row r="995" spans="2:37" x14ac:dyDescent="0.25">
      <c r="B995" s="1"/>
      <c r="E995" s="2"/>
      <c r="F995" s="3"/>
      <c r="G995" s="3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G996" s="3"/>
      <c r="H996" s="3"/>
      <c r="I996" s="3"/>
      <c r="K996" s="3"/>
      <c r="X996" s="4"/>
    </row>
    <row r="997" spans="2:37" x14ac:dyDescent="0.25">
      <c r="B997" s="1"/>
      <c r="E997" s="2"/>
      <c r="H997" s="3"/>
      <c r="I997" s="3"/>
      <c r="K997" s="3"/>
      <c r="L997" s="3"/>
      <c r="X997" s="4"/>
    </row>
    <row r="998" spans="2:37" x14ac:dyDescent="0.25">
      <c r="B998" s="1"/>
      <c r="E998" s="2"/>
      <c r="G998" s="3"/>
      <c r="H998" s="3"/>
      <c r="I998" s="3"/>
      <c r="K998" s="3"/>
      <c r="X998" s="4"/>
    </row>
    <row r="999" spans="2:37" x14ac:dyDescent="0.25">
      <c r="B999" s="1"/>
      <c r="E999" s="2"/>
      <c r="G999" s="3"/>
      <c r="H999" s="3"/>
      <c r="I999" s="3"/>
      <c r="K999" s="3"/>
      <c r="X999" s="4"/>
    </row>
    <row r="1000" spans="2:37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x14ac:dyDescent="0.25">
      <c r="B1002" s="1"/>
      <c r="E1002" s="2"/>
      <c r="G1002" s="3"/>
      <c r="H1002" s="3"/>
      <c r="I1002" s="3"/>
      <c r="K1002" s="3"/>
      <c r="L1002" s="3"/>
      <c r="X1002" s="4"/>
    </row>
    <row r="1003" spans="2:37" x14ac:dyDescent="0.25">
      <c r="B1003" s="1"/>
      <c r="E1003" s="2"/>
      <c r="F1003" s="3"/>
      <c r="G1003" s="3"/>
      <c r="H1003" s="3"/>
      <c r="I1003" s="3"/>
      <c r="K1003" s="3"/>
      <c r="L1003" s="3"/>
      <c r="X1003" s="4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Z1004" s="3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K1005" s="5"/>
    </row>
    <row r="1006" spans="2:37" x14ac:dyDescent="0.25">
      <c r="B1006" s="1"/>
      <c r="E1006" s="2"/>
      <c r="G1006" s="3"/>
      <c r="H1006" s="3"/>
      <c r="I1006" s="3"/>
      <c r="K1006" s="3"/>
      <c r="X1006" s="4"/>
      <c r="AK1006" s="5"/>
    </row>
    <row r="1007" spans="2:37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x14ac:dyDescent="0.25">
      <c r="B1008" s="1"/>
      <c r="E1008" s="2"/>
      <c r="G1008" s="3"/>
      <c r="H1008" s="3"/>
      <c r="I1008" s="3"/>
      <c r="K1008" s="3"/>
      <c r="L1008" s="3"/>
      <c r="X1008" s="4"/>
      <c r="AE1008" s="3"/>
      <c r="AK1008" s="5"/>
    </row>
    <row r="1009" spans="2:37" x14ac:dyDescent="0.25">
      <c r="B1009" s="1"/>
      <c r="E1009" s="2"/>
      <c r="G1009" s="3"/>
      <c r="H1009" s="3"/>
      <c r="I1009" s="3"/>
      <c r="K1009" s="3"/>
      <c r="L1009" s="3"/>
      <c r="X1009" s="4"/>
      <c r="AB1009" s="3"/>
      <c r="AE1009" s="3"/>
      <c r="AK1009" s="5"/>
    </row>
    <row r="1010" spans="2:37" x14ac:dyDescent="0.25">
      <c r="B1010" s="1"/>
      <c r="E1010" s="2"/>
      <c r="H1010" s="3"/>
      <c r="I1010" s="3"/>
      <c r="K1010" s="3"/>
      <c r="L1010" s="3"/>
      <c r="X1010" s="4"/>
      <c r="AB1010" s="3"/>
      <c r="AE1010" s="3"/>
      <c r="AK1010" s="5"/>
    </row>
    <row r="1011" spans="2:37" x14ac:dyDescent="0.25">
      <c r="B1011" s="1"/>
      <c r="E1011" s="2"/>
      <c r="H1011" s="3"/>
      <c r="I1011" s="3"/>
      <c r="K1011" s="3"/>
      <c r="L1011" s="3"/>
      <c r="X1011" s="4"/>
      <c r="Z1011" s="3"/>
      <c r="AE1011" s="3"/>
      <c r="AK1011" s="5"/>
    </row>
    <row r="1012" spans="2:37" x14ac:dyDescent="0.25">
      <c r="B1012" s="3"/>
      <c r="E1012" s="2"/>
      <c r="G1012" s="3"/>
      <c r="H1012" s="3"/>
      <c r="I1012" s="3"/>
      <c r="K1012" s="3"/>
      <c r="L1012" s="3"/>
      <c r="X1012" s="4"/>
    </row>
    <row r="1013" spans="2:37" x14ac:dyDescent="0.25">
      <c r="B1013" s="1"/>
      <c r="D1013" s="3"/>
      <c r="E1013" s="2"/>
      <c r="G1013" s="3"/>
      <c r="H1013" s="3"/>
      <c r="I1013" s="3"/>
      <c r="K1013" s="3"/>
      <c r="L1013" s="3"/>
      <c r="X1013" s="4"/>
      <c r="Z1013" s="3"/>
      <c r="AE1013" s="3"/>
      <c r="AK1013" s="5"/>
    </row>
    <row r="1014" spans="2:37" x14ac:dyDescent="0.25">
      <c r="B1014" s="1"/>
      <c r="E1014" s="2"/>
      <c r="H1014" s="3"/>
      <c r="I1014" s="3"/>
      <c r="K1014" s="3"/>
      <c r="X1014" s="4"/>
    </row>
    <row r="1015" spans="2:37" x14ac:dyDescent="0.25">
      <c r="B1015" s="1"/>
      <c r="E1015" s="2"/>
      <c r="H1015" s="3"/>
      <c r="I1015" s="3"/>
      <c r="K1015" s="3"/>
      <c r="L1015" s="3"/>
      <c r="X1015" s="4"/>
    </row>
    <row r="1016" spans="2:37" x14ac:dyDescent="0.25">
      <c r="B1016" s="1"/>
      <c r="E1016" s="2"/>
      <c r="G1016" s="3"/>
      <c r="H1016" s="3"/>
      <c r="I1016" s="3"/>
      <c r="K1016" s="3"/>
      <c r="X1016" s="4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</row>
    <row r="1018" spans="2:37" x14ac:dyDescent="0.25">
      <c r="B1018" s="3"/>
      <c r="E1018" s="2"/>
      <c r="G1018" s="3"/>
      <c r="H1018" s="3"/>
      <c r="I1018" s="3"/>
      <c r="K1018" s="3"/>
      <c r="X1018" s="4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</row>
    <row r="1020" spans="2:37" x14ac:dyDescent="0.25">
      <c r="B1020" s="3"/>
      <c r="E1020" s="2"/>
      <c r="F1020" s="3"/>
      <c r="G1020" s="3"/>
      <c r="X1020" s="4"/>
    </row>
    <row r="1021" spans="2:37" x14ac:dyDescent="0.25">
      <c r="B1021" s="1"/>
      <c r="E1021" s="2"/>
      <c r="H1021" s="3"/>
      <c r="I1021" s="3"/>
      <c r="K1021" s="3"/>
      <c r="L1021" s="3"/>
      <c r="X1021" s="4"/>
      <c r="AD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A1023" s="3"/>
      <c r="AB1023" s="3"/>
      <c r="AE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D1024" s="3"/>
      <c r="AE1024" s="3"/>
      <c r="AK1024" s="5"/>
    </row>
    <row r="1025" spans="2:37" x14ac:dyDescent="0.25">
      <c r="B1025" s="1"/>
      <c r="E1025" s="2"/>
      <c r="G1025" s="3"/>
      <c r="H1025" s="3"/>
      <c r="I1025" s="3"/>
      <c r="K1025" s="3"/>
      <c r="L1025" s="3"/>
      <c r="X1025" s="4"/>
      <c r="Z1025" s="3"/>
      <c r="AD1025" s="3"/>
      <c r="AE1025" s="3"/>
      <c r="AK1025" s="5"/>
    </row>
    <row r="1026" spans="2:37" x14ac:dyDescent="0.25">
      <c r="B1026" s="1"/>
      <c r="E1026" s="2"/>
      <c r="G1026" s="3"/>
      <c r="H1026" s="3"/>
      <c r="I1026" s="3"/>
      <c r="K1026" s="3"/>
      <c r="L1026" s="3"/>
      <c r="X1026" s="4"/>
      <c r="Z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Z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B1028" s="3"/>
      <c r="AK1028" s="5"/>
    </row>
    <row r="1029" spans="2:37" x14ac:dyDescent="0.25">
      <c r="B1029" s="1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Z1030" s="3"/>
      <c r="AB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B1032" s="3"/>
      <c r="AE1032" s="3"/>
      <c r="AK1032" s="5"/>
    </row>
    <row r="1033" spans="2:37" x14ac:dyDescent="0.25">
      <c r="B1033" s="1"/>
      <c r="E1033" s="2"/>
      <c r="H1033" s="3"/>
      <c r="I1033" s="3"/>
      <c r="K1033" s="3"/>
      <c r="L1033" s="3"/>
      <c r="X1033" s="4"/>
      <c r="AE1033" s="3"/>
      <c r="AK1033" s="5"/>
    </row>
    <row r="1034" spans="2:37" x14ac:dyDescent="0.25">
      <c r="B1034" s="1"/>
      <c r="D1034" s="3"/>
      <c r="E1034" s="2"/>
      <c r="G1034" s="3"/>
      <c r="H1034" s="3"/>
      <c r="I1034" s="3"/>
      <c r="K1034" s="3"/>
      <c r="L1034" s="3"/>
      <c r="X1034" s="4"/>
      <c r="AB1034" s="3"/>
      <c r="AE1034" s="3"/>
      <c r="AK1034" s="5"/>
    </row>
    <row r="1035" spans="2:37" x14ac:dyDescent="0.25">
      <c r="B1035" s="1"/>
      <c r="E1035" s="2"/>
      <c r="H1035" s="3"/>
      <c r="I1035" s="3"/>
      <c r="K1035" s="3"/>
      <c r="L1035" s="3"/>
      <c r="X1035" s="4"/>
    </row>
    <row r="1036" spans="2:37" x14ac:dyDescent="0.25">
      <c r="B1036" s="1"/>
      <c r="D1036" s="3"/>
      <c r="E1036" s="2"/>
      <c r="G1036" s="3"/>
      <c r="H1036" s="3"/>
      <c r="I1036" s="3"/>
      <c r="K1036" s="3"/>
      <c r="X1036" s="4"/>
    </row>
    <row r="1037" spans="2:37" x14ac:dyDescent="0.25">
      <c r="B1037" s="1"/>
      <c r="E1037" s="2"/>
      <c r="G1037" s="3"/>
      <c r="H1037" s="3"/>
      <c r="I1037" s="3"/>
      <c r="K1037" s="3"/>
      <c r="L1037" s="3"/>
      <c r="X1037" s="4"/>
      <c r="AE1037" s="3"/>
      <c r="AK1037" s="5"/>
    </row>
    <row r="1038" spans="2:37" x14ac:dyDescent="0.25">
      <c r="B1038" s="1"/>
      <c r="D1038" s="3"/>
      <c r="E1038" s="2"/>
      <c r="G1038" s="3"/>
      <c r="H1038" s="3"/>
      <c r="I1038" s="3"/>
      <c r="K1038" s="3"/>
      <c r="L1038" s="3"/>
      <c r="X1038" s="4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</row>
    <row r="1040" spans="2:37" x14ac:dyDescent="0.25">
      <c r="B1040" s="1"/>
      <c r="E1040" s="2"/>
      <c r="F1040" s="3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AD1044" s="3"/>
      <c r="AE1044" s="3"/>
      <c r="AK1044" s="5"/>
    </row>
    <row r="1045" spans="2:37" x14ac:dyDescent="0.25">
      <c r="B1045" s="1"/>
      <c r="E1045" s="2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F1046" s="3"/>
      <c r="G1046" s="3"/>
      <c r="H1046" s="3"/>
      <c r="I1046" s="3"/>
      <c r="K1046" s="3"/>
      <c r="L1046" s="3"/>
      <c r="X1046" s="4"/>
      <c r="AK1046" s="5"/>
    </row>
    <row r="1047" spans="2:37" x14ac:dyDescent="0.25">
      <c r="B1047" s="1"/>
      <c r="E1047" s="2"/>
      <c r="G1047" s="3"/>
      <c r="H1047" s="3"/>
      <c r="I1047" s="3"/>
      <c r="K1047" s="3"/>
      <c r="L1047" s="3"/>
      <c r="X1047" s="4"/>
      <c r="AK1047" s="5"/>
    </row>
    <row r="1048" spans="2:37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A1048" s="3"/>
      <c r="AE1048" s="3"/>
      <c r="AK1048" s="5"/>
    </row>
    <row r="1049" spans="2:37" x14ac:dyDescent="0.25">
      <c r="B1049" s="1"/>
      <c r="E1049" s="2"/>
      <c r="G1049" s="3"/>
      <c r="H1049" s="3"/>
      <c r="I1049" s="3"/>
      <c r="K1049" s="3"/>
      <c r="L1049" s="3"/>
      <c r="X1049" s="4"/>
    </row>
    <row r="1050" spans="2:37" x14ac:dyDescent="0.25">
      <c r="B1050" s="3"/>
      <c r="E1050" s="2"/>
      <c r="F1050" s="3"/>
      <c r="G1050" s="3"/>
      <c r="H1050" s="3"/>
      <c r="I1050" s="3"/>
      <c r="K1050" s="3"/>
      <c r="L1050" s="3"/>
      <c r="X1050" s="4"/>
      <c r="AB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AB1051" s="3"/>
      <c r="AE1051" s="3"/>
      <c r="AK1051" s="5"/>
    </row>
    <row r="1052" spans="2:37" x14ac:dyDescent="0.25">
      <c r="B1052" s="3"/>
      <c r="E1052" s="2"/>
      <c r="F1052" s="3"/>
      <c r="G1052" s="3"/>
      <c r="H1052" s="3"/>
      <c r="I1052" s="3"/>
      <c r="K1052" s="3"/>
      <c r="L1052" s="3"/>
      <c r="X1052" s="4"/>
      <c r="AB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AB1053" s="3"/>
      <c r="AE1053" s="3"/>
      <c r="AK1053" s="5"/>
    </row>
    <row r="1054" spans="2:37" x14ac:dyDescent="0.25">
      <c r="B1054" s="1"/>
      <c r="E1054" s="2"/>
      <c r="F1054" s="3"/>
      <c r="G1054" s="3"/>
      <c r="H1054" s="3"/>
      <c r="I1054" s="3"/>
      <c r="K1054" s="3"/>
      <c r="L1054" s="3"/>
      <c r="X1054" s="4"/>
      <c r="Z1054" s="3"/>
      <c r="AE1054" s="3"/>
      <c r="AK1054" s="5"/>
    </row>
    <row r="1055" spans="2:37" x14ac:dyDescent="0.25">
      <c r="B1055" s="1"/>
      <c r="E1055" s="2"/>
      <c r="H1055" s="3"/>
      <c r="I1055" s="3"/>
      <c r="K1055" s="3"/>
      <c r="L1055" s="3"/>
      <c r="X1055" s="4"/>
      <c r="Z1055" s="3"/>
      <c r="AE1055" s="3"/>
      <c r="AK1055" s="5"/>
    </row>
    <row r="1056" spans="2:37" x14ac:dyDescent="0.25">
      <c r="B1056" s="1"/>
      <c r="E1056" s="2"/>
      <c r="F1056" s="3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x14ac:dyDescent="0.25">
      <c r="B1057" s="1"/>
      <c r="E1057" s="2"/>
      <c r="H1057" s="3"/>
      <c r="I1057" s="3"/>
      <c r="K1057" s="3"/>
      <c r="L1057" s="3"/>
      <c r="X1057" s="4"/>
    </row>
    <row r="1058" spans="2:37" x14ac:dyDescent="0.25">
      <c r="D1058" s="3"/>
      <c r="G1058" s="3"/>
    </row>
    <row r="1059" spans="2:37" x14ac:dyDescent="0.25">
      <c r="B1059" s="1"/>
      <c r="E1059" s="2"/>
      <c r="H1059" s="3"/>
      <c r="I1059" s="3"/>
      <c r="K1059" s="3"/>
      <c r="L1059" s="3"/>
      <c r="X1059" s="4"/>
    </row>
    <row r="1060" spans="2:37" x14ac:dyDescent="0.25">
      <c r="B1060" s="3"/>
      <c r="F1060" s="3"/>
      <c r="G1060" s="3"/>
    </row>
    <row r="1061" spans="2:37" x14ac:dyDescent="0.25">
      <c r="B1061" s="1"/>
      <c r="E1061" s="2"/>
      <c r="H1061" s="3"/>
      <c r="I1061" s="3"/>
      <c r="K1061" s="3"/>
      <c r="L1061" s="3"/>
      <c r="X1061" s="4"/>
      <c r="AB1061" s="3"/>
      <c r="AK1061" s="5"/>
    </row>
    <row r="1062" spans="2:37" x14ac:dyDescent="0.25">
      <c r="B1062" s="1"/>
      <c r="E1062" s="2"/>
      <c r="F1062" s="3"/>
      <c r="G1062" s="3"/>
      <c r="H1062" s="3"/>
      <c r="I1062" s="3"/>
      <c r="K1062" s="3"/>
      <c r="L1062" s="3"/>
      <c r="X1062" s="4"/>
      <c r="AB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AE1063" s="3"/>
      <c r="AK1063" s="5"/>
    </row>
    <row r="1064" spans="2:37" x14ac:dyDescent="0.25">
      <c r="B1064" s="1"/>
      <c r="E1064" s="2"/>
      <c r="F1064" s="3"/>
      <c r="G1064" s="3"/>
      <c r="H1064" s="3"/>
      <c r="I1064" s="3"/>
      <c r="K1064" s="3"/>
      <c r="L1064" s="3"/>
      <c r="X1064" s="4"/>
      <c r="AD1064" s="3"/>
      <c r="AE1064" s="3"/>
      <c r="AK1064" s="5"/>
    </row>
    <row r="1065" spans="2:37" x14ac:dyDescent="0.25">
      <c r="B1065" s="1"/>
      <c r="E1065" s="2"/>
      <c r="H1065" s="3"/>
      <c r="I1065" s="3"/>
      <c r="K1065" s="3"/>
      <c r="L1065" s="3"/>
      <c r="X1065" s="4"/>
      <c r="Z1065" s="3"/>
      <c r="AD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L1066" s="3"/>
      <c r="X1066" s="4"/>
      <c r="Z1066" s="3"/>
      <c r="AD1066" s="3"/>
      <c r="AE1066" s="3"/>
      <c r="AK1066" s="5"/>
    </row>
    <row r="1067" spans="2:37" x14ac:dyDescent="0.25">
      <c r="B1067" s="1"/>
      <c r="E1067" s="2"/>
      <c r="H1067" s="3"/>
      <c r="I1067" s="3"/>
      <c r="K1067" s="3"/>
      <c r="L1067" s="3"/>
      <c r="X1067" s="4"/>
      <c r="AB1067" s="3"/>
      <c r="AD1067" s="3"/>
      <c r="AE1067" s="3"/>
      <c r="AK1067" s="5"/>
    </row>
    <row r="1068" spans="2:37" x14ac:dyDescent="0.25">
      <c r="B1068" s="1"/>
      <c r="D1068" s="3"/>
      <c r="E1068" s="2"/>
      <c r="G1068" s="3"/>
      <c r="H1068" s="3"/>
      <c r="I1068" s="3"/>
      <c r="K1068" s="3"/>
      <c r="L1068" s="3"/>
      <c r="X1068" s="4"/>
      <c r="AD1068" s="3"/>
      <c r="AE1068" s="3"/>
      <c r="AK1068" s="5"/>
    </row>
    <row r="1069" spans="2:37" x14ac:dyDescent="0.25">
      <c r="B1069" s="3"/>
      <c r="E1069" s="2"/>
      <c r="G1069" s="3"/>
      <c r="H1069" s="3"/>
      <c r="I1069" s="3"/>
      <c r="K1069" s="3"/>
      <c r="L1069" s="3"/>
      <c r="X1069" s="4"/>
      <c r="AD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  <c r="AE1071" s="3"/>
      <c r="AK1071" s="5"/>
    </row>
    <row r="1072" spans="2:37" x14ac:dyDescent="0.25">
      <c r="B1072" s="1"/>
      <c r="D1072" s="3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</row>
    <row r="1074" spans="2:37" x14ac:dyDescent="0.25">
      <c r="B1074" s="3"/>
      <c r="D1074" s="3"/>
      <c r="G1074" s="3"/>
    </row>
    <row r="1075" spans="2:37" x14ac:dyDescent="0.25">
      <c r="B1075" s="1"/>
      <c r="E1075" s="2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D1076" s="3"/>
      <c r="E1076" s="2"/>
      <c r="G1076" s="3"/>
      <c r="H1076" s="3"/>
      <c r="I1076" s="3"/>
      <c r="K1076" s="3"/>
      <c r="X1076" s="4"/>
      <c r="AE1076" s="3"/>
      <c r="AK1076" s="5"/>
    </row>
    <row r="1077" spans="2:37" x14ac:dyDescent="0.25">
      <c r="B1077" s="1"/>
      <c r="E1077" s="2"/>
      <c r="H1077" s="3"/>
      <c r="I1077" s="3"/>
      <c r="K1077" s="3"/>
      <c r="L1077" s="3"/>
      <c r="X1077" s="4"/>
      <c r="AB1077" s="3"/>
      <c r="AE1077" s="3"/>
      <c r="AK1077" s="5"/>
    </row>
    <row r="1078" spans="2:37" x14ac:dyDescent="0.25">
      <c r="B1078" s="1"/>
      <c r="D1078" s="3"/>
      <c r="E1078" s="2"/>
      <c r="G1078" s="3"/>
      <c r="H1078" s="3"/>
      <c r="I1078" s="3"/>
      <c r="K1078" s="3"/>
      <c r="X1078" s="4"/>
    </row>
    <row r="1079" spans="2:37" x14ac:dyDescent="0.25">
      <c r="B1079" s="1"/>
      <c r="E1079" s="2"/>
      <c r="H1079" s="3"/>
      <c r="I1079" s="3"/>
      <c r="K1079" s="3"/>
      <c r="L1079" s="3"/>
      <c r="X1079" s="4"/>
      <c r="Z1079" s="3"/>
      <c r="AB1079" s="3"/>
      <c r="AE1079" s="3"/>
      <c r="AK1079" s="5"/>
    </row>
    <row r="1080" spans="2:37" x14ac:dyDescent="0.25">
      <c r="B1080" s="1"/>
      <c r="D1080" s="3"/>
      <c r="E1080" s="2"/>
      <c r="G1080" s="3"/>
      <c r="H1080" s="3"/>
      <c r="I1080" s="3"/>
      <c r="K1080" s="3"/>
      <c r="X1080" s="4"/>
      <c r="AE1080" s="3"/>
      <c r="AK1080" s="5"/>
    </row>
    <row r="1081" spans="2:37" x14ac:dyDescent="0.25">
      <c r="B1081" s="1"/>
      <c r="E1081" s="2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D1082" s="3"/>
      <c r="G1082" s="3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D1083" s="3"/>
      <c r="AE1083" s="3"/>
      <c r="AK1083" s="5"/>
    </row>
    <row r="1084" spans="2:37" x14ac:dyDescent="0.25">
      <c r="B1084" s="1"/>
      <c r="D1084" s="3"/>
      <c r="E1084" s="2"/>
      <c r="G1084" s="3"/>
      <c r="H1084" s="3"/>
      <c r="I1084" s="3"/>
      <c r="K1084" s="3"/>
      <c r="L1084" s="3"/>
      <c r="X1084" s="4"/>
      <c r="Z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x14ac:dyDescent="0.25">
      <c r="B1086" s="1"/>
      <c r="E1086" s="2"/>
      <c r="G1086" s="3"/>
      <c r="H1086" s="3"/>
      <c r="I1086" s="3"/>
      <c r="K1086" s="3"/>
      <c r="L1086" s="3"/>
      <c r="X1086" s="4"/>
      <c r="Z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Z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Z1088" s="3"/>
      <c r="AE1088" s="3"/>
      <c r="AK1088" s="5"/>
    </row>
    <row r="1089" spans="2:37" x14ac:dyDescent="0.25">
      <c r="B1089" s="1"/>
      <c r="E1089" s="2"/>
      <c r="F1089" s="3"/>
      <c r="G1089" s="3"/>
      <c r="H1089" s="3"/>
      <c r="I1089" s="3"/>
      <c r="K1089" s="3"/>
      <c r="X1089" s="4"/>
    </row>
    <row r="1090" spans="2:37" x14ac:dyDescent="0.25">
      <c r="B1090" s="1"/>
      <c r="E1090" s="2"/>
      <c r="H1090" s="3"/>
      <c r="I1090" s="3"/>
      <c r="K1090" s="3"/>
      <c r="L1090" s="3"/>
      <c r="X1090" s="4"/>
    </row>
    <row r="1091" spans="2:37" x14ac:dyDescent="0.25">
      <c r="B1091" s="1"/>
      <c r="E1091" s="2"/>
      <c r="F1091" s="3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</row>
    <row r="1093" spans="2:37" x14ac:dyDescent="0.25">
      <c r="B1093" s="1"/>
      <c r="E1093" s="2"/>
      <c r="F1093" s="3"/>
      <c r="G1093" s="3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E1095" s="2"/>
      <c r="F1095" s="3"/>
      <c r="G1095" s="3"/>
      <c r="H1095" s="3"/>
      <c r="I1095" s="3"/>
      <c r="K1095" s="3"/>
      <c r="L1095" s="3"/>
      <c r="AB1095" s="3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Z1096" s="3"/>
      <c r="AB1096" s="3"/>
      <c r="AE1096" s="3"/>
      <c r="AK1096" s="5"/>
    </row>
    <row r="1097" spans="2:37" x14ac:dyDescent="0.25">
      <c r="B1097" s="1"/>
      <c r="E1097" s="2"/>
      <c r="F1097" s="3"/>
      <c r="G1097" s="3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B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D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A1101" s="3"/>
      <c r="AB1101" s="3"/>
      <c r="AD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A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Z1103" s="3"/>
      <c r="AE1103" s="3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E1104" s="3"/>
      <c r="AK1104" s="5"/>
    </row>
    <row r="1105" spans="2:37" x14ac:dyDescent="0.25">
      <c r="B1105" s="3"/>
      <c r="E1105" s="2"/>
      <c r="G1105" s="3"/>
      <c r="H1105" s="3"/>
      <c r="I1105" s="3"/>
      <c r="K1105" s="3"/>
      <c r="X1105" s="4"/>
      <c r="AE1105" s="3"/>
      <c r="AK1105" s="5"/>
    </row>
    <row r="1106" spans="2:37" x14ac:dyDescent="0.25">
      <c r="B1106" s="1"/>
      <c r="E1106" s="2"/>
      <c r="H1106" s="3"/>
      <c r="I1106" s="3"/>
      <c r="K1106" s="3"/>
      <c r="X1106" s="4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Z1107" s="3"/>
      <c r="AE1107" s="3"/>
      <c r="AK1107" s="5"/>
    </row>
    <row r="1108" spans="2:37" x14ac:dyDescent="0.25">
      <c r="B1108" s="1"/>
      <c r="E1108" s="2"/>
      <c r="G1108" s="3"/>
      <c r="H1108" s="3"/>
      <c r="I1108" s="3"/>
      <c r="K1108" s="3"/>
      <c r="L1108" s="3"/>
      <c r="X1108" s="4"/>
      <c r="AK1108" s="5"/>
    </row>
    <row r="1109" spans="2:37" x14ac:dyDescent="0.25">
      <c r="B1109" s="1"/>
      <c r="E1109" s="2"/>
      <c r="G1109" s="3"/>
      <c r="H1109" s="3"/>
      <c r="I1109" s="3"/>
      <c r="K1109" s="3"/>
      <c r="X1109" s="4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D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B1111" s="3"/>
      <c r="AE1111" s="3"/>
      <c r="AK1111" s="5"/>
    </row>
    <row r="1112" spans="2:37" x14ac:dyDescent="0.25">
      <c r="B1112" s="1"/>
      <c r="E1112" s="2"/>
      <c r="H1112" s="3"/>
      <c r="I1112" s="3"/>
      <c r="K1112" s="3"/>
      <c r="L1112" s="3"/>
      <c r="X1112" s="4"/>
      <c r="AK1112" s="5"/>
    </row>
    <row r="1113" spans="2:37" x14ac:dyDescent="0.25">
      <c r="B1113" s="1"/>
      <c r="D1113" s="3"/>
      <c r="E1113" s="2"/>
      <c r="G1113" s="3"/>
      <c r="H1113" s="3"/>
      <c r="I1113" s="3"/>
      <c r="K1113" s="3"/>
      <c r="L1113" s="3"/>
      <c r="X1113" s="4"/>
      <c r="AB1113" s="3"/>
      <c r="AE1113" s="3"/>
      <c r="AK1113" s="5"/>
    </row>
    <row r="1114" spans="2:37" x14ac:dyDescent="0.25">
      <c r="B1114" s="1"/>
      <c r="E1114" s="2"/>
      <c r="H1114" s="3"/>
      <c r="I1114" s="3"/>
      <c r="K1114" s="3"/>
      <c r="L1114" s="3"/>
      <c r="X1114" s="4"/>
      <c r="AB1114" s="3"/>
      <c r="AD1114" s="3"/>
      <c r="AE1114" s="3"/>
      <c r="AK1114" s="5"/>
    </row>
    <row r="1115" spans="2:37" x14ac:dyDescent="0.25">
      <c r="B1115" s="1"/>
      <c r="E1115" s="2"/>
      <c r="G1115" s="3"/>
      <c r="H1115" s="3"/>
      <c r="I1115" s="3"/>
      <c r="K1115" s="3"/>
      <c r="L1115" s="3"/>
      <c r="X1115" s="4"/>
      <c r="AB1115" s="3"/>
      <c r="AE1115" s="3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3"/>
      <c r="E1117" s="2"/>
      <c r="F1117" s="3"/>
      <c r="G1117" s="3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x14ac:dyDescent="0.25">
      <c r="B1119" s="3"/>
      <c r="E1119" s="2"/>
      <c r="F1119" s="3"/>
      <c r="G1119" s="3"/>
      <c r="H1119" s="3"/>
      <c r="I1119" s="3"/>
      <c r="K1119" s="3"/>
      <c r="X1119" s="4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F1121" s="3"/>
      <c r="G1121" s="3"/>
      <c r="H1121" s="3"/>
      <c r="I1121" s="3"/>
      <c r="K1121" s="3"/>
      <c r="X1121" s="4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Z1122" s="3"/>
      <c r="AD1122" s="3"/>
      <c r="AE1122" s="3"/>
      <c r="AK1122" s="5"/>
    </row>
    <row r="1123" spans="2:37" x14ac:dyDescent="0.25">
      <c r="B1123" s="1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K1124" s="5"/>
    </row>
    <row r="1125" spans="2:37" x14ac:dyDescent="0.25">
      <c r="B1125" s="1"/>
      <c r="E1125" s="2"/>
      <c r="F1125" s="3"/>
      <c r="G1125" s="3"/>
      <c r="H1125" s="3"/>
      <c r="I1125" s="3"/>
      <c r="K1125" s="3"/>
      <c r="L1125" s="3"/>
      <c r="X1125" s="4"/>
      <c r="AK1125" s="5"/>
    </row>
    <row r="1126" spans="2:37" x14ac:dyDescent="0.25">
      <c r="B1126" s="3"/>
      <c r="E1126" s="2"/>
      <c r="G1126" s="3"/>
      <c r="H1126" s="3"/>
      <c r="I1126" s="3"/>
      <c r="K1126" s="3"/>
      <c r="L1126" s="3"/>
      <c r="X1126" s="4"/>
      <c r="AK1126" s="5"/>
    </row>
    <row r="1127" spans="2:37" x14ac:dyDescent="0.25">
      <c r="B1127" s="1"/>
      <c r="E1127" s="2"/>
      <c r="F1127" s="3"/>
      <c r="G1127" s="3"/>
      <c r="H1127" s="3"/>
      <c r="I1127" s="3"/>
      <c r="K1127" s="3"/>
      <c r="X1127" s="4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X1129" s="4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  <c r="AK1130" s="5"/>
    </row>
    <row r="1131" spans="2:37" x14ac:dyDescent="0.25">
      <c r="B1131" s="1"/>
      <c r="D1131" s="3"/>
      <c r="E1131" s="2"/>
      <c r="F1131" s="3"/>
      <c r="G1131" s="3"/>
      <c r="H1131" s="3"/>
      <c r="I1131" s="3"/>
      <c r="K1131" s="3"/>
      <c r="L1131" s="3"/>
      <c r="X1131" s="4"/>
    </row>
    <row r="1132" spans="2:37" x14ac:dyDescent="0.25">
      <c r="B1132" s="3"/>
      <c r="E1132" s="2"/>
      <c r="G1132" s="3"/>
      <c r="H1132" s="3"/>
      <c r="I1132" s="3"/>
      <c r="K1132" s="3"/>
      <c r="L1132" s="3"/>
      <c r="X1132" s="4"/>
      <c r="AD1132" s="3"/>
      <c r="AE1132" s="3"/>
      <c r="AK1132" s="5"/>
    </row>
    <row r="1133" spans="2:37" x14ac:dyDescent="0.25">
      <c r="B1133" s="1"/>
      <c r="E1133" s="2"/>
      <c r="F1133" s="3"/>
      <c r="G1133" s="3"/>
      <c r="H1133" s="3"/>
      <c r="I1133" s="3"/>
      <c r="K1133" s="3"/>
      <c r="L1133" s="3"/>
      <c r="X1133" s="4"/>
      <c r="AB1133" s="3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D1134" s="3"/>
      <c r="AE1134" s="3"/>
      <c r="AK1134" s="5"/>
    </row>
    <row r="1135" spans="2:37" x14ac:dyDescent="0.25">
      <c r="B1135" s="1"/>
      <c r="E1135" s="2"/>
      <c r="F1135" s="3"/>
      <c r="G1135" s="3"/>
      <c r="H1135" s="3"/>
      <c r="I1135" s="3"/>
      <c r="K1135" s="3"/>
      <c r="L1135" s="3"/>
      <c r="X1135" s="4"/>
      <c r="AD1135" s="3"/>
      <c r="AE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D1136" s="3"/>
      <c r="AE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Z1137" s="3"/>
      <c r="AD1137" s="3"/>
      <c r="AE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D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Z1139" s="3"/>
      <c r="AE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AK1140" s="5"/>
    </row>
    <row r="1141" spans="2:37" x14ac:dyDescent="0.25">
      <c r="B1141" s="1"/>
      <c r="D1141" s="3"/>
      <c r="E1141" s="2"/>
      <c r="H1141" s="3"/>
      <c r="I1141" s="3"/>
      <c r="K1141" s="3"/>
      <c r="X1141" s="4"/>
      <c r="AE1141" s="3"/>
      <c r="AK1141" s="5"/>
    </row>
    <row r="1142" spans="2:37" x14ac:dyDescent="0.25">
      <c r="B1142" s="1"/>
      <c r="E1142" s="2"/>
      <c r="H1142" s="3"/>
      <c r="I1142" s="3"/>
      <c r="K1142" s="3"/>
      <c r="X1142" s="4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Z1143" s="3"/>
      <c r="AE1143" s="3"/>
      <c r="AK1143" s="5"/>
    </row>
    <row r="1144" spans="2:37" x14ac:dyDescent="0.25">
      <c r="B1144" s="1"/>
      <c r="E1144" s="2"/>
      <c r="H1144" s="3"/>
      <c r="I1144" s="3"/>
      <c r="K1144" s="3"/>
      <c r="L1144" s="3"/>
      <c r="X1144" s="4"/>
    </row>
    <row r="1145" spans="2:37" x14ac:dyDescent="0.25">
      <c r="D1145" s="3"/>
      <c r="G1145" s="3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K1148" s="5"/>
    </row>
    <row r="1149" spans="2:37" x14ac:dyDescent="0.25">
      <c r="B1149" s="1"/>
      <c r="E1149" s="2"/>
      <c r="G1149" s="3"/>
      <c r="H1149" s="3"/>
      <c r="I1149" s="3"/>
      <c r="K1149" s="3"/>
      <c r="L1149" s="3"/>
      <c r="X1149" s="4"/>
      <c r="AB1149" s="3"/>
      <c r="AK1149" s="5"/>
    </row>
    <row r="1150" spans="2:37" x14ac:dyDescent="0.25">
      <c r="B1150" s="1"/>
      <c r="E1150" s="2"/>
      <c r="H1150" s="3"/>
      <c r="I1150" s="3"/>
      <c r="K1150" s="3"/>
      <c r="L1150" s="3"/>
      <c r="X1150" s="4"/>
      <c r="AB1150" s="3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</row>
    <row r="1152" spans="2:37" x14ac:dyDescent="0.25">
      <c r="B1152" s="1"/>
      <c r="D1152" s="3"/>
      <c r="E1152" s="2"/>
      <c r="G1152" s="3"/>
      <c r="H1152" s="3"/>
      <c r="I1152" s="3"/>
      <c r="K1152" s="3"/>
      <c r="L1152" s="3"/>
      <c r="X1152" s="4"/>
      <c r="AD1152" s="3"/>
      <c r="AK1152" s="5"/>
    </row>
    <row r="1153" spans="2:37" x14ac:dyDescent="0.25">
      <c r="B1153" s="1"/>
      <c r="E1153" s="2"/>
      <c r="H1153" s="3"/>
      <c r="I1153" s="3"/>
      <c r="K1153" s="3"/>
      <c r="L1153" s="3"/>
      <c r="X1153" s="4"/>
      <c r="AB1153" s="3"/>
      <c r="AE1153" s="3"/>
      <c r="AK1153" s="5"/>
    </row>
    <row r="1154" spans="2:37" x14ac:dyDescent="0.25">
      <c r="B1154" s="1"/>
      <c r="E1154" s="2"/>
      <c r="H1154" s="3"/>
      <c r="I1154" s="3"/>
      <c r="K1154" s="3"/>
      <c r="L1154" s="3"/>
      <c r="X1154" s="4"/>
      <c r="Z1154" s="3"/>
      <c r="AB1154" s="3"/>
      <c r="AE1154" s="3"/>
      <c r="AK1154" s="5"/>
    </row>
    <row r="1155" spans="2:37" x14ac:dyDescent="0.25">
      <c r="B1155" s="1"/>
      <c r="D1155" s="3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L1157" s="3"/>
      <c r="X1157" s="4"/>
      <c r="AB1157" s="3"/>
      <c r="AE1157" s="3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L1158" s="3"/>
      <c r="X1158" s="4"/>
    </row>
    <row r="1159" spans="2:37" x14ac:dyDescent="0.25">
      <c r="B1159" s="3"/>
      <c r="D1159" s="3"/>
      <c r="E1159" s="2"/>
      <c r="G1159" s="3"/>
      <c r="H1159" s="3"/>
      <c r="I1159" s="3"/>
      <c r="K1159" s="3"/>
      <c r="L1159" s="3"/>
      <c r="X1159" s="4"/>
    </row>
    <row r="1160" spans="2:37" x14ac:dyDescent="0.25">
      <c r="B1160" s="1"/>
      <c r="E1160" s="2"/>
      <c r="F1160" s="3"/>
      <c r="G1160" s="3"/>
      <c r="H1160" s="3"/>
      <c r="I1160" s="3"/>
      <c r="K1160" s="3"/>
      <c r="L1160" s="3"/>
      <c r="X1160" s="4"/>
    </row>
    <row r="1161" spans="2:37" x14ac:dyDescent="0.25">
      <c r="B1161" s="3"/>
      <c r="D1161" s="3"/>
      <c r="E1161" s="2"/>
      <c r="G1161" s="3"/>
      <c r="H1161" s="3"/>
      <c r="I1161" s="3"/>
      <c r="K1161" s="3"/>
      <c r="X1161" s="4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AK1162" s="5"/>
    </row>
    <row r="1163" spans="2:37" x14ac:dyDescent="0.25">
      <c r="B1163" s="1"/>
      <c r="D1163" s="3"/>
      <c r="E1163" s="2"/>
      <c r="G1163" s="3"/>
      <c r="H1163" s="3"/>
      <c r="I1163" s="3"/>
      <c r="K1163" s="3"/>
      <c r="X1163" s="4"/>
    </row>
    <row r="1164" spans="2:37" x14ac:dyDescent="0.25">
      <c r="B1164" s="1"/>
      <c r="E1164" s="2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  <c r="AK1165" s="5"/>
    </row>
    <row r="1166" spans="2:37" x14ac:dyDescent="0.25">
      <c r="B1166" s="1"/>
      <c r="E1166" s="2"/>
      <c r="H1166" s="3"/>
      <c r="I1166" s="3"/>
      <c r="K1166" s="3"/>
      <c r="L1166" s="3"/>
      <c r="X1166" s="4"/>
      <c r="AD1166" s="3"/>
      <c r="AE1166" s="3"/>
      <c r="AK1166" s="5"/>
    </row>
    <row r="1167" spans="2:37" x14ac:dyDescent="0.25">
      <c r="B1167" s="1"/>
      <c r="E1167" s="2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L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L1169" s="3"/>
      <c r="X1169" s="4"/>
    </row>
    <row r="1170" spans="2:37" x14ac:dyDescent="0.25">
      <c r="B1170" s="3"/>
      <c r="E1170" s="2"/>
      <c r="G1170" s="3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X1172" s="4"/>
    </row>
    <row r="1173" spans="2:37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  <c r="AB1174" s="3"/>
      <c r="AE1174" s="3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Z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x14ac:dyDescent="0.25">
      <c r="B1177" s="1"/>
      <c r="D1177" s="3"/>
      <c r="E1177" s="2"/>
      <c r="H1177" s="3"/>
      <c r="I1177" s="3"/>
      <c r="K1177" s="3"/>
      <c r="X1177" s="4"/>
      <c r="AK1177" s="5"/>
    </row>
    <row r="1178" spans="2:37" x14ac:dyDescent="0.25">
      <c r="B1178" s="1"/>
      <c r="E1178" s="2"/>
      <c r="H1178" s="3"/>
      <c r="I1178" s="3"/>
      <c r="K1178" s="3"/>
      <c r="L1178" s="3"/>
      <c r="X1178" s="4"/>
      <c r="AB1178" s="3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X1179" s="4"/>
    </row>
    <row r="1180" spans="2:37" x14ac:dyDescent="0.25">
      <c r="B1180" s="1"/>
      <c r="E1180" s="2"/>
      <c r="H1180" s="3"/>
      <c r="I1180" s="3"/>
      <c r="K1180" s="3"/>
      <c r="X1180" s="4"/>
    </row>
    <row r="1181" spans="2:37" x14ac:dyDescent="0.25">
      <c r="B1181" s="1"/>
      <c r="E1181" s="2"/>
      <c r="G1181" s="3"/>
      <c r="H1181" s="3"/>
      <c r="I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</row>
    <row r="1183" spans="2:37" x14ac:dyDescent="0.25">
      <c r="B1183" s="1"/>
      <c r="E1183" s="2"/>
      <c r="G1183" s="3"/>
      <c r="H1183" s="3"/>
      <c r="I1183" s="3"/>
      <c r="K1183" s="3"/>
      <c r="L1183" s="3"/>
      <c r="X1183" s="4"/>
      <c r="AD1183" s="3"/>
      <c r="AE1183" s="3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Z1184" s="3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</row>
    <row r="1186" spans="2:37" x14ac:dyDescent="0.25">
      <c r="B1186" s="3"/>
      <c r="E1186" s="2"/>
      <c r="G1186" s="3"/>
      <c r="K1186" s="3"/>
      <c r="X1186" s="4"/>
    </row>
    <row r="1187" spans="2:37" x14ac:dyDescent="0.25">
      <c r="B1187" s="1"/>
      <c r="E1187" s="2"/>
      <c r="H1187" s="3"/>
      <c r="I1187" s="3"/>
      <c r="K1187" s="3"/>
      <c r="X1187" s="4"/>
      <c r="AE1187" s="3"/>
      <c r="AK1187" s="5"/>
    </row>
    <row r="1188" spans="2:37" x14ac:dyDescent="0.25">
      <c r="B1188" s="1"/>
      <c r="E1188" s="2"/>
      <c r="X1188" s="4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D1189" s="3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D1191" s="3"/>
      <c r="AE1191" s="3"/>
      <c r="AK1191" s="5"/>
    </row>
    <row r="1192" spans="2:37" x14ac:dyDescent="0.25">
      <c r="B1192" s="1"/>
      <c r="E1192" s="2"/>
      <c r="G1192" s="3"/>
      <c r="H1192" s="3"/>
      <c r="I1192" s="3"/>
      <c r="K1192" s="3"/>
      <c r="X1192" s="4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x14ac:dyDescent="0.25">
      <c r="B1194" s="1"/>
      <c r="D1194" s="3"/>
      <c r="E1194" s="2"/>
      <c r="G1194" s="3"/>
      <c r="H1194" s="3"/>
      <c r="I1194" s="3"/>
      <c r="K1194" s="3"/>
      <c r="L1194" s="3"/>
      <c r="X1194" s="4"/>
      <c r="AE1194" s="3"/>
      <c r="AK1194" s="5"/>
    </row>
    <row r="1195" spans="2:37" x14ac:dyDescent="0.25">
      <c r="B1195" s="1"/>
      <c r="E1195" s="2"/>
      <c r="G1195" s="3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Z1196" s="3"/>
      <c r="AB1196" s="3"/>
      <c r="AE1196" s="3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K1197" s="5"/>
    </row>
    <row r="1198" spans="2:37" x14ac:dyDescent="0.25">
      <c r="B1198" s="1"/>
      <c r="E1198" s="2"/>
      <c r="G1198" s="3"/>
      <c r="H1198" s="3"/>
      <c r="I1198" s="3"/>
      <c r="K1198" s="3"/>
      <c r="X1198" s="4"/>
      <c r="AE1198" s="3"/>
      <c r="AK1198" s="5"/>
    </row>
    <row r="1199" spans="2:37" x14ac:dyDescent="0.25">
      <c r="B1199" s="1"/>
      <c r="E1199" s="2"/>
      <c r="H1199" s="3"/>
      <c r="I1199" s="3"/>
      <c r="K1199" s="3"/>
      <c r="L1199" s="3"/>
      <c r="X1199" s="4"/>
      <c r="Z1199" s="3"/>
      <c r="AE1199" s="3"/>
      <c r="AK1199" s="5"/>
    </row>
    <row r="1200" spans="2:37" x14ac:dyDescent="0.25">
      <c r="B1200" s="1"/>
      <c r="E1200" s="2"/>
      <c r="H1200" s="3"/>
      <c r="I1200" s="3"/>
      <c r="K1200" s="3"/>
      <c r="X1200" s="4"/>
      <c r="AE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E1201" s="3"/>
      <c r="AK1201" s="5"/>
    </row>
    <row r="1202" spans="2:37" x14ac:dyDescent="0.25">
      <c r="B1202" s="1"/>
      <c r="E1202" s="2"/>
      <c r="G1202" s="3"/>
      <c r="H1202" s="3"/>
      <c r="I1202" s="3"/>
      <c r="K1202" s="3"/>
      <c r="X1202" s="4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F1204" s="3"/>
      <c r="G1204" s="3"/>
      <c r="H1204" s="3"/>
      <c r="I1204" s="3"/>
      <c r="K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K1205" s="5"/>
    </row>
    <row r="1206" spans="2:37" x14ac:dyDescent="0.25">
      <c r="B1206" s="1"/>
      <c r="E1206" s="2"/>
      <c r="F1206" s="3"/>
      <c r="G1206" s="3"/>
      <c r="H1206" s="3"/>
      <c r="I1206" s="3"/>
      <c r="K1206" s="3"/>
      <c r="X1206" s="4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D1207" s="3"/>
      <c r="AE1207" s="3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E1210" s="2"/>
      <c r="G1210" s="3"/>
      <c r="X1210" s="4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D1213" s="3"/>
      <c r="E1213" s="2"/>
      <c r="G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Z1214" s="3"/>
      <c r="AK1214" s="5"/>
    </row>
    <row r="1215" spans="2:37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x14ac:dyDescent="0.25">
      <c r="B1216" s="1"/>
      <c r="E1216" s="2"/>
      <c r="F1216" s="3"/>
      <c r="G1216" s="3"/>
      <c r="H1216" s="3"/>
      <c r="I1216" s="3"/>
      <c r="K1216" s="3"/>
      <c r="X1216" s="4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x14ac:dyDescent="0.25">
      <c r="B1220" s="3"/>
      <c r="E1220" s="2"/>
      <c r="G1220" s="3"/>
      <c r="H1220" s="3"/>
      <c r="I1220" s="3"/>
      <c r="K1220" s="3"/>
      <c r="L1220" s="3"/>
      <c r="X1220" s="4"/>
      <c r="AB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B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AB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B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K1226" s="5"/>
    </row>
    <row r="1227" spans="2:37" x14ac:dyDescent="0.25">
      <c r="B1227" s="1"/>
      <c r="E1227" s="2"/>
      <c r="G1227" s="3"/>
      <c r="H1227" s="3"/>
      <c r="I1227" s="3"/>
      <c r="K1227" s="3"/>
      <c r="L1227" s="3"/>
      <c r="X1227" s="4"/>
      <c r="AD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D1228" s="3"/>
      <c r="AE1228" s="3"/>
      <c r="AK1228" s="5"/>
    </row>
    <row r="1229" spans="2:37" x14ac:dyDescent="0.25">
      <c r="B1229" s="1"/>
      <c r="E1229" s="2"/>
      <c r="G1229" s="3"/>
      <c r="H1229" s="3"/>
      <c r="I1229" s="3"/>
      <c r="K1229" s="3"/>
      <c r="X1229" s="4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Z1231" s="3"/>
      <c r="AE1231" s="3"/>
      <c r="AK1231" s="5"/>
    </row>
    <row r="1232" spans="2:37" x14ac:dyDescent="0.25">
      <c r="B1232" s="3"/>
      <c r="E1232" s="2"/>
      <c r="G1232" s="3"/>
      <c r="H1232" s="3"/>
      <c r="I1232" s="3"/>
      <c r="K1232" s="3"/>
      <c r="L1232" s="3"/>
      <c r="X1232" s="4"/>
      <c r="Z1232" s="3"/>
      <c r="AB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Z1233" s="3"/>
      <c r="AB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AD1234" s="3"/>
      <c r="AE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E1235" s="3"/>
      <c r="AK1235" s="5"/>
    </row>
    <row r="1236" spans="2:37" x14ac:dyDescent="0.25">
      <c r="B1236" s="1"/>
      <c r="E1236" s="2"/>
      <c r="G1236" s="3"/>
      <c r="H1236" s="3"/>
      <c r="I1236" s="3"/>
      <c r="K1236" s="3"/>
      <c r="X1236" s="4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Z1237" s="3"/>
      <c r="AE1237" s="3"/>
      <c r="AK1237" s="5"/>
    </row>
    <row r="1238" spans="2:37" x14ac:dyDescent="0.25">
      <c r="B1238" s="1"/>
      <c r="E1238" s="2"/>
      <c r="H1238" s="3"/>
      <c r="I1238" s="3"/>
      <c r="K1238" s="3"/>
      <c r="X1238" s="4"/>
      <c r="AK1238" s="5"/>
    </row>
    <row r="1239" spans="2:37" x14ac:dyDescent="0.25">
      <c r="B1239" s="1"/>
      <c r="E1239" s="2"/>
      <c r="G1239" s="3"/>
      <c r="H1239" s="3"/>
      <c r="I1239" s="3"/>
      <c r="K1239" s="3"/>
      <c r="L1239" s="3"/>
      <c r="X1239" s="4"/>
      <c r="AB1239" s="3"/>
      <c r="AK1239" s="5"/>
    </row>
    <row r="1240" spans="2:37" x14ac:dyDescent="0.25">
      <c r="B1240" s="1"/>
      <c r="E1240" s="2"/>
      <c r="H1240" s="3"/>
      <c r="I1240" s="3"/>
      <c r="K1240" s="3"/>
      <c r="L1240" s="3"/>
      <c r="X1240" s="4"/>
      <c r="AD1240" s="3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Z1241" s="3"/>
      <c r="AE1241" s="3"/>
      <c r="AK1241" s="5"/>
    </row>
    <row r="1242" spans="2:37" x14ac:dyDescent="0.25">
      <c r="B1242" s="1"/>
      <c r="E1242" s="2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F1243" s="3"/>
      <c r="H1243" s="3"/>
      <c r="I1243" s="3"/>
      <c r="K1243" s="3"/>
      <c r="L1243" s="3"/>
      <c r="X1243" s="4"/>
      <c r="AB1243" s="3"/>
      <c r="AE1243" s="3"/>
      <c r="AK1243" s="5"/>
    </row>
    <row r="1244" spans="2:37" x14ac:dyDescent="0.25">
      <c r="B1244" s="1"/>
      <c r="E1244" s="2"/>
      <c r="H1244" s="3"/>
      <c r="I1244" s="3"/>
      <c r="K1244" s="3"/>
      <c r="L1244" s="3"/>
      <c r="X1244" s="4"/>
      <c r="AD1244" s="3"/>
      <c r="AE1244" s="3"/>
      <c r="AK1244" s="5"/>
    </row>
    <row r="1245" spans="2:37" x14ac:dyDescent="0.25">
      <c r="B1245" s="3"/>
      <c r="E1245" s="2"/>
      <c r="G1245" s="3"/>
      <c r="H1245" s="3"/>
      <c r="I1245" s="3"/>
      <c r="K1245" s="3"/>
      <c r="X1245" s="4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1"/>
      <c r="E1247" s="2"/>
      <c r="F1247" s="3"/>
      <c r="G1247" s="3"/>
      <c r="H1247" s="3"/>
      <c r="I1247" s="3"/>
      <c r="K1247" s="3"/>
      <c r="L1247" s="3"/>
      <c r="X1247" s="4"/>
      <c r="AB1247" s="3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Z1248" s="3"/>
      <c r="AB1248" s="3"/>
      <c r="AE1248" s="3"/>
      <c r="AK1248" s="5"/>
    </row>
    <row r="1249" spans="2:37" x14ac:dyDescent="0.25">
      <c r="B1249" s="1"/>
      <c r="E1249" s="2"/>
      <c r="F1249" s="3"/>
      <c r="G1249" s="3"/>
      <c r="H1249" s="3"/>
      <c r="I1249" s="3"/>
      <c r="K1249" s="3"/>
      <c r="L1249" s="3"/>
      <c r="X1249" s="4"/>
      <c r="AE1249" s="3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K1251" s="5"/>
    </row>
    <row r="1252" spans="2:37" x14ac:dyDescent="0.25">
      <c r="B1252" s="1"/>
      <c r="D1252" s="3"/>
      <c r="E1252" s="2"/>
      <c r="G1252" s="3"/>
      <c r="H1252" s="3"/>
      <c r="I1252" s="3"/>
      <c r="K1252" s="3"/>
      <c r="L1252" s="3"/>
      <c r="X1252" s="4"/>
      <c r="AK1252" s="5"/>
    </row>
    <row r="1253" spans="2:37" x14ac:dyDescent="0.25">
      <c r="B1253" s="1"/>
      <c r="E1253" s="2"/>
      <c r="F1253" s="3"/>
      <c r="G1253" s="3"/>
      <c r="H1253" s="3"/>
      <c r="I1253" s="3"/>
      <c r="K1253" s="3"/>
      <c r="L1253" s="3"/>
      <c r="X1253" s="4"/>
      <c r="AK1253" s="5"/>
    </row>
    <row r="1254" spans="2:37" x14ac:dyDescent="0.25">
      <c r="B1254" s="1"/>
      <c r="D1254" s="3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x14ac:dyDescent="0.25">
      <c r="B1256" s="3"/>
      <c r="E1256" s="2"/>
      <c r="G1256" s="3"/>
      <c r="H1256" s="3"/>
      <c r="I1256" s="3"/>
      <c r="K1256" s="3"/>
      <c r="L1256" s="3"/>
      <c r="X1256" s="4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AK1257" s="5"/>
    </row>
    <row r="1258" spans="2:37" x14ac:dyDescent="0.25">
      <c r="B1258" s="1"/>
      <c r="D1258" s="3"/>
      <c r="E1258" s="2"/>
      <c r="G1258" s="3"/>
      <c r="H1258" s="3"/>
      <c r="I1258" s="3"/>
      <c r="K1258" s="3"/>
      <c r="X1258" s="4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AD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Z1261" s="3"/>
      <c r="AB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H1263" s="3"/>
      <c r="I1263" s="3"/>
      <c r="K1263" s="3"/>
      <c r="L1263" s="3"/>
      <c r="X1263" s="4"/>
      <c r="Z1263" s="3"/>
      <c r="AE1263" s="3"/>
      <c r="AK1263" s="5"/>
    </row>
    <row r="1264" spans="2:37" x14ac:dyDescent="0.25">
      <c r="B1264" s="1"/>
      <c r="E1264" s="2"/>
      <c r="H1264" s="3"/>
      <c r="I1264" s="3"/>
      <c r="K1264" s="3"/>
      <c r="X1264" s="4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E1265" s="3"/>
      <c r="AK1265" s="5"/>
    </row>
    <row r="1266" spans="2:37" x14ac:dyDescent="0.25">
      <c r="B1266" s="3"/>
      <c r="E1266" s="2"/>
      <c r="G1266" s="3"/>
      <c r="H1266" s="3"/>
      <c r="I1266" s="3"/>
      <c r="K1266" s="3"/>
      <c r="X1266" s="4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x14ac:dyDescent="0.25">
      <c r="B1268" s="1"/>
      <c r="E1268" s="2"/>
      <c r="G1268" s="3"/>
      <c r="H1268" s="3"/>
      <c r="I1268" s="3"/>
      <c r="K1268" s="3"/>
      <c r="X1268" s="4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D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L1270" s="3"/>
      <c r="X1270" s="4"/>
      <c r="AB1270" s="3"/>
      <c r="AE1270" s="3"/>
      <c r="AK1270" s="5"/>
    </row>
    <row r="1271" spans="2:37" x14ac:dyDescent="0.25">
      <c r="B1271" s="1"/>
      <c r="D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Z1272" s="3"/>
      <c r="AE1272" s="3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G1274" s="3"/>
      <c r="H1274" s="3"/>
      <c r="I1274" s="3"/>
      <c r="K1274" s="3"/>
      <c r="L1274" s="3"/>
      <c r="X1274" s="4"/>
      <c r="AE1274" s="3"/>
      <c r="AK1274" s="5"/>
    </row>
    <row r="1275" spans="2:37" x14ac:dyDescent="0.25">
      <c r="B1275" s="1"/>
      <c r="D1275" s="3"/>
      <c r="E1275" s="2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L1276" s="3"/>
      <c r="X1276" s="4"/>
      <c r="AK1276" s="5"/>
    </row>
    <row r="1277" spans="2:37" x14ac:dyDescent="0.25">
      <c r="B1277" s="1"/>
      <c r="E1277" s="2"/>
      <c r="F1277" s="3"/>
      <c r="G1277" s="3"/>
      <c r="X1277" s="4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Z1278" s="3"/>
      <c r="AE1278" s="3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  <c r="AK1279" s="5"/>
    </row>
    <row r="1280" spans="2:37" x14ac:dyDescent="0.25">
      <c r="B1280" s="3"/>
      <c r="E1280" s="2"/>
      <c r="G1280" s="3"/>
      <c r="H1280" s="3"/>
      <c r="I1280" s="3"/>
      <c r="K1280" s="3"/>
      <c r="L1280" s="3"/>
      <c r="X1280" s="4"/>
      <c r="Z1280" s="3"/>
      <c r="AE1280" s="3"/>
      <c r="AK1280" s="5"/>
    </row>
    <row r="1281" spans="2:37" x14ac:dyDescent="0.25">
      <c r="B1281" s="1"/>
      <c r="E1281" s="2"/>
      <c r="H1281" s="3"/>
      <c r="I1281" s="3"/>
      <c r="K1281" s="3"/>
      <c r="X1281" s="4"/>
      <c r="AE1281" s="3"/>
      <c r="AK1281" s="5"/>
    </row>
    <row r="1282" spans="2:37" x14ac:dyDescent="0.25">
      <c r="B1282" s="1"/>
      <c r="E1282" s="2"/>
      <c r="H1282" s="3"/>
      <c r="I1282" s="3"/>
      <c r="K1282" s="3"/>
      <c r="X1282" s="4"/>
      <c r="AE1282" s="3"/>
      <c r="AK1282" s="5"/>
    </row>
    <row r="1283" spans="2:37" x14ac:dyDescent="0.25">
      <c r="B1283" s="1"/>
      <c r="E1283" s="2"/>
      <c r="H1283" s="3"/>
      <c r="I1283" s="3"/>
      <c r="K1283" s="3"/>
      <c r="L1283" s="3"/>
      <c r="X1283" s="4"/>
      <c r="AE1283" s="3"/>
      <c r="AK1283" s="5"/>
    </row>
    <row r="1284" spans="2:37" x14ac:dyDescent="0.25">
      <c r="B1284" s="1"/>
      <c r="E1284" s="2"/>
      <c r="F1284" s="3"/>
      <c r="G1284" s="3"/>
      <c r="H1284" s="3"/>
      <c r="I1284" s="3"/>
      <c r="K1284" s="3"/>
      <c r="L1284" s="3"/>
      <c r="X1284" s="4"/>
      <c r="AB1284" s="3"/>
      <c r="AE1284" s="3"/>
      <c r="AK1284" s="5"/>
    </row>
    <row r="1285" spans="2:37" x14ac:dyDescent="0.25">
      <c r="B1285" s="1"/>
      <c r="E1285" s="2"/>
      <c r="H1285" s="3"/>
      <c r="I1285" s="3"/>
      <c r="K1285" s="3"/>
      <c r="X1285" s="4"/>
      <c r="AE1285" s="3"/>
      <c r="AK1285" s="5"/>
    </row>
    <row r="1286" spans="2:37" x14ac:dyDescent="0.25">
      <c r="B1286" s="1"/>
      <c r="E1286" s="2"/>
      <c r="G1286" s="3"/>
      <c r="H1286" s="3"/>
      <c r="I1286" s="3"/>
      <c r="K1286" s="3"/>
      <c r="L1286" s="3"/>
      <c r="X1286" s="4"/>
      <c r="AK1286" s="5"/>
    </row>
    <row r="1287" spans="2:37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X1288" s="4"/>
      <c r="AK1288" s="5"/>
    </row>
    <row r="1289" spans="2:37" x14ac:dyDescent="0.25">
      <c r="B1289" s="1"/>
      <c r="E1289" s="2"/>
      <c r="G1289" s="3"/>
      <c r="H1289" s="3"/>
      <c r="I1289" s="3"/>
      <c r="K1289" s="3"/>
      <c r="L1289" s="3"/>
      <c r="X1289" s="4"/>
      <c r="AB1289" s="3"/>
      <c r="AK1289" s="5"/>
    </row>
    <row r="1290" spans="2:37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Z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X1292" s="4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</row>
    <row r="1294" spans="2:37" x14ac:dyDescent="0.25">
      <c r="B1294" s="1"/>
      <c r="D1294" s="3"/>
      <c r="E1294" s="2"/>
      <c r="F1294" s="3"/>
      <c r="G1294" s="3"/>
      <c r="X1294" s="4"/>
    </row>
    <row r="1295" spans="2:37" x14ac:dyDescent="0.25">
      <c r="B1295" s="1"/>
      <c r="E1295" s="2"/>
      <c r="H1295" s="3"/>
      <c r="I1295" s="3"/>
      <c r="K1295" s="3"/>
      <c r="L1295" s="3"/>
      <c r="X1295" s="4"/>
      <c r="AK1295" s="5"/>
    </row>
    <row r="1296" spans="2:37" x14ac:dyDescent="0.25">
      <c r="B1296" s="3"/>
      <c r="E1296" s="2"/>
      <c r="G1296" s="3"/>
      <c r="H1296" s="3"/>
      <c r="I1296" s="3"/>
      <c r="K1296" s="3"/>
      <c r="L1296" s="3"/>
      <c r="X1296" s="4"/>
      <c r="AD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AD1297" s="3"/>
      <c r="AE1297" s="3"/>
      <c r="AK1297" s="5"/>
    </row>
    <row r="1298" spans="2:37" x14ac:dyDescent="0.25">
      <c r="B1298" s="3"/>
      <c r="E1298" s="2"/>
      <c r="G1298" s="3"/>
      <c r="H1298" s="3"/>
      <c r="I1298" s="3"/>
      <c r="K1298" s="3"/>
      <c r="L1298" s="3"/>
      <c r="X1298" s="4"/>
      <c r="AD1298" s="3"/>
      <c r="AE1298" s="3"/>
      <c r="AK1298" s="5"/>
    </row>
    <row r="1299" spans="2:37" x14ac:dyDescent="0.25">
      <c r="B1299" s="1"/>
      <c r="D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D1300" s="3"/>
      <c r="E1300" s="2"/>
      <c r="G1300" s="3"/>
      <c r="H1300" s="3"/>
      <c r="I1300" s="3"/>
      <c r="K1300" s="3"/>
      <c r="L1300" s="3"/>
      <c r="X1300" s="4"/>
      <c r="Z1300" s="3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G1302" s="3"/>
      <c r="H1302" s="3"/>
      <c r="I1302" s="3"/>
      <c r="K1302" s="3"/>
      <c r="L1302" s="3"/>
      <c r="X1302" s="4"/>
      <c r="AB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Z1306" s="3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A1309" s="3"/>
      <c r="AB1309" s="3"/>
      <c r="AE1309" s="3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3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3"/>
      <c r="E1313" s="2"/>
      <c r="G1313" s="3"/>
      <c r="H1313" s="3"/>
      <c r="I1313" s="3"/>
      <c r="K1313" s="3"/>
      <c r="L1313" s="3"/>
      <c r="X1313" s="4"/>
      <c r="AB1313" s="3"/>
      <c r="AE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3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Z1316" s="3"/>
      <c r="AB1316" s="3"/>
      <c r="AE1316" s="3"/>
      <c r="AK1316" s="5"/>
    </row>
    <row r="1317" spans="2:37" x14ac:dyDescent="0.25">
      <c r="B1317" s="1"/>
      <c r="E1317" s="2"/>
      <c r="H1317" s="3"/>
      <c r="I1317" s="3"/>
      <c r="K1317" s="3"/>
      <c r="L1317" s="3"/>
      <c r="X1317" s="4"/>
      <c r="AB1317" s="3"/>
      <c r="AE1317" s="3"/>
      <c r="AK1317" s="5"/>
    </row>
    <row r="1318" spans="2:37" x14ac:dyDescent="0.25">
      <c r="B1318" s="1"/>
      <c r="E1318" s="2"/>
      <c r="H1318" s="3"/>
      <c r="I1318" s="3"/>
      <c r="K1318" s="3"/>
      <c r="X1318" s="4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E1320" s="3"/>
      <c r="AK1320" s="5"/>
    </row>
    <row r="1321" spans="2:37" x14ac:dyDescent="0.25"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2:37" x14ac:dyDescent="0.25">
      <c r="B1322" s="1"/>
      <c r="D1322" s="3"/>
      <c r="E1322" s="2"/>
      <c r="F1322" s="3"/>
      <c r="G1322" s="3"/>
      <c r="H1322" s="3"/>
      <c r="I1322" s="3"/>
      <c r="K1322" s="3"/>
      <c r="L1322" s="3"/>
      <c r="X1322" s="4"/>
      <c r="AB1322" s="3"/>
      <c r="AK1322" s="5"/>
    </row>
    <row r="1323" spans="2:37" x14ac:dyDescent="0.25">
      <c r="B1323" s="1"/>
      <c r="E1323" s="2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3"/>
      <c r="E1324" s="2"/>
      <c r="F1324" s="3"/>
      <c r="G1324" s="3"/>
      <c r="H1324" s="3"/>
      <c r="I1324" s="3"/>
      <c r="K1324" s="3"/>
      <c r="L1324" s="3"/>
      <c r="X1324" s="4"/>
      <c r="AA1324" s="3"/>
      <c r="AK1324" s="5"/>
    </row>
    <row r="1325" spans="2:37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x14ac:dyDescent="0.25">
      <c r="B1326" s="1"/>
      <c r="E1326" s="2"/>
      <c r="F1326" s="3"/>
      <c r="G1326" s="3"/>
      <c r="H1326" s="3"/>
      <c r="I1326" s="3"/>
      <c r="K1326" s="3"/>
      <c r="X1326" s="4"/>
    </row>
    <row r="1327" spans="2:37" x14ac:dyDescent="0.25">
      <c r="B1327" s="1"/>
      <c r="E1327" s="2"/>
      <c r="H1327" s="3"/>
      <c r="I1327" s="3"/>
      <c r="K1327" s="3"/>
      <c r="L1327" s="3"/>
      <c r="X1327" s="4"/>
      <c r="Z1327" s="3"/>
      <c r="AE1327" s="3"/>
      <c r="AK1327" s="5"/>
    </row>
    <row r="1328" spans="2:37" x14ac:dyDescent="0.25">
      <c r="B1328" s="1"/>
      <c r="E1328" s="2"/>
      <c r="F1328" s="3"/>
      <c r="G1328" s="3"/>
      <c r="H1328" s="3"/>
      <c r="I1328" s="3"/>
      <c r="K1328" s="3"/>
      <c r="L1328" s="3"/>
      <c r="X1328" s="4"/>
      <c r="Z1328" s="3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B1329" s="3"/>
      <c r="AK1329" s="5"/>
    </row>
    <row r="1330" spans="2:37" x14ac:dyDescent="0.25">
      <c r="B1330" s="1"/>
      <c r="E1330" s="2"/>
      <c r="F1330" s="3"/>
      <c r="G1330" s="3"/>
      <c r="H1330" s="3"/>
      <c r="I1330" s="3"/>
      <c r="K1330" s="3"/>
      <c r="L1330" s="3"/>
      <c r="X1330" s="4"/>
      <c r="AB1330" s="3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Z1331" s="3"/>
      <c r="AE1331" s="3"/>
      <c r="AK1331" s="5"/>
    </row>
    <row r="1332" spans="2:37" x14ac:dyDescent="0.25">
      <c r="B1332" s="1"/>
      <c r="E1332" s="2"/>
      <c r="F1332" s="3"/>
      <c r="G1332" s="3"/>
      <c r="H1332" s="3"/>
      <c r="I1332" s="3"/>
      <c r="K1332" s="3"/>
      <c r="X1332" s="4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AD1333" s="3"/>
      <c r="AE1333" s="3"/>
      <c r="AK1333" s="5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  <c r="AE1334" s="3"/>
      <c r="AK1334" s="5"/>
    </row>
    <row r="1335" spans="2:37" x14ac:dyDescent="0.25">
      <c r="B1335" s="3"/>
      <c r="E1335" s="2"/>
      <c r="G1335" s="3"/>
      <c r="H1335" s="3"/>
      <c r="I1335" s="3"/>
      <c r="K1335" s="3"/>
      <c r="L1335" s="3"/>
      <c r="X1335" s="4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3"/>
      <c r="E1337" s="2"/>
      <c r="G1337" s="3"/>
      <c r="H1337" s="3"/>
      <c r="I1337" s="3"/>
      <c r="K1337" s="3"/>
      <c r="L1337" s="3"/>
      <c r="X1337" s="4"/>
    </row>
    <row r="1338" spans="2:37" x14ac:dyDescent="0.25">
      <c r="B1338" s="1"/>
      <c r="E1338" s="2"/>
      <c r="G1338" s="3"/>
      <c r="H1338" s="3"/>
      <c r="I1338" s="3"/>
      <c r="K1338" s="3"/>
      <c r="L1338" s="3"/>
    </row>
    <row r="1339" spans="2:37" x14ac:dyDescent="0.25">
      <c r="B1339" s="1"/>
      <c r="E1339" s="2"/>
      <c r="F1339" s="3"/>
      <c r="G1339" s="3"/>
      <c r="H1339" s="3"/>
      <c r="I1339" s="3"/>
      <c r="K1339" s="3"/>
      <c r="L1339" s="3"/>
      <c r="X1339" s="4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E1342" s="3"/>
      <c r="AK1342" s="5"/>
    </row>
    <row r="1343" spans="2:37" x14ac:dyDescent="0.25">
      <c r="B1343" s="1"/>
      <c r="E1343" s="2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X1344" s="4"/>
      <c r="AE1344" s="3"/>
      <c r="AK1344" s="5"/>
    </row>
    <row r="1345" spans="2:37" x14ac:dyDescent="0.25">
      <c r="B1345" s="1"/>
      <c r="E1345" s="2"/>
      <c r="G1345" s="3"/>
      <c r="H1345" s="3"/>
      <c r="I1345" s="3"/>
      <c r="K1345" s="3"/>
      <c r="L1345" s="3"/>
      <c r="X1345" s="4"/>
      <c r="AB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AD1351" s="3"/>
      <c r="AE1351" s="3"/>
      <c r="AK1351" s="5"/>
    </row>
    <row r="1352" spans="2:37" x14ac:dyDescent="0.25">
      <c r="B1352" s="3"/>
      <c r="E1352" s="2"/>
      <c r="F1352" s="3"/>
      <c r="G1352" s="3"/>
      <c r="H1352" s="3"/>
      <c r="I1352" s="3"/>
      <c r="K1352" s="3"/>
      <c r="L1352" s="3"/>
      <c r="X1352" s="4"/>
      <c r="AD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AB1353" s="3"/>
      <c r="AD1353" s="3"/>
      <c r="AE1353" s="3"/>
      <c r="AK1353" s="5"/>
    </row>
    <row r="1354" spans="2:37" x14ac:dyDescent="0.25">
      <c r="B1354" s="1"/>
      <c r="E1354" s="2"/>
      <c r="G1354" s="3"/>
      <c r="H1354" s="3"/>
      <c r="I1354" s="3"/>
      <c r="K1354" s="3"/>
      <c r="X1354" s="4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AA1355" s="3"/>
      <c r="AD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D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  <c r="Z1357" s="3"/>
      <c r="AB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D1360" s="3"/>
      <c r="E1360" s="2"/>
      <c r="G1360" s="3"/>
      <c r="H1360" s="3"/>
      <c r="I1360" s="3"/>
      <c r="K1360" s="3"/>
      <c r="X1360" s="4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  <c r="Z1361" s="3"/>
      <c r="AE1361" s="3"/>
      <c r="AK1361" s="5"/>
    </row>
    <row r="1362" spans="2:37" x14ac:dyDescent="0.25">
      <c r="B1362" s="3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G1364" s="3"/>
      <c r="X1364" s="4"/>
    </row>
    <row r="1365" spans="2:37" x14ac:dyDescent="0.25">
      <c r="B1365" s="1"/>
      <c r="E1365" s="2"/>
      <c r="H1365" s="3"/>
      <c r="I1365" s="3"/>
      <c r="K1365" s="3"/>
      <c r="L1365" s="3"/>
      <c r="X1365" s="4"/>
      <c r="Z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</row>
    <row r="1367" spans="2:37" x14ac:dyDescent="0.25">
      <c r="B1367" s="1"/>
      <c r="D1367" s="3"/>
      <c r="E1367" s="2"/>
      <c r="G1367" s="3"/>
      <c r="H1367" s="3"/>
      <c r="I1367" s="3"/>
      <c r="K1367" s="3"/>
      <c r="L1367" s="3"/>
      <c r="X1367" s="4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H1370" s="3"/>
      <c r="I1370" s="3"/>
      <c r="K1370" s="3"/>
      <c r="X1370" s="4"/>
      <c r="AK1370" s="5"/>
    </row>
    <row r="1371" spans="2:37" x14ac:dyDescent="0.25">
      <c r="B1371" s="1"/>
      <c r="E1371" s="2"/>
      <c r="H1371" s="3"/>
      <c r="I1371" s="3"/>
      <c r="K1371" s="3"/>
      <c r="X1371" s="4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B1372" s="3"/>
      <c r="AE1372" s="3"/>
      <c r="AK1372" s="5"/>
    </row>
    <row r="1373" spans="2:37" x14ac:dyDescent="0.25">
      <c r="B1373" s="1"/>
      <c r="E1373" s="2"/>
      <c r="G1373" s="3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H1374" s="3"/>
      <c r="I1374" s="3"/>
      <c r="K1374" s="3"/>
      <c r="L1374" s="3"/>
      <c r="X1374" s="4"/>
    </row>
    <row r="1375" spans="2:37" x14ac:dyDescent="0.25">
      <c r="B1375" s="3"/>
      <c r="G1375" s="3"/>
    </row>
    <row r="1376" spans="2:37" x14ac:dyDescent="0.25">
      <c r="B1376" s="1"/>
      <c r="E1376" s="2"/>
      <c r="H1376" s="3"/>
      <c r="I1376" s="3"/>
      <c r="K1376" s="3"/>
      <c r="L1376" s="3"/>
      <c r="X1376" s="4"/>
      <c r="AK1376" s="5"/>
    </row>
    <row r="1377" spans="2:37" x14ac:dyDescent="0.25">
      <c r="B1377" s="1"/>
      <c r="E1377" s="2"/>
      <c r="G1377" s="3"/>
      <c r="H1377" s="3"/>
      <c r="I1377" s="3"/>
      <c r="K1377" s="3"/>
      <c r="X1377" s="4"/>
      <c r="AK1377" s="5"/>
    </row>
    <row r="1378" spans="2:37" x14ac:dyDescent="0.25">
      <c r="B1378" s="1"/>
      <c r="E1378" s="2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G1379" s="3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H1380" s="3"/>
      <c r="I1380" s="3"/>
      <c r="K1380" s="3"/>
      <c r="L1380" s="3"/>
      <c r="X1380" s="4"/>
      <c r="AD1380" s="3"/>
      <c r="AE1380" s="3"/>
      <c r="AK1380" s="5"/>
    </row>
    <row r="1381" spans="2:37" x14ac:dyDescent="0.25">
      <c r="B1381" s="1"/>
      <c r="E1381" s="2"/>
      <c r="G1381" s="3"/>
      <c r="X1381" s="4"/>
    </row>
    <row r="1382" spans="2:37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x14ac:dyDescent="0.25">
      <c r="B1383" s="1"/>
      <c r="E1383" s="2"/>
      <c r="G1383" s="3"/>
      <c r="H1383" s="3"/>
      <c r="I1383" s="3"/>
      <c r="K1383" s="3"/>
      <c r="L1383" s="3"/>
      <c r="X1383" s="4"/>
      <c r="Z1383" s="3"/>
      <c r="AE1383" s="3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  <c r="AB1384" s="3"/>
      <c r="AE1384" s="3"/>
      <c r="AK1384" s="5"/>
    </row>
    <row r="1385" spans="2:37" x14ac:dyDescent="0.25">
      <c r="B1385" s="1"/>
      <c r="E1385" s="2"/>
      <c r="G1385" s="3"/>
      <c r="H1385" s="3"/>
      <c r="I1385" s="3"/>
      <c r="K1385" s="3"/>
      <c r="L1385" s="3"/>
      <c r="X1385" s="4"/>
      <c r="AB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E1386" s="3"/>
      <c r="AK1386" s="5"/>
    </row>
    <row r="1387" spans="2:37" x14ac:dyDescent="0.25">
      <c r="B1387" s="1"/>
      <c r="E1387" s="2"/>
      <c r="H1387" s="3"/>
      <c r="I1387" s="3"/>
      <c r="K1387" s="3"/>
      <c r="X1387" s="4"/>
      <c r="AK1387" s="5"/>
    </row>
    <row r="1388" spans="2:37" x14ac:dyDescent="0.25">
      <c r="B1388" s="1"/>
      <c r="E1388" s="2"/>
      <c r="F1388" s="3"/>
      <c r="G1388" s="3"/>
      <c r="H1388" s="3"/>
      <c r="I1388" s="3"/>
      <c r="K1388" s="3"/>
      <c r="X1388" s="4"/>
      <c r="AK1388" s="5"/>
    </row>
    <row r="1389" spans="2:37" x14ac:dyDescent="0.25">
      <c r="B1389" s="1"/>
      <c r="E1389" s="2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G1392" s="3"/>
      <c r="H1392" s="3"/>
      <c r="I1392" s="3"/>
      <c r="K1392" s="3"/>
      <c r="L1392" s="3"/>
      <c r="X1392" s="4"/>
      <c r="AB1392" s="3"/>
      <c r="AE1392" s="3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</row>
    <row r="1394" spans="2:37" x14ac:dyDescent="0.25">
      <c r="B1394" s="3"/>
      <c r="E1394" s="2"/>
      <c r="G1394" s="3"/>
      <c r="H1394" s="3"/>
      <c r="I1394" s="3"/>
      <c r="K1394" s="3"/>
      <c r="X1394" s="4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AA1395" s="3"/>
      <c r="AK1395" s="5"/>
    </row>
    <row r="1396" spans="2:37" x14ac:dyDescent="0.25">
      <c r="B1396" s="1"/>
      <c r="E1396" s="2"/>
      <c r="G1396" s="3"/>
      <c r="H1396" s="3"/>
      <c r="I1396" s="3"/>
      <c r="K1396" s="3"/>
      <c r="X1396" s="4"/>
      <c r="AE1396" s="3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AK1397" s="5"/>
    </row>
    <row r="1398" spans="2:37" x14ac:dyDescent="0.25">
      <c r="B1398" s="1"/>
      <c r="D1398" s="3"/>
      <c r="E1398" s="2"/>
      <c r="G1398" s="3"/>
      <c r="H1398" s="3"/>
      <c r="I1398" s="3"/>
      <c r="K1398" s="3"/>
      <c r="X1398" s="4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</row>
    <row r="1401" spans="2:37" x14ac:dyDescent="0.25">
      <c r="B1401" s="3"/>
      <c r="C1401" s="3"/>
      <c r="E1401" s="2"/>
      <c r="G1401" s="3"/>
      <c r="H1401" s="3"/>
      <c r="I1401" s="3"/>
      <c r="K1401" s="3"/>
      <c r="X1401" s="4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AD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F1406" s="3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X1411" s="4"/>
      <c r="AE1411" s="3"/>
      <c r="AK1411" s="5"/>
    </row>
    <row r="1412" spans="2:37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AA1416" s="3"/>
      <c r="AD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A1417" s="3"/>
      <c r="AD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D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A1419" s="3"/>
      <c r="AE1419" s="3"/>
      <c r="AK1419" s="5"/>
    </row>
    <row r="1420" spans="2:37" x14ac:dyDescent="0.25">
      <c r="B1420" s="1"/>
      <c r="E1420" s="2"/>
      <c r="G1420" s="3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G1421" s="3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Z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E1432" s="3"/>
      <c r="AK1432" s="5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x14ac:dyDescent="0.25">
      <c r="B1435" s="3"/>
      <c r="E1435" s="2"/>
      <c r="G1435" s="3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X1436" s="4"/>
    </row>
    <row r="1437" spans="2:37" x14ac:dyDescent="0.25">
      <c r="B1437" s="1"/>
      <c r="E1437" s="2"/>
      <c r="H1437" s="3"/>
      <c r="I1437" s="3"/>
      <c r="K1437" s="3"/>
      <c r="L1437" s="3"/>
      <c r="X1437" s="4"/>
    </row>
    <row r="1438" spans="2:37" x14ac:dyDescent="0.25">
      <c r="B1438" s="1"/>
      <c r="E1438" s="2"/>
      <c r="G1438" s="3"/>
      <c r="H1438" s="3"/>
      <c r="I1438" s="3"/>
      <c r="K1438" s="3"/>
      <c r="L1438" s="3"/>
      <c r="X1438" s="4"/>
      <c r="Z1438" s="3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</row>
    <row r="1440" spans="2:37" x14ac:dyDescent="0.25">
      <c r="B1440" s="1"/>
      <c r="E1440" s="2"/>
      <c r="G1440" s="3"/>
      <c r="H1440" s="3"/>
      <c r="I1440" s="3"/>
      <c r="K1440" s="3"/>
      <c r="X1440" s="4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3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x14ac:dyDescent="0.25">
      <c r="B1445" s="3"/>
      <c r="E1445" s="2"/>
      <c r="G1445" s="3"/>
      <c r="H1445" s="3"/>
      <c r="I1445" s="3"/>
      <c r="K1445" s="3"/>
      <c r="L1445" s="3"/>
      <c r="X1445" s="4"/>
      <c r="AA1445" s="3"/>
      <c r="AD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x14ac:dyDescent="0.25">
      <c r="B1449" s="1"/>
      <c r="D1449" s="3"/>
      <c r="E1449" s="2"/>
      <c r="H1449" s="3"/>
      <c r="I1449" s="3"/>
      <c r="K1449" s="3"/>
      <c r="L1449" s="3"/>
      <c r="X1449" s="4"/>
      <c r="AB1449" s="3"/>
      <c r="AD1449" s="3"/>
      <c r="AE1449" s="3"/>
      <c r="AK1449" s="5"/>
    </row>
    <row r="1450" spans="2:37" x14ac:dyDescent="0.25">
      <c r="B1450" s="1"/>
      <c r="E1450" s="2"/>
      <c r="F1450" s="3"/>
      <c r="G1450" s="3"/>
      <c r="H1450" s="3"/>
      <c r="I1450" s="3"/>
      <c r="K1450" s="3"/>
      <c r="L1450" s="3"/>
      <c r="X1450" s="4"/>
      <c r="AB1450" s="3"/>
      <c r="AD1450" s="3"/>
      <c r="AE1450" s="3"/>
      <c r="AK1450" s="5"/>
    </row>
    <row r="1451" spans="2:37" x14ac:dyDescent="0.25">
      <c r="B1451" s="1"/>
      <c r="D1451" s="3"/>
      <c r="E1451" s="2"/>
      <c r="G1451" s="3"/>
      <c r="H1451" s="3"/>
      <c r="I1451" s="3"/>
      <c r="K1451" s="3"/>
      <c r="L1451" s="3"/>
      <c r="X1451" s="4"/>
      <c r="Z1451" s="3"/>
      <c r="AA1451" s="3"/>
      <c r="AE1451" s="3"/>
      <c r="AK1451" s="5"/>
    </row>
    <row r="1452" spans="2:37" x14ac:dyDescent="0.25">
      <c r="B1452" s="1"/>
      <c r="E1452" s="2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x14ac:dyDescent="0.25">
      <c r="B1453" s="1"/>
      <c r="E1453" s="2"/>
      <c r="H1453" s="3"/>
      <c r="I1453" s="3"/>
      <c r="K1453" s="3"/>
      <c r="L1453" s="3"/>
      <c r="X1453" s="4"/>
    </row>
    <row r="1454" spans="2:37" x14ac:dyDescent="0.25">
      <c r="B1454" s="1"/>
      <c r="D1454" s="3"/>
      <c r="E1454" s="2"/>
      <c r="F1454" s="3"/>
      <c r="H1454" s="3"/>
      <c r="I1454" s="3"/>
      <c r="K1454" s="3"/>
      <c r="L1454" s="3"/>
      <c r="X1454" s="4"/>
      <c r="Z1454" s="3"/>
      <c r="AE1454" s="3"/>
      <c r="AK1454" s="5"/>
    </row>
    <row r="1455" spans="2:37" x14ac:dyDescent="0.25">
      <c r="B1455" s="1"/>
      <c r="E1455" s="2"/>
      <c r="H1455" s="3"/>
      <c r="I1455" s="3"/>
      <c r="K1455" s="3"/>
      <c r="L1455" s="3"/>
      <c r="X1455" s="4"/>
      <c r="AB1455" s="3"/>
      <c r="AE1455" s="3"/>
      <c r="AK1455" s="5"/>
    </row>
    <row r="1456" spans="2:37" x14ac:dyDescent="0.25">
      <c r="B1456" s="1"/>
      <c r="E1456" s="2"/>
      <c r="G1456" s="3"/>
      <c r="H1456" s="3"/>
      <c r="I1456" s="3"/>
      <c r="K1456" s="3"/>
      <c r="L1456" s="3"/>
      <c r="X1456" s="4"/>
      <c r="AA1456" s="3"/>
      <c r="AE1456" s="3"/>
      <c r="AK1456" s="5"/>
    </row>
    <row r="1457" spans="2:37" x14ac:dyDescent="0.25">
      <c r="B1457" s="1"/>
      <c r="E1457" s="2"/>
      <c r="H1457" s="3"/>
      <c r="I1457" s="3"/>
      <c r="K1457" s="3"/>
      <c r="L1457" s="3"/>
      <c r="X1457" s="4"/>
      <c r="Z1457" s="3"/>
      <c r="AB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  <c r="Z1459" s="3"/>
      <c r="AD1459" s="3"/>
      <c r="AE1459" s="3"/>
      <c r="AK1459" s="5"/>
    </row>
    <row r="1460" spans="2:37" x14ac:dyDescent="0.25">
      <c r="B1460" s="1"/>
      <c r="E1460" s="2"/>
      <c r="G1460" s="3"/>
      <c r="H1460" s="3"/>
      <c r="I1460" s="3"/>
      <c r="K1460" s="3"/>
      <c r="X1460" s="4"/>
      <c r="AK1460" s="5"/>
    </row>
    <row r="1461" spans="2:37" x14ac:dyDescent="0.25">
      <c r="B1461" s="1"/>
      <c r="E1461" s="2"/>
      <c r="H1461" s="3"/>
      <c r="I1461" s="3"/>
      <c r="K1461" s="3"/>
      <c r="L1461" s="3"/>
      <c r="X1461" s="4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E1462" s="3"/>
      <c r="AK1462" s="5"/>
    </row>
    <row r="1463" spans="2:37" x14ac:dyDescent="0.25">
      <c r="B1463" s="1"/>
      <c r="E1463" s="2"/>
      <c r="F1463" s="3"/>
      <c r="G1463" s="3"/>
      <c r="H1463" s="3"/>
      <c r="I1463" s="3"/>
      <c r="K1463" s="3"/>
      <c r="L1463" s="3"/>
      <c r="X1463" s="4"/>
      <c r="AB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</row>
    <row r="1465" spans="2:37" x14ac:dyDescent="0.25">
      <c r="B1465" s="3"/>
      <c r="E1465" s="2"/>
      <c r="F1465" s="3"/>
      <c r="G1465" s="3"/>
      <c r="H1465" s="3"/>
      <c r="I1465" s="3"/>
      <c r="K1465" s="3"/>
      <c r="L1465" s="3"/>
      <c r="X1465" s="4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3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D1469" s="3"/>
      <c r="E1469" s="2"/>
      <c r="G1469" s="3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D1471" s="3"/>
      <c r="E1471" s="2"/>
      <c r="G1471" s="3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B1472" s="3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H1474" s="3"/>
      <c r="I1474" s="3"/>
      <c r="K1474" s="3"/>
      <c r="L1474" s="3"/>
      <c r="X1474" s="4"/>
      <c r="AD1474" s="3"/>
      <c r="AE1474" s="3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D1475" s="3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D1476" s="3"/>
      <c r="AE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  <c r="Z1478" s="3"/>
      <c r="AD1478" s="3"/>
      <c r="AE1478" s="3"/>
      <c r="AK1478" s="5"/>
    </row>
    <row r="1479" spans="2:37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K1479" s="5"/>
    </row>
    <row r="1480" spans="2:37" x14ac:dyDescent="0.25">
      <c r="B1480" s="1"/>
      <c r="E1480" s="2"/>
      <c r="G1480" s="3"/>
      <c r="H1480" s="3"/>
      <c r="I1480" s="3"/>
      <c r="K1480" s="3"/>
      <c r="L1480" s="3"/>
      <c r="X1480" s="4"/>
      <c r="AE1480" s="3"/>
      <c r="AK1480" s="5"/>
    </row>
    <row r="1481" spans="2:37" x14ac:dyDescent="0.25">
      <c r="B1481" s="1"/>
      <c r="E1481" s="2"/>
      <c r="G1481" s="3"/>
      <c r="H1481" s="3"/>
      <c r="I1481" s="3"/>
      <c r="K1481" s="3"/>
      <c r="L1481" s="3"/>
      <c r="X1481" s="4"/>
      <c r="Z1481" s="3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1"/>
      <c r="E1483" s="2"/>
      <c r="G1483" s="3"/>
      <c r="H1483" s="3"/>
      <c r="I1483" s="3"/>
      <c r="K1483" s="3"/>
      <c r="L1483" s="3"/>
      <c r="X1483" s="4"/>
    </row>
    <row r="1484" spans="2:37" x14ac:dyDescent="0.25">
      <c r="B1484" s="1"/>
      <c r="D1484" s="3"/>
      <c r="E1484" s="2"/>
      <c r="G1484" s="3"/>
      <c r="X1484" s="4"/>
      <c r="AE1484" s="3"/>
      <c r="AK1484" s="5"/>
    </row>
    <row r="1485" spans="2:37" x14ac:dyDescent="0.25">
      <c r="B1485" s="1"/>
      <c r="E1485" s="2"/>
      <c r="H1485" s="3"/>
      <c r="I1485" s="3"/>
      <c r="K1485" s="3"/>
      <c r="L1485" s="3"/>
      <c r="X1485" s="4"/>
      <c r="AK1485" s="5"/>
    </row>
    <row r="1486" spans="2:37" x14ac:dyDescent="0.25">
      <c r="B1486" s="3"/>
      <c r="D1486" s="3"/>
      <c r="E1486" s="2"/>
      <c r="G1486" s="3"/>
      <c r="H1486" s="3"/>
      <c r="I1486" s="3"/>
      <c r="K1486" s="3"/>
      <c r="X1486" s="4"/>
      <c r="AK1486" s="5"/>
    </row>
    <row r="1487" spans="2:37" x14ac:dyDescent="0.25">
      <c r="B1487" s="1"/>
      <c r="E1487" s="2"/>
      <c r="H1487" s="3"/>
      <c r="I1487" s="3"/>
      <c r="K1487" s="3"/>
      <c r="L1487" s="3"/>
      <c r="X1487" s="4"/>
      <c r="AD1487" s="3"/>
      <c r="AE1487" s="3"/>
      <c r="AK1487" s="5"/>
    </row>
    <row r="1488" spans="2:37" x14ac:dyDescent="0.25">
      <c r="B1488" s="3"/>
      <c r="E1488" s="2"/>
      <c r="G1488" s="3"/>
      <c r="H1488" s="3"/>
      <c r="I1488" s="3"/>
      <c r="K1488" s="3"/>
      <c r="L1488" s="3"/>
      <c r="X1488" s="4"/>
      <c r="Z1488" s="3"/>
      <c r="AE1488" s="3"/>
      <c r="AK1488" s="5"/>
    </row>
    <row r="1489" spans="2:37" x14ac:dyDescent="0.25">
      <c r="B1489" s="1"/>
      <c r="E1489" s="2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B1490" s="3"/>
      <c r="AE1490" s="3"/>
      <c r="AK1490" s="5"/>
    </row>
    <row r="1491" spans="2:37" x14ac:dyDescent="0.25">
      <c r="B1491" s="1"/>
      <c r="D1491" s="3"/>
      <c r="E1491" s="2"/>
      <c r="G1491" s="3"/>
      <c r="H1491" s="3"/>
      <c r="I1491" s="3"/>
      <c r="K1491" s="3"/>
      <c r="L1491" s="3"/>
      <c r="X1491" s="4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x14ac:dyDescent="0.25">
      <c r="B1495" s="1"/>
      <c r="D1495" s="3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E1496" s="3"/>
      <c r="AK1496" s="5"/>
    </row>
    <row r="1497" spans="2:37" x14ac:dyDescent="0.25">
      <c r="B1497" s="1"/>
      <c r="D1497" s="3"/>
      <c r="E1497" s="2"/>
      <c r="G1497" s="3"/>
      <c r="H1497" s="3"/>
      <c r="I1497" s="3"/>
      <c r="K1497" s="3"/>
      <c r="L1497" s="3"/>
      <c r="X1497" s="4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</row>
    <row r="1499" spans="2:37" x14ac:dyDescent="0.25">
      <c r="B1499" s="1"/>
      <c r="D1499" s="3"/>
      <c r="E1499" s="2"/>
      <c r="G1499" s="3"/>
      <c r="H1499" s="3"/>
      <c r="I1499" s="3"/>
      <c r="K1499" s="3"/>
      <c r="L1499" s="3"/>
      <c r="X1499" s="4"/>
      <c r="AE1499" s="3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E1500" s="3"/>
      <c r="AK1500" s="5"/>
    </row>
    <row r="1501" spans="2:37" x14ac:dyDescent="0.25">
      <c r="B1501" s="1"/>
      <c r="E1501" s="2"/>
      <c r="G1501" s="3"/>
      <c r="H1501" s="3"/>
      <c r="I1501" s="3"/>
      <c r="K1501" s="3"/>
      <c r="L1501" s="3"/>
      <c r="X1501" s="4"/>
      <c r="Z1501" s="3"/>
      <c r="AB1501" s="3"/>
      <c r="AE1501" s="3"/>
      <c r="AK1501" s="5"/>
    </row>
    <row r="1502" spans="2:37" x14ac:dyDescent="0.25">
      <c r="B1502" s="1"/>
      <c r="E1502" s="2"/>
      <c r="G1502" s="3"/>
      <c r="H1502" s="3"/>
      <c r="I1502" s="3"/>
      <c r="K1502" s="3"/>
      <c r="L1502" s="3"/>
      <c r="X1502" s="4"/>
      <c r="Z1502" s="3"/>
      <c r="AB1502" s="3"/>
      <c r="AE1502" s="3"/>
      <c r="AK1502" s="5"/>
    </row>
    <row r="1503" spans="2:37" x14ac:dyDescent="0.25">
      <c r="B1503" s="1"/>
      <c r="E1503" s="2"/>
      <c r="H1503" s="3"/>
      <c r="I1503" s="3"/>
      <c r="K1503" s="3"/>
      <c r="L1503" s="3"/>
      <c r="X1503" s="4"/>
      <c r="AK1503" s="5"/>
    </row>
    <row r="1504" spans="2:37" x14ac:dyDescent="0.25">
      <c r="B1504" s="1"/>
      <c r="E1504" s="2"/>
      <c r="G1504" s="3"/>
      <c r="H1504" s="3"/>
      <c r="I1504" s="3"/>
      <c r="K1504" s="3"/>
      <c r="X1504" s="4"/>
      <c r="AK1504" s="5"/>
    </row>
    <row r="1505" spans="2:37" x14ac:dyDescent="0.25">
      <c r="B1505" s="1"/>
      <c r="E1505" s="2"/>
      <c r="G1505" s="3"/>
      <c r="H1505" s="3"/>
      <c r="I1505" s="3"/>
      <c r="K1505" s="3"/>
      <c r="L1505" s="3"/>
      <c r="X1505" s="4"/>
      <c r="AE1505" s="3"/>
      <c r="AK1505" s="5"/>
    </row>
    <row r="1506" spans="2:37" x14ac:dyDescent="0.25">
      <c r="B1506" s="1"/>
      <c r="D1506" s="3"/>
      <c r="E1506" s="2"/>
      <c r="G1506" s="3"/>
      <c r="H1506" s="3"/>
      <c r="I1506" s="3"/>
      <c r="K1506" s="3"/>
      <c r="X1506" s="4"/>
      <c r="AE1506" s="3"/>
      <c r="AK1506" s="5"/>
    </row>
    <row r="1507" spans="2:37" x14ac:dyDescent="0.25">
      <c r="B1507" s="1"/>
      <c r="E1507" s="2"/>
      <c r="H1507" s="3"/>
      <c r="I1507" s="3"/>
      <c r="K1507" s="3"/>
      <c r="L1507" s="3"/>
      <c r="X1507" s="4"/>
      <c r="AE1507" s="3"/>
      <c r="AK1507" s="5"/>
    </row>
    <row r="1508" spans="2:37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H1509" s="3"/>
      <c r="I1509" s="3"/>
      <c r="K1509" s="3"/>
      <c r="L1509" s="3"/>
      <c r="X1509" s="4"/>
      <c r="Z1509" s="3"/>
      <c r="AE1509" s="3"/>
      <c r="AK1509" s="5"/>
    </row>
    <row r="1510" spans="2:37" x14ac:dyDescent="0.25">
      <c r="B1510" s="1"/>
      <c r="E1510" s="2"/>
      <c r="G1510" s="3"/>
      <c r="H1510" s="3"/>
      <c r="I1510" s="3"/>
      <c r="K1510" s="3"/>
      <c r="X1510" s="4"/>
      <c r="AK1510" s="5"/>
    </row>
    <row r="1511" spans="2:37" x14ac:dyDescent="0.25">
      <c r="B1511" s="1"/>
      <c r="E1511" s="2"/>
      <c r="H1511" s="3"/>
      <c r="I1511" s="3"/>
      <c r="K1511" s="3"/>
      <c r="L1511" s="3"/>
      <c r="X1511" s="4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1"/>
      <c r="E1513" s="2"/>
      <c r="H1513" s="3"/>
      <c r="I1513" s="3"/>
      <c r="K1513" s="3"/>
      <c r="L1513" s="3"/>
      <c r="X1513" s="4"/>
      <c r="AB1513" s="3"/>
      <c r="AE1513" s="3"/>
      <c r="AK1513" s="5"/>
    </row>
    <row r="1514" spans="2:37" x14ac:dyDescent="0.25">
      <c r="B1514" s="1"/>
      <c r="E1514" s="2"/>
      <c r="F1514" s="3"/>
      <c r="G1514" s="3"/>
      <c r="H1514" s="3"/>
      <c r="I1514" s="3"/>
      <c r="K1514" s="3"/>
      <c r="X1514" s="4"/>
      <c r="AK1514" s="5"/>
    </row>
    <row r="1515" spans="2:37" x14ac:dyDescent="0.25">
      <c r="B1515" s="1"/>
      <c r="E1515" s="2"/>
      <c r="H1515" s="3"/>
      <c r="I1515" s="3"/>
      <c r="K1515" s="3"/>
      <c r="L1515" s="3"/>
      <c r="X1515" s="4"/>
    </row>
    <row r="1516" spans="2:37" x14ac:dyDescent="0.25">
      <c r="B1516" s="3"/>
      <c r="E1516" s="2"/>
      <c r="F1516" s="3"/>
      <c r="G1516" s="3"/>
      <c r="X1516" s="4"/>
    </row>
    <row r="1517" spans="2:37" x14ac:dyDescent="0.25">
      <c r="B1517" s="1"/>
      <c r="E1517" s="2"/>
      <c r="H1517" s="3"/>
      <c r="I1517" s="3"/>
      <c r="K1517" s="3"/>
      <c r="L1517" s="3"/>
      <c r="X1517" s="4"/>
      <c r="AB1517" s="3"/>
      <c r="AE1517" s="3"/>
      <c r="AK1517" s="5"/>
    </row>
    <row r="1518" spans="2:37" x14ac:dyDescent="0.25">
      <c r="B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D1519" s="3"/>
      <c r="E1519" s="2"/>
      <c r="G1519" s="3"/>
      <c r="H1519" s="3"/>
      <c r="I1519" s="3"/>
      <c r="K1519" s="3"/>
      <c r="L1519" s="3"/>
      <c r="X1519" s="4"/>
    </row>
    <row r="1520" spans="2:37" x14ac:dyDescent="0.25">
      <c r="B1520" s="3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D1521" s="3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E1522" s="2"/>
      <c r="F1522" s="3"/>
      <c r="G1522" s="3"/>
      <c r="H1522" s="3"/>
      <c r="I1522" s="3"/>
      <c r="K1522" s="3"/>
      <c r="L1522" s="3"/>
      <c r="X1522" s="4"/>
      <c r="Z1522" s="3"/>
      <c r="AE1522" s="3"/>
      <c r="AK1522" s="5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E1524" s="2"/>
      <c r="F1524" s="3"/>
      <c r="G1524" s="3"/>
      <c r="H1524" s="3"/>
      <c r="I1524" s="3"/>
      <c r="K1524" s="3"/>
      <c r="X1524" s="4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AB1525" s="3"/>
      <c r="AE1525" s="3"/>
      <c r="AK1525" s="5"/>
    </row>
    <row r="1526" spans="2:37" x14ac:dyDescent="0.25">
      <c r="B1526" s="1"/>
      <c r="E1526" s="2"/>
      <c r="G1526" s="3"/>
      <c r="H1526" s="3"/>
      <c r="I1526" s="3"/>
      <c r="K1526" s="3"/>
      <c r="L1526" s="3"/>
      <c r="X1526" s="4"/>
    </row>
    <row r="1527" spans="2:37" x14ac:dyDescent="0.25">
      <c r="B1527" s="1"/>
      <c r="D1527" s="3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D1528" s="3"/>
      <c r="E1528" s="2"/>
      <c r="G1528" s="3"/>
      <c r="H1528" s="3"/>
      <c r="I1528" s="3"/>
      <c r="K1528" s="3"/>
      <c r="L1528" s="3"/>
      <c r="X1528" s="4"/>
      <c r="AA1528" s="3"/>
      <c r="AE1528" s="3"/>
      <c r="AK1528" s="5"/>
    </row>
    <row r="1529" spans="2:37" x14ac:dyDescent="0.25">
      <c r="B1529" s="1"/>
      <c r="D1529" s="3"/>
      <c r="E1529" s="2"/>
      <c r="G1529" s="3"/>
      <c r="H1529" s="3"/>
      <c r="I1529" s="3"/>
      <c r="K1529" s="3"/>
      <c r="L1529" s="3"/>
      <c r="X1529" s="4"/>
      <c r="AE1529" s="3"/>
      <c r="AK1529" s="5"/>
    </row>
    <row r="1530" spans="2:37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A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</row>
    <row r="1533" spans="2:37" x14ac:dyDescent="0.25">
      <c r="B1533" s="1"/>
      <c r="E1533" s="2"/>
      <c r="G1533" s="3"/>
      <c r="H1533" s="3"/>
      <c r="I1533" s="3"/>
      <c r="K1533" s="3"/>
      <c r="X1533" s="4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AA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X1535" s="4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A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AD1537" s="3"/>
      <c r="AE1537" s="3"/>
      <c r="AK1537" s="5"/>
    </row>
    <row r="1538" spans="2:37" x14ac:dyDescent="0.25">
      <c r="B1538" s="1"/>
      <c r="E1538" s="2"/>
      <c r="G1538" s="3"/>
      <c r="H1538" s="3"/>
      <c r="I1538" s="3"/>
      <c r="K1538" s="3"/>
      <c r="L1538" s="3"/>
      <c r="X1538" s="4"/>
      <c r="AB1538" s="3"/>
      <c r="AE1538" s="3"/>
      <c r="AK1538" s="5"/>
    </row>
    <row r="1539" spans="2:37" x14ac:dyDescent="0.25">
      <c r="B1539" s="1"/>
      <c r="E1539" s="2"/>
      <c r="H1539" s="3"/>
      <c r="I1539" s="3"/>
      <c r="K1539" s="3"/>
      <c r="L1539" s="3"/>
      <c r="X1539" s="4"/>
      <c r="Z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D1542" s="3"/>
      <c r="AE1542" s="3"/>
      <c r="AK1542" s="5"/>
    </row>
    <row r="1543" spans="2:37" x14ac:dyDescent="0.25">
      <c r="B1543" s="1"/>
      <c r="E1543" s="2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D1544" s="3"/>
      <c r="E1544" s="2"/>
      <c r="G1544" s="3"/>
      <c r="H1544" s="3"/>
      <c r="I1544" s="3"/>
      <c r="K1544" s="3"/>
      <c r="L1544" s="3"/>
      <c r="X1544" s="4"/>
      <c r="AB1544" s="3"/>
      <c r="AE1544" s="3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Z1545" s="3"/>
      <c r="AD1545" s="3"/>
      <c r="AE1545" s="3"/>
      <c r="AK1545" s="5"/>
    </row>
    <row r="1546" spans="2:37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AK1547" s="5"/>
    </row>
    <row r="1548" spans="2:37" x14ac:dyDescent="0.25">
      <c r="B1548" s="1"/>
      <c r="E1548" s="2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Z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AD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D1552" s="3"/>
      <c r="E1552" s="2"/>
      <c r="G1552" s="3"/>
      <c r="H1552" s="3"/>
      <c r="I1552" s="3"/>
      <c r="K1552" s="3"/>
      <c r="L1552" s="3"/>
      <c r="X1552" s="4"/>
      <c r="Z1552" s="3"/>
      <c r="AE1552" s="3"/>
    </row>
    <row r="1553" spans="2:37" x14ac:dyDescent="0.25">
      <c r="B1553" s="1"/>
      <c r="E1553" s="2"/>
      <c r="G1553" s="3"/>
      <c r="H1553" s="3"/>
      <c r="I1553" s="3"/>
      <c r="K1553" s="3"/>
      <c r="X1553" s="4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E1555" s="2"/>
      <c r="G1555" s="3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x14ac:dyDescent="0.25">
      <c r="B1557" s="1"/>
      <c r="E1557" s="2"/>
      <c r="F1557" s="3"/>
      <c r="G1557" s="3"/>
      <c r="H1557" s="3"/>
      <c r="I1557" s="3"/>
      <c r="K1557" s="3"/>
      <c r="L1557" s="3"/>
      <c r="X1557" s="4"/>
      <c r="Z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Z1558" s="3"/>
      <c r="AB1558" s="3"/>
      <c r="AE1558" s="3"/>
      <c r="AK1558" s="5"/>
    </row>
    <row r="1559" spans="2:37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B1559" s="3"/>
      <c r="AE1559" s="3"/>
      <c r="AK1559" s="5"/>
    </row>
    <row r="1560" spans="2:37" x14ac:dyDescent="0.25">
      <c r="B1560" s="1"/>
      <c r="C1560" s="3"/>
      <c r="E1560" s="2"/>
      <c r="G1560" s="3"/>
      <c r="H1560" s="3"/>
      <c r="I1560" s="3"/>
      <c r="K1560" s="3"/>
      <c r="L1560" s="3"/>
      <c r="X1560" s="4"/>
      <c r="Z1560" s="3"/>
      <c r="AA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A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B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x14ac:dyDescent="0.25">
      <c r="B1564" s="1"/>
      <c r="E1564" s="2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x14ac:dyDescent="0.25">
      <c r="B1565" s="1"/>
      <c r="E1565" s="2"/>
      <c r="G1565" s="3"/>
      <c r="H1565" s="3"/>
      <c r="I1565" s="3"/>
      <c r="K1565" s="3"/>
      <c r="L1565" s="3"/>
      <c r="X1565" s="4"/>
      <c r="Z1565" s="3"/>
      <c r="AB1565" s="3"/>
      <c r="AE1565" s="3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Z1566" s="3"/>
      <c r="AB1566" s="3"/>
      <c r="AE1566" s="3"/>
      <c r="AK1566" s="5"/>
    </row>
    <row r="1567" spans="2:37" x14ac:dyDescent="0.25">
      <c r="B1567" s="1"/>
      <c r="C1567" s="3"/>
      <c r="E1567" s="2"/>
      <c r="G1567" s="3"/>
      <c r="H1567" s="3"/>
      <c r="I1567" s="3"/>
      <c r="K1567" s="3"/>
      <c r="L1567" s="3"/>
      <c r="X1567" s="4"/>
      <c r="Z1567" s="3"/>
      <c r="AE1567" s="3"/>
      <c r="AK1567" s="5"/>
    </row>
    <row r="1568" spans="2:37" x14ac:dyDescent="0.25">
      <c r="B1568" s="1"/>
      <c r="C1568" s="3"/>
      <c r="E1568" s="2"/>
      <c r="G1568" s="3"/>
      <c r="H1568" s="3"/>
      <c r="I1568" s="3"/>
      <c r="K1568" s="3"/>
      <c r="L1568" s="3"/>
      <c r="X1568" s="4"/>
      <c r="AA1568" s="3"/>
      <c r="AB1568" s="3"/>
      <c r="AE1568" s="3"/>
      <c r="AK1568" s="5"/>
    </row>
    <row r="1569" spans="2:37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A1569" s="3"/>
      <c r="AB1569" s="3"/>
      <c r="AE1569" s="3"/>
      <c r="AK1569" s="5"/>
    </row>
    <row r="1570" spans="2:37" x14ac:dyDescent="0.25">
      <c r="B1570" s="1"/>
      <c r="E1570" s="2"/>
      <c r="F1570" s="3"/>
      <c r="G1570" s="3"/>
      <c r="H1570" s="3"/>
      <c r="I1570" s="3"/>
      <c r="K1570" s="3"/>
      <c r="X1570" s="4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B1571" s="3"/>
      <c r="AD1571" s="3"/>
      <c r="AE1571" s="3"/>
      <c r="AK1571" s="5"/>
    </row>
    <row r="1572" spans="2:37" x14ac:dyDescent="0.25">
      <c r="B1572" s="1"/>
      <c r="E1572" s="2"/>
      <c r="H1572" s="3"/>
      <c r="I1572" s="3"/>
      <c r="K1572" s="3"/>
      <c r="L1572" s="3"/>
      <c r="X1572" s="4"/>
      <c r="AB1572" s="3"/>
      <c r="AE1572" s="3"/>
      <c r="AK1572" s="5"/>
    </row>
    <row r="1573" spans="2:37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D1574" s="3"/>
      <c r="AE1574" s="3"/>
      <c r="AK1574" s="5"/>
    </row>
    <row r="1575" spans="2:37" x14ac:dyDescent="0.25">
      <c r="B1575" s="1"/>
      <c r="E1575" s="2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x14ac:dyDescent="0.25">
      <c r="B1576" s="1"/>
      <c r="E1576" s="2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K1578" s="5"/>
    </row>
    <row r="1579" spans="2:37" x14ac:dyDescent="0.25">
      <c r="B1579" s="1"/>
      <c r="E1579" s="2"/>
      <c r="G1579" s="3"/>
      <c r="H1579" s="3"/>
      <c r="I1579" s="3"/>
      <c r="K1579" s="3"/>
      <c r="X1579" s="4"/>
      <c r="AE1579" s="3"/>
      <c r="AK1579" s="5"/>
    </row>
    <row r="1580" spans="2:37" x14ac:dyDescent="0.25">
      <c r="B1580" s="1"/>
      <c r="E1580" s="2"/>
      <c r="H1580" s="3"/>
      <c r="I1580" s="3"/>
      <c r="K1580" s="3"/>
      <c r="L1580" s="3"/>
      <c r="X1580" s="4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1"/>
      <c r="E1582" s="2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x14ac:dyDescent="0.25">
      <c r="B1583" s="1"/>
      <c r="E1583" s="2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E1586" s="3"/>
      <c r="AK1586" s="5"/>
    </row>
    <row r="1587" spans="2:37" x14ac:dyDescent="0.25">
      <c r="B1587" s="3"/>
      <c r="E1587" s="2"/>
      <c r="F1587" s="3"/>
      <c r="G1587" s="3"/>
      <c r="H1587" s="3"/>
      <c r="I1587" s="3"/>
      <c r="K1587" s="3"/>
      <c r="L1587" s="3"/>
      <c r="X1587" s="4"/>
      <c r="AE1587" s="3"/>
      <c r="AK1587" s="5"/>
    </row>
    <row r="1588" spans="2:37" x14ac:dyDescent="0.25">
      <c r="B1588" s="1"/>
      <c r="E1588" s="2"/>
      <c r="H1588" s="3"/>
      <c r="I1588" s="3"/>
      <c r="K1588" s="3"/>
      <c r="L1588" s="3"/>
      <c r="X1588" s="4"/>
      <c r="Z1588" s="3"/>
      <c r="AB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AB1589" s="3"/>
      <c r="AE1589" s="3"/>
      <c r="AK1589" s="5"/>
    </row>
    <row r="1590" spans="2:37" x14ac:dyDescent="0.25">
      <c r="B1590" s="1"/>
      <c r="E1590" s="2"/>
      <c r="G1590" s="3"/>
      <c r="H1590" s="3"/>
      <c r="I1590" s="3"/>
      <c r="K1590" s="3"/>
      <c r="L1590" s="3"/>
      <c r="X1590" s="4"/>
      <c r="AB1590" s="3"/>
      <c r="AE1590" s="3"/>
      <c r="AK1590" s="5"/>
    </row>
    <row r="1591" spans="2:37" x14ac:dyDescent="0.25">
      <c r="B1591" s="1"/>
      <c r="E1591" s="2"/>
      <c r="H1591" s="3"/>
      <c r="I1591" s="3"/>
      <c r="K1591" s="3"/>
      <c r="L1591" s="3"/>
      <c r="X1591" s="4"/>
      <c r="AB1591" s="3"/>
      <c r="AE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x14ac:dyDescent="0.25">
      <c r="B1593" s="3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Z1594" s="3"/>
      <c r="AB1594" s="3"/>
      <c r="AE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E1596" s="2"/>
      <c r="F1596" s="3"/>
      <c r="G1596" s="3"/>
      <c r="H1596" s="3"/>
      <c r="I1596" s="3"/>
      <c r="K1596" s="3"/>
      <c r="L1596" s="3"/>
      <c r="X1596" s="4"/>
      <c r="AB1596" s="3"/>
      <c r="AK1596" s="5"/>
    </row>
    <row r="1597" spans="2:37" x14ac:dyDescent="0.25">
      <c r="B1597" s="1"/>
      <c r="E1597" s="2"/>
      <c r="F1597" s="3"/>
      <c r="G1597" s="3"/>
      <c r="H1597" s="3"/>
      <c r="I1597" s="3"/>
      <c r="K1597" s="3"/>
      <c r="X1597" s="4"/>
      <c r="AK1597" s="5"/>
    </row>
    <row r="1598" spans="2:37" x14ac:dyDescent="0.25">
      <c r="B1598" s="1"/>
      <c r="E1598" s="2"/>
      <c r="H1598" s="3"/>
      <c r="I1598" s="3"/>
      <c r="K1598" s="3"/>
      <c r="L1598" s="3"/>
      <c r="X1598" s="4"/>
      <c r="AB1598" s="3"/>
      <c r="AK1598" s="5"/>
    </row>
    <row r="1599" spans="2:37" x14ac:dyDescent="0.25">
      <c r="B1599" s="1"/>
      <c r="D1599" s="3"/>
      <c r="E1599" s="2"/>
      <c r="H1599" s="3"/>
      <c r="I1599" s="3"/>
      <c r="K1599" s="3"/>
      <c r="L1599" s="3"/>
      <c r="X1599" s="4"/>
      <c r="AB1599" s="3"/>
      <c r="AK1599" s="5"/>
    </row>
    <row r="1600" spans="2:37" x14ac:dyDescent="0.25">
      <c r="B1600" s="1"/>
      <c r="E1600" s="2"/>
      <c r="F1600" s="3"/>
      <c r="G1600" s="3"/>
      <c r="H1600" s="3"/>
      <c r="I1600" s="3"/>
      <c r="K1600" s="3"/>
      <c r="L1600" s="3"/>
      <c r="X1600" s="4"/>
      <c r="Z1600" s="3"/>
      <c r="AB1600" s="3"/>
      <c r="AE1600" s="3"/>
      <c r="AK1600" s="5"/>
    </row>
    <row r="1601" spans="2:37" x14ac:dyDescent="0.25">
      <c r="B1601" s="3"/>
      <c r="E1601" s="2"/>
      <c r="G1601" s="3"/>
      <c r="H1601" s="3"/>
      <c r="I1601" s="3"/>
      <c r="K1601" s="3"/>
      <c r="L1601" s="3"/>
      <c r="X1601" s="4"/>
      <c r="Z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Z1603" s="3"/>
      <c r="AD1603" s="3"/>
      <c r="AE1603" s="3"/>
      <c r="AK1603" s="5"/>
    </row>
    <row r="1604" spans="2:37" x14ac:dyDescent="0.25">
      <c r="B1604" s="1"/>
      <c r="E1604" s="2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Z1605" s="3"/>
      <c r="AB1605" s="3"/>
      <c r="AK1605" s="5"/>
    </row>
    <row r="1606" spans="2:37" x14ac:dyDescent="0.25">
      <c r="B1606" s="1"/>
      <c r="E1606" s="2"/>
      <c r="H1606" s="3"/>
      <c r="I1606" s="3"/>
      <c r="K1606" s="3"/>
      <c r="L1606" s="3"/>
      <c r="X1606" s="4"/>
      <c r="AB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AK1608" s="5"/>
    </row>
    <row r="1609" spans="2:37" x14ac:dyDescent="0.25">
      <c r="B1609" s="1"/>
      <c r="D1609" s="3"/>
      <c r="E1609" s="2"/>
      <c r="G1609" s="3"/>
      <c r="H1609" s="3"/>
      <c r="I1609" s="3"/>
      <c r="K1609" s="3"/>
      <c r="L1609" s="3"/>
      <c r="X1609" s="4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AD1610" s="3"/>
      <c r="AE1610" s="3"/>
      <c r="AK1610" s="5"/>
    </row>
    <row r="1611" spans="2:37" x14ac:dyDescent="0.25">
      <c r="B1611" s="3"/>
      <c r="E1611" s="2"/>
      <c r="G1611" s="3"/>
      <c r="H1611" s="3"/>
      <c r="I1611" s="3"/>
      <c r="K1611" s="3"/>
      <c r="L1611" s="3"/>
      <c r="X1611" s="4"/>
      <c r="Z1611" s="3"/>
      <c r="AD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Z1612" s="3"/>
      <c r="AB1612" s="3"/>
      <c r="AD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Z1614" s="3"/>
      <c r="AE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G1618" s="3"/>
      <c r="H1618" s="3"/>
      <c r="I1618" s="3"/>
      <c r="K1618" s="3"/>
      <c r="L1618" s="3"/>
      <c r="X1618" s="4"/>
      <c r="Z1618" s="3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</row>
    <row r="1620" spans="2:37" x14ac:dyDescent="0.25">
      <c r="B1620" s="1"/>
      <c r="D1620" s="3"/>
      <c r="E1620" s="2"/>
      <c r="G1620" s="3"/>
      <c r="H1620" s="3"/>
      <c r="I1620" s="3"/>
      <c r="K1620" s="3"/>
      <c r="X1620" s="4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Z1622" s="3"/>
      <c r="AB1622" s="3"/>
      <c r="AE1622" s="3"/>
      <c r="AK1622" s="5"/>
    </row>
    <row r="1623" spans="2:37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B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AB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F1631" s="3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x14ac:dyDescent="0.25">
      <c r="B1633" s="1"/>
      <c r="E1633" s="2"/>
      <c r="F1633" s="3"/>
      <c r="H1633" s="3"/>
      <c r="I1633" s="3"/>
      <c r="K1633" s="3"/>
      <c r="L1633" s="3"/>
      <c r="X1633" s="4"/>
      <c r="AB1633" s="3"/>
      <c r="AE1633" s="3"/>
      <c r="AK1633" s="5"/>
    </row>
    <row r="1634" spans="2:37" x14ac:dyDescent="0.25">
      <c r="B1634" s="1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x14ac:dyDescent="0.25">
      <c r="B1635" s="1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x14ac:dyDescent="0.25">
      <c r="B1636" s="1"/>
      <c r="E1636" s="2"/>
      <c r="G1636" s="3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G1637" s="3"/>
      <c r="H1637" s="3"/>
      <c r="I1637" s="3"/>
      <c r="K1637" s="3"/>
      <c r="L1637" s="3"/>
      <c r="X1637" s="4"/>
      <c r="AD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D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D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AB1641" s="3"/>
      <c r="AE1641" s="3"/>
      <c r="AK1641" s="5"/>
    </row>
    <row r="1642" spans="2:37" x14ac:dyDescent="0.25">
      <c r="B1642" s="1"/>
      <c r="E1642" s="2"/>
      <c r="H1642" s="3"/>
      <c r="I1642" s="3"/>
      <c r="K1642" s="3"/>
      <c r="L1642" s="3"/>
      <c r="X1642" s="4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A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A1644" s="3"/>
      <c r="AB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Z1646" s="3"/>
      <c r="AE1646" s="3"/>
      <c r="AK1646" s="5"/>
    </row>
    <row r="1647" spans="2:37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E1648" s="3"/>
      <c r="AK1648" s="5"/>
    </row>
    <row r="1649" spans="2:37" x14ac:dyDescent="0.25">
      <c r="B1649" s="1"/>
      <c r="D1649" s="3"/>
      <c r="E1649" s="2"/>
      <c r="H1649" s="3"/>
      <c r="I1649" s="3"/>
      <c r="K1649" s="3"/>
      <c r="L1649" s="3"/>
      <c r="X1649" s="4"/>
      <c r="AK1649" s="5"/>
    </row>
    <row r="1650" spans="2:37" x14ac:dyDescent="0.25">
      <c r="B1650" s="1"/>
      <c r="E1650" s="2"/>
      <c r="G1650" s="3"/>
      <c r="H1650" s="3"/>
      <c r="I1650" s="3"/>
      <c r="K1650" s="3"/>
      <c r="X1650" s="4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D1653" s="3"/>
      <c r="AE1653" s="3"/>
      <c r="AK1653" s="5"/>
    </row>
    <row r="1654" spans="2:3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2:3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97" xr:uid="{5695F443-BC3D-48D0-8CD1-D8C4D00277A1}">
    <filterColumn colId="4">
      <filters>
        <dateGroupItem year="2026" month="2" dateTimeGrouping="month"/>
      </filters>
    </filterColumn>
  </autoFilter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O10" sqref="O10"/>
    </sheetView>
  </sheetViews>
  <sheetFormatPr defaultRowHeight="14.3" x14ac:dyDescent="0.25"/>
  <cols>
    <col min="1" max="1" width="15.625" bestFit="1" customWidth="1"/>
    <col min="2" max="2" width="13.8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SUBTOTAL(9,Planilha1!K1:K1825)</f>
        <v>370322.74999999988</v>
      </c>
      <c r="D3" t="s">
        <v>10</v>
      </c>
      <c r="E3" s="11">
        <v>136341.22000000003</v>
      </c>
    </row>
    <row r="4" spans="1:5" x14ac:dyDescent="0.25">
      <c r="A4" t="s">
        <v>11</v>
      </c>
      <c r="B4" s="9">
        <f>SUBTOTAL(9,Planilha1!L1:L1820)</f>
        <v>67750.310000000012</v>
      </c>
      <c r="D4" t="s">
        <v>11</v>
      </c>
      <c r="E4" s="9">
        <v>19637.32</v>
      </c>
    </row>
    <row r="5" spans="1:5" x14ac:dyDescent="0.25">
      <c r="A5" s="3" t="s">
        <v>12</v>
      </c>
      <c r="B5" s="12">
        <f>SUBTOTAL(9,Planilha1!M1:M1821)</f>
        <v>28196.620000000006</v>
      </c>
      <c r="D5" t="s">
        <v>12</v>
      </c>
      <c r="E5" s="12">
        <v>9668.9699999999993</v>
      </c>
    </row>
    <row r="6" spans="1:5" x14ac:dyDescent="0.25">
      <c r="A6" t="s">
        <v>214</v>
      </c>
      <c r="B6" s="10">
        <f>SUBTOTAL(3,Planilha1!D2:D1821)</f>
        <v>43</v>
      </c>
      <c r="D6" t="s">
        <v>214</v>
      </c>
      <c r="E6" s="10">
        <v>18</v>
      </c>
    </row>
    <row r="7" spans="1:5" x14ac:dyDescent="0.25">
      <c r="A7" t="s">
        <v>217</v>
      </c>
      <c r="B7" s="13">
        <f>B3/B6</f>
        <v>8612.1569767441833</v>
      </c>
      <c r="D7" t="s">
        <v>217</v>
      </c>
      <c r="E7" s="13">
        <v>7574.5122222222235</v>
      </c>
    </row>
    <row r="8" spans="1:5" x14ac:dyDescent="0.25">
      <c r="A8" t="s">
        <v>216</v>
      </c>
      <c r="B8" s="13">
        <f>B3/B4</f>
        <v>5.4659934397348122</v>
      </c>
      <c r="D8" t="s">
        <v>216</v>
      </c>
      <c r="E8" s="13">
        <v>6.9429647222737128</v>
      </c>
    </row>
    <row r="9" spans="1:5" x14ac:dyDescent="0.25">
      <c r="A9" t="s">
        <v>215</v>
      </c>
      <c r="B9" s="13">
        <f>B3/B5</f>
        <v>13.133586578816887</v>
      </c>
      <c r="D9" t="s">
        <v>215</v>
      </c>
      <c r="E9" s="13">
        <v>14.100904232819012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2026-02-12T17:18:21Z</dcterms:modified>
</cp:coreProperties>
</file>