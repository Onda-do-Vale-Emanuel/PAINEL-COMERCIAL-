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7824411A-3AD9-4119-8D23-E487728AE5F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Planilha1!$A$1:$AU$1829</definedName>
  </definedName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<sst xmlns="http://schemas.openxmlformats.org/spreadsheetml/2006/main" count="6596" uniqueCount="286">
  <si>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</si>
  <si>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</si>
  <si>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</si>
  <si>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</si>
  <si>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</si>
  <si>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</si>
  <si>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</si>
  <si>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</si>
  <si>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</si>
  <si>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</si>
  <si>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</si>
  <si>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</si>
  <si>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</si>
  <si>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</si>
  <si>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</si>
  <si>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</si>
  <si>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</si>
  <si>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</si>
  <si>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</si>
  <si>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</si>
  <si>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</si>
  <si>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</si>
  <si>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</si>
  <si>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</si>
  <si>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</si>
  <si>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</si>
  <si>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</si>
  <si>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</si>
  <si>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</si>
  <si>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</si>
  <si>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</si>
  <si>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</si>
  <si>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</si>
  <si>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</si>
  <si>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</si>
  <si>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</si>
  <si>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</si>
  <si>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</si>
  <si>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</si>
  <si>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</si>
  <si>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</si>
  <si>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</si>
  <si>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</si>
  <si>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</si>
  <si>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</si>
  <si>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</si>
  <si>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</si>
  <si>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</si>
  <si>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</si>
  <si>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</si>
  <si>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</si>
  <si>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</si>
  <si>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</si>
  <si>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</si>
  <si>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</si>
  <si>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</si>
  <si>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</si>
  <si>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</si>
  <si>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</si>
  <si>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</si>
  <si>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</si>
  <si>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</si>
  <si>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</si>
  <si>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</si>
  <si>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</si>
  <si>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</si>
  <si>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</si>
  <si>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</si>
  <si>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</si>
  <si>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</si>
  <si>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</si>
  <si>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</si>
  <si>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</si>
  <si>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</si>
  <si>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</si>
  <si>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</si>
  <si>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</si>
  <si>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</si>
  <si>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</si>
  <si>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</si>
  <si>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</si>
  <si>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</si>
  <si>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</si>
  <si>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</si>
  <si>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</si>
  <si>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</si>
  <si>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</si>
  <si>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</si>
  <si>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</si>
  <si>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</si>
  <si>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</si>
  <si>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</si>
  <si>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RAFAEL E DAIANE</t>
  </si>
  <si>
    <t>INECEL</t>
  </si>
  <si>
    <t>GUARAMIRIM</t>
  </si>
  <si>
    <t>30 60 DD</t>
  </si>
  <si>
    <t>ONDA DO VALE - FILIAL</t>
  </si>
  <si>
    <t>PLIAR</t>
  </si>
  <si>
    <t>30 60 90 DD</t>
  </si>
  <si>
    <t>SC BLUMENAU</t>
  </si>
  <si>
    <t xml:space="preserve">AMANDA </t>
  </si>
  <si>
    <t>SC JOINVILLE</t>
  </si>
  <si>
    <t>FISCHER</t>
  </si>
  <si>
    <t>30 45 60 DD</t>
  </si>
  <si>
    <t>SC BRUSQUE</t>
  </si>
  <si>
    <t>BILITON</t>
  </si>
  <si>
    <t>28 35 42 49 DD</t>
  </si>
  <si>
    <t>SC *** Nenhuma ***</t>
  </si>
  <si>
    <t>JARAGUA DO SUL</t>
  </si>
  <si>
    <t>28 35 42 49 56 DD</t>
  </si>
  <si>
    <t>HIPER TEXTIL</t>
  </si>
  <si>
    <t>REIKI</t>
  </si>
  <si>
    <t>SC CAMBORIU</t>
  </si>
  <si>
    <t>PAFER</t>
  </si>
  <si>
    <t>total de pedidos</t>
  </si>
  <si>
    <t>KG PREÇO MEDIO</t>
  </si>
  <si>
    <t>M² PREÇO MEDIO</t>
  </si>
  <si>
    <t>TICKT MEDIO</t>
  </si>
  <si>
    <t>KREUMAC - PRAYON - FERMONT</t>
  </si>
  <si>
    <t>MS COSMETICOS</t>
  </si>
  <si>
    <t>DIEGO</t>
  </si>
  <si>
    <t>BRASILPEX</t>
  </si>
  <si>
    <t>ITAPEMA</t>
  </si>
  <si>
    <t>UNILUX</t>
  </si>
  <si>
    <t>SAO JOSE</t>
  </si>
  <si>
    <t>JOSE RICARDO</t>
  </si>
  <si>
    <t>28 35 42 56</t>
  </si>
  <si>
    <t>POMERODE</t>
  </si>
  <si>
    <t>BIGUACU</t>
  </si>
  <si>
    <t>SC PEÇAS EIRELI</t>
  </si>
  <si>
    <t>SC BIGUACU</t>
  </si>
  <si>
    <t xml:space="preserve">COLIBRI 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</si>
  <si>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</si>
  <si>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</si>
  <si>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</si>
  <si>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</si>
  <si>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</si>
  <si>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</si>
  <si>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</si>
  <si>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FASHIONING</t>
  </si>
  <si>
    <t>ENVAZZE</t>
  </si>
  <si>
    <t>WETZEL - ELTROTECNICA</t>
  </si>
  <si>
    <t>JINRRA</t>
  </si>
  <si>
    <t>PENHA</t>
  </si>
  <si>
    <t>MAISLUX</t>
  </si>
  <si>
    <t>DECORE PREMIUM</t>
  </si>
  <si>
    <t>TIJUCAS</t>
  </si>
  <si>
    <t>RIVATTI</t>
  </si>
  <si>
    <t>28 42 56 72 DD</t>
  </si>
  <si>
    <t>SEVEN TEXTIL</t>
  </si>
  <si>
    <t>30 DD</t>
  </si>
  <si>
    <t>GASPAR</t>
  </si>
  <si>
    <t>POD BEBIDAS</t>
  </si>
  <si>
    <t>Limite de crédito inferior à soma dos valores pendentes.</t>
  </si>
  <si>
    <t>30 45 60 75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</si>
  <si>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</si>
  <si>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</si>
  <si>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</si>
  <si>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</si>
  <si>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</si>
  <si>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</si>
  <si>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VOLPATO </t>
  </si>
  <si>
    <t>28 42 56 70 84 DD</t>
  </si>
  <si>
    <t>EVANGELINA</t>
  </si>
  <si>
    <t xml:space="preserve">KOHMAR </t>
  </si>
  <si>
    <t>GUABIRUBA</t>
  </si>
  <si>
    <t>60 75 90 105 120</t>
  </si>
  <si>
    <t>Cond. de pagamento não está cadastrada.</t>
  </si>
  <si>
    <t>APOLO</t>
  </si>
  <si>
    <t>SC TIJUCAS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</si>
  <si>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</si>
  <si>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</si>
  <si>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</si>
  <si>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</si>
  <si>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</si>
  <si>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</si>
  <si>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</si>
  <si>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</si>
  <si>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</si>
  <si>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</si>
  <si>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</si>
  <si>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</si>
  <si>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</si>
  <si>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</si>
  <si>
    <t>BANANAS SILVA</t>
  </si>
  <si>
    <t>MARINGA</t>
  </si>
  <si>
    <t xml:space="preserve">WALTER REPRESENTANTE </t>
  </si>
  <si>
    <t xml:space="preserve">IML </t>
  </si>
  <si>
    <t>SYSTEM FLUIDS</t>
  </si>
  <si>
    <t>MARCONI KONS</t>
  </si>
  <si>
    <t>LUIS ALVES</t>
  </si>
  <si>
    <t>OSNILDO STEIN FILHO</t>
  </si>
  <si>
    <t>RUBINETTOS</t>
  </si>
  <si>
    <t>MERCOFAR-FITAM</t>
  </si>
  <si>
    <t>True</t>
  </si>
  <si>
    <t>False</t>
  </si>
  <si>
    <t>BIMG - METVISA</t>
  </si>
  <si>
    <t>15 DD</t>
  </si>
  <si>
    <t>INPLAC</t>
  </si>
  <si>
    <t>KARIMEX</t>
  </si>
  <si>
    <t>28 42 56 DD</t>
  </si>
  <si>
    <t xml:space="preserve">JORANI </t>
  </si>
  <si>
    <t>RIO DOS CEDROS</t>
  </si>
  <si>
    <t xml:space="preserve">JORANI - PLASGARDEN </t>
  </si>
  <si>
    <t>AMANCO - MEXICHEM</t>
  </si>
  <si>
    <t>Terceiros</t>
  </si>
  <si>
    <t>FORNOS JUNG</t>
  </si>
  <si>
    <t>PAULO ROBERTO DA SILVA</t>
  </si>
  <si>
    <t>BIFIT - BILU</t>
  </si>
  <si>
    <t>DANNY</t>
  </si>
  <si>
    <t>42 56 70 DD</t>
  </si>
  <si>
    <t>MENTU S</t>
  </si>
  <si>
    <t>GRUPAR AUTOPECAS</t>
  </si>
  <si>
    <t>CARIBOR</t>
  </si>
  <si>
    <t>ARTESANATO GRAVATA</t>
  </si>
  <si>
    <t>SC NAVEGANTES</t>
  </si>
  <si>
    <t>CENTRO SUL</t>
  </si>
  <si>
    <t>STB</t>
  </si>
  <si>
    <t>PALHOCA</t>
  </si>
  <si>
    <t>MAFRATEXTIL</t>
  </si>
  <si>
    <t>15 25 35 45 DD</t>
  </si>
  <si>
    <t>M2M TEXTIL</t>
  </si>
  <si>
    <t>ASCURRA</t>
  </si>
  <si>
    <t>BREED FIT</t>
  </si>
  <si>
    <t>DELICIAS DA TERRINHA</t>
  </si>
  <si>
    <t>GUARULHOS</t>
  </si>
  <si>
    <t>SC GARUVA</t>
  </si>
  <si>
    <t xml:space="preserve">ANTROPOCENO </t>
  </si>
  <si>
    <t>PAPINHA BABY</t>
  </si>
  <si>
    <t>GRUPO IW8</t>
  </si>
  <si>
    <t>WILLMIX</t>
  </si>
  <si>
    <t>CIAPLASTIC</t>
  </si>
  <si>
    <t>ARAQUARI</t>
  </si>
  <si>
    <t>PACIFIC</t>
  </si>
  <si>
    <t>REALSC EMBALAGENS</t>
  </si>
  <si>
    <t>TREK BRASIL</t>
  </si>
  <si>
    <t>YES EMBALAGENS</t>
  </si>
  <si>
    <t xml:space="preserve">SKIN </t>
  </si>
  <si>
    <t>JUAREZ</t>
  </si>
  <si>
    <t>DEYU FISHING NET</t>
  </si>
  <si>
    <t>7 DD</t>
  </si>
  <si>
    <t>JORANI - GARDENMIX</t>
  </si>
  <si>
    <t>GASTRO</t>
  </si>
  <si>
    <t>COOKOA - FABRICA DE ALIMENTOS</t>
  </si>
  <si>
    <t>CICAMPO</t>
  </si>
  <si>
    <t>TIMBO</t>
  </si>
  <si>
    <t>BELA FLOR - SP</t>
  </si>
  <si>
    <t>SAO JOSE DO RIO PRETO</t>
  </si>
  <si>
    <t xml:space="preserve">SMART MAGENTA </t>
  </si>
  <si>
    <t>ELLOS</t>
  </si>
  <si>
    <t>MELATO METAIS</t>
  </si>
  <si>
    <t>VIDA BELA COSMETICOS</t>
  </si>
  <si>
    <t>COREMMA</t>
  </si>
  <si>
    <t>QUEENPACK REPRESENTACOES LTDA</t>
  </si>
  <si>
    <t>FLASH WAY</t>
  </si>
  <si>
    <t>SAMIRA INJETADOS LTDA</t>
  </si>
  <si>
    <t>SAO JOAO BATISTA</t>
  </si>
  <si>
    <t>ETIQUETAR</t>
  </si>
  <si>
    <t>RIO BRANCO</t>
  </si>
  <si>
    <t>MICRONICS ENGINEERED FILTRATION GROUP</t>
  </si>
  <si>
    <t>42 DD</t>
  </si>
  <si>
    <t>DANNY - SP</t>
  </si>
  <si>
    <t>DINAMAR</t>
  </si>
  <si>
    <t>LUMINATTI</t>
  </si>
  <si>
    <t>ELTON</t>
  </si>
  <si>
    <t>B &amp; F INDUSTRIA METALURGICA LTDA</t>
  </si>
  <si>
    <t>Valor do limite de atraso ultrapassado.</t>
  </si>
  <si>
    <t>SAUBA</t>
  </si>
  <si>
    <t>ANTONIO CARLOS</t>
  </si>
  <si>
    <t xml:space="preserve">CHEIRO BRASIL </t>
  </si>
  <si>
    <t>TZE</t>
  </si>
  <si>
    <t>75 DD</t>
  </si>
  <si>
    <t xml:space="preserve">PLANA </t>
  </si>
  <si>
    <t>15 30 45 DD</t>
  </si>
  <si>
    <t xml:space="preserve">IMPOMAX </t>
  </si>
  <si>
    <t>SC BALNEARIO CAMBORIU</t>
  </si>
  <si>
    <t>JUNO IMPORTADORA</t>
  </si>
  <si>
    <t>BUP BABY</t>
  </si>
  <si>
    <t>ELIESER FABIO BREUNIG</t>
  </si>
  <si>
    <t>JORANI - SMILING</t>
  </si>
  <si>
    <t>JL SEA IMPORTACAO E EXPORTACAO LTDA</t>
  </si>
  <si>
    <t>BR FULFILLMENT</t>
  </si>
  <si>
    <t>SC PALHOCA</t>
  </si>
  <si>
    <t xml:space="preserve">D.E PLAST </t>
  </si>
  <si>
    <t>RIO DO MORRO</t>
  </si>
  <si>
    <t>21 28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</si>
</sst>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29"/>
  <sheetViews>
    <sheetView tabSelected="1" zoomScale="85" zoomScaleNormal="85" workbookViewId="0">
      <pane ySplit="1" topLeftCell="A2" activePane="bottomLeft" state="frozen"/>
      <selection pane="bottomLeft" sqref="A1:AU398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193</v>
      </c>
      <c r="G2" t="s">
        <v>128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194</v>
      </c>
      <c r="P2" t="s">
        <v>194</v>
      </c>
      <c r="Q2" t="s">
        <v>194</v>
      </c>
      <c r="R2" t="s">
        <v>195</v>
      </c>
      <c r="S2" t="s">
        <v>195</v>
      </c>
      <c r="T2" t="s">
        <v>51</v>
      </c>
      <c r="U2">
        <v>126</v>
      </c>
      <c r="V2" t="s">
        <v>52</v>
      </c>
      <c r="W2" t="s">
        <v>53</v>
      </c>
      <c r="X2" s="4">
        <v>0</v>
      </c>
      <c r="Y2" t="s">
        <v>54</v>
      </c>
      <c r="Z2" s="3">
        <v>3792.3</v>
      </c>
      <c r="AA2">
        <v>0</v>
      </c>
      <c r="AB2">
        <v>0</v>
      </c>
      <c r="AC2">
        <v>0</v>
      </c>
      <c r="AD2">
        <v>0</v>
      </c>
      <c r="AE2" s="3">
        <v>1600</v>
      </c>
      <c r="AF2" t="s">
        <v>195</v>
      </c>
      <c r="AG2" t="s">
        <v>55</v>
      </c>
      <c r="AI2" t="s">
        <v>56</v>
      </c>
      <c r="AJ2" t="s">
        <v>56</v>
      </c>
      <c r="AK2" s="5">
        <v>46027.438668981478</v>
      </c>
      <c r="AO2" t="s">
        <v>195</v>
      </c>
      <c r="AP2">
        <v>0</v>
      </c>
      <c r="AR2" t="s">
        <v>195</v>
      </c>
      <c r="AS2" t="s">
        <v>195</v>
      </c>
      <c r="AT2">
        <v>6611</v>
      </c>
      <c r="AU2" t="s">
        <v>51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129</v>
      </c>
      <c r="G3" t="s">
        <v>128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5">
        <v>994.91</v>
      </c>
      <c r="N3" t="s">
        <v>50</v>
      </c>
      <c r="O3" t="s">
        <v>194</v>
      </c>
      <c r="P3" t="s">
        <v>194</v>
      </c>
      <c r="Q3" t="s">
        <v>194</v>
      </c>
      <c r="R3" t="s">
        <v>195</v>
      </c>
      <c r="S3" t="s">
        <v>195</v>
      </c>
      <c r="T3" t="s">
        <v>51</v>
      </c>
      <c r="U3">
        <v>126</v>
      </c>
      <c r="V3" t="s">
        <v>52</v>
      </c>
      <c r="W3" t="s">
        <v>53</v>
      </c>
      <c r="X3" s="4">
        <v>0</v>
      </c>
      <c r="Y3" t="s">
        <v>57</v>
      </c>
    </row>
    <row r="4" spans="1:47" x14ac:dyDescent="0.25">
      <c r="A4" t="s">
        <v>58</v>
      </c>
      <c r="B4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t="s">
        <v>195</v>
      </c>
      <c r="I4" t="s">
        <v>55</v>
      </c>
      <c r="J4" t="s">
        <v>130</v>
      </c>
      <c r="K4" t="s">
        <v>56</v>
      </c>
      <c r="L4" t="s">
        <v>56</v>
      </c>
      <c r="M4" s="5">
        <v>46027.476736111108</v>
      </c>
      <c r="Q4" t="s">
        <v>195</v>
      </c>
      <c r="R4">
        <v>0</v>
      </c>
      <c r="T4" t="s">
        <v>195</v>
      </c>
      <c r="U4" t="s">
        <v>195</v>
      </c>
      <c r="V4">
        <v>7006</v>
      </c>
      <c r="W4" t="s">
        <v>51</v>
      </c>
      <c r="X4" s="4"/>
    </row>
    <row r="5" spans="1:47" x14ac:dyDescent="0.25">
      <c r="A5" t="s">
        <v>47</v>
      </c>
      <c r="B5" s="1">
        <v>38396</v>
      </c>
      <c r="C5" t="s">
        <v>48</v>
      </c>
      <c r="D5" t="s">
        <v>49</v>
      </c>
      <c r="E5" s="2">
        <v>46027</v>
      </c>
      <c r="F5" t="s">
        <v>196</v>
      </c>
      <c r="G5" t="s">
        <v>59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5">
        <v>724.16</v>
      </c>
      <c r="N5" t="s">
        <v>50</v>
      </c>
      <c r="O5" t="s">
        <v>194</v>
      </c>
      <c r="P5" t="s">
        <v>194</v>
      </c>
      <c r="Q5" t="s">
        <v>194</v>
      </c>
      <c r="R5" t="s">
        <v>195</v>
      </c>
      <c r="S5" t="s">
        <v>195</v>
      </c>
      <c r="T5" t="s">
        <v>51</v>
      </c>
      <c r="U5">
        <v>126</v>
      </c>
      <c r="V5" t="s">
        <v>52</v>
      </c>
      <c r="W5" t="s">
        <v>197</v>
      </c>
      <c r="X5" s="4">
        <v>0</v>
      </c>
      <c r="Y5" t="s">
        <v>54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195</v>
      </c>
      <c r="AG5" t="s">
        <v>55</v>
      </c>
      <c r="AI5" t="s">
        <v>56</v>
      </c>
      <c r="AJ5" t="s">
        <v>56</v>
      </c>
      <c r="AK5" s="5">
        <v>46027.627013888887</v>
      </c>
      <c r="AO5" t="s">
        <v>195</v>
      </c>
      <c r="AP5">
        <v>0</v>
      </c>
      <c r="AR5" t="s">
        <v>195</v>
      </c>
      <c r="AS5" t="s">
        <v>195</v>
      </c>
      <c r="AT5">
        <v>1269</v>
      </c>
      <c r="AU5" t="s">
        <v>51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60</v>
      </c>
      <c r="G6" t="s">
        <v>61</v>
      </c>
      <c r="H6" s="3">
        <v>3220</v>
      </c>
      <c r="I6" s="3">
        <v>3220</v>
      </c>
      <c r="J6">
        <v>0</v>
      </c>
      <c r="K6" s="3">
        <v>3703</v>
      </c>
      <c r="L6">
        <v>516</v>
      </c>
      <c r="M6">
        <v>242.52</v>
      </c>
      <c r="N6" t="s">
        <v>62</v>
      </c>
      <c r="O6" t="s">
        <v>194</v>
      </c>
      <c r="P6" t="s">
        <v>194</v>
      </c>
      <c r="Q6" t="s">
        <v>194</v>
      </c>
      <c r="R6" t="s">
        <v>195</v>
      </c>
      <c r="S6" t="s">
        <v>195</v>
      </c>
      <c r="T6" t="s">
        <v>51</v>
      </c>
      <c r="U6">
        <v>76</v>
      </c>
      <c r="V6" t="s">
        <v>63</v>
      </c>
      <c r="W6" t="s">
        <v>64</v>
      </c>
      <c r="X6" s="4">
        <v>0</v>
      </c>
      <c r="Y6" t="s">
        <v>57</v>
      </c>
      <c r="AK6" s="5"/>
    </row>
    <row r="7" spans="1:47" x14ac:dyDescent="0.25">
      <c r="A7" t="s">
        <v>58</v>
      </c>
      <c r="B7">
        <v>0</v>
      </c>
      <c r="C7">
        <v>0</v>
      </c>
      <c r="D7">
        <v>0</v>
      </c>
      <c r="E7" s="2">
        <v>0</v>
      </c>
      <c r="F7">
        <v>516</v>
      </c>
      <c r="G7">
        <v>400</v>
      </c>
      <c r="H7" t="s">
        <v>195</v>
      </c>
      <c r="I7" t="s">
        <v>55</v>
      </c>
      <c r="K7" t="s">
        <v>65</v>
      </c>
      <c r="L7" t="s">
        <v>65</v>
      </c>
      <c r="M7" s="5">
        <v>46028.488078703704</v>
      </c>
      <c r="Q7" t="s">
        <v>195</v>
      </c>
      <c r="R7">
        <v>0</v>
      </c>
      <c r="T7" t="s">
        <v>195</v>
      </c>
      <c r="U7" t="s">
        <v>195</v>
      </c>
      <c r="V7">
        <v>139</v>
      </c>
      <c r="W7" t="s">
        <v>51</v>
      </c>
      <c r="X7" s="4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t="s">
        <v>198</v>
      </c>
      <c r="G8" t="s">
        <v>128</v>
      </c>
      <c r="H8" s="3">
        <v>3283</v>
      </c>
      <c r="I8" s="3">
        <v>3283</v>
      </c>
      <c r="J8">
        <v>0</v>
      </c>
      <c r="K8" s="3">
        <v>3775.45</v>
      </c>
      <c r="L8">
        <v>353</v>
      </c>
      <c r="M8" s="5">
        <v>218.86</v>
      </c>
      <c r="N8" t="s">
        <v>125</v>
      </c>
      <c r="O8" t="s">
        <v>194</v>
      </c>
      <c r="P8" t="s">
        <v>194</v>
      </c>
      <c r="Q8" t="s">
        <v>194</v>
      </c>
      <c r="R8" t="s">
        <v>195</v>
      </c>
      <c r="S8" t="s">
        <v>195</v>
      </c>
      <c r="T8" t="s">
        <v>51</v>
      </c>
      <c r="U8">
        <v>43</v>
      </c>
      <c r="W8" t="s">
        <v>64</v>
      </c>
      <c r="X8" s="4">
        <v>0</v>
      </c>
      <c r="Y8" t="s">
        <v>54</v>
      </c>
      <c r="Z8">
        <v>0</v>
      </c>
      <c r="AA8">
        <v>0</v>
      </c>
      <c r="AB8">
        <v>353</v>
      </c>
      <c r="AC8">
        <v>0</v>
      </c>
      <c r="AD8">
        <v>0</v>
      </c>
      <c r="AE8">
        <v>200</v>
      </c>
      <c r="AF8" t="s">
        <v>195</v>
      </c>
      <c r="AG8" t="s">
        <v>55</v>
      </c>
      <c r="AI8" t="s">
        <v>65</v>
      </c>
      <c r="AJ8" t="s">
        <v>65</v>
      </c>
      <c r="AK8" s="5">
        <v>46044.706817129627</v>
      </c>
      <c r="AO8" t="s">
        <v>195</v>
      </c>
      <c r="AP8">
        <v>0</v>
      </c>
      <c r="AR8" t="s">
        <v>195</v>
      </c>
      <c r="AS8" t="s">
        <v>195</v>
      </c>
      <c r="AT8">
        <v>8469</v>
      </c>
      <c r="AU8" t="s">
        <v>51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199</v>
      </c>
      <c r="G9" t="s">
        <v>61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66</v>
      </c>
      <c r="O9" t="s">
        <v>194</v>
      </c>
      <c r="P9" t="s">
        <v>194</v>
      </c>
      <c r="Q9" t="s">
        <v>194</v>
      </c>
      <c r="R9" t="s">
        <v>195</v>
      </c>
      <c r="S9" t="s">
        <v>195</v>
      </c>
      <c r="T9" t="s">
        <v>51</v>
      </c>
      <c r="U9">
        <v>83</v>
      </c>
      <c r="W9" t="s">
        <v>200</v>
      </c>
      <c r="X9" s="4">
        <v>0</v>
      </c>
      <c r="Y9" t="s">
        <v>54</v>
      </c>
      <c r="Z9">
        <v>0</v>
      </c>
      <c r="AA9">
        <v>0</v>
      </c>
      <c r="AB9">
        <v>0</v>
      </c>
      <c r="AC9">
        <v>0</v>
      </c>
      <c r="AD9" s="3">
        <v>2219.1</v>
      </c>
      <c r="AE9" s="3">
        <v>2600</v>
      </c>
      <c r="AF9" t="s">
        <v>195</v>
      </c>
      <c r="AG9" t="s">
        <v>55</v>
      </c>
      <c r="AH9" t="s">
        <v>67</v>
      </c>
      <c r="AI9" t="s">
        <v>68</v>
      </c>
      <c r="AJ9" t="s">
        <v>65</v>
      </c>
      <c r="AK9" s="5">
        <v>46028.701481481483</v>
      </c>
      <c r="AO9" t="s">
        <v>195</v>
      </c>
      <c r="AP9">
        <v>0</v>
      </c>
      <c r="AR9" t="s">
        <v>195</v>
      </c>
      <c r="AS9" t="s">
        <v>195</v>
      </c>
      <c r="AT9">
        <v>3870</v>
      </c>
      <c r="AU9" t="s">
        <v>51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199</v>
      </c>
      <c r="G10" t="s">
        <v>61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5">
        <v>1042.99</v>
      </c>
      <c r="N10" t="s">
        <v>66</v>
      </c>
      <c r="O10" t="s">
        <v>194</v>
      </c>
      <c r="P10" t="s">
        <v>194</v>
      </c>
      <c r="Q10" t="s">
        <v>194</v>
      </c>
      <c r="R10" t="s">
        <v>195</v>
      </c>
      <c r="S10" t="s">
        <v>195</v>
      </c>
      <c r="T10" t="s">
        <v>51</v>
      </c>
      <c r="U10">
        <v>83</v>
      </c>
      <c r="W10" t="s">
        <v>200</v>
      </c>
      <c r="X10" s="4">
        <v>0</v>
      </c>
      <c r="Y10" t="s">
        <v>54</v>
      </c>
      <c r="Z10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195</v>
      </c>
      <c r="AG10" t="s">
        <v>55</v>
      </c>
      <c r="AH10" t="s">
        <v>67</v>
      </c>
      <c r="AI10" t="s">
        <v>68</v>
      </c>
      <c r="AJ10" t="s">
        <v>65</v>
      </c>
      <c r="AK10" s="5">
        <v>46028.703252314815</v>
      </c>
      <c r="AO10" t="s">
        <v>195</v>
      </c>
      <c r="AP10">
        <v>0</v>
      </c>
      <c r="AR10" t="s">
        <v>195</v>
      </c>
      <c r="AS10" t="s">
        <v>195</v>
      </c>
      <c r="AT10">
        <v>3870</v>
      </c>
      <c r="AU10" t="s">
        <v>51</v>
      </c>
    </row>
    <row r="11" spans="1:47" x14ac:dyDescent="0.25">
      <c r="A11" t="s">
        <v>69</v>
      </c>
      <c r="B11" s="1">
        <v>38401</v>
      </c>
      <c r="C11" t="s">
        <v>48</v>
      </c>
      <c r="D11" t="s">
        <v>49</v>
      </c>
      <c r="E11" s="2">
        <v>46029</v>
      </c>
      <c r="F11" t="s">
        <v>201</v>
      </c>
      <c r="G11" t="s">
        <v>202</v>
      </c>
      <c r="H11" s="3">
        <v>2475</v>
      </c>
      <c r="I11" s="3">
        <v>2475</v>
      </c>
      <c r="J11">
        <v>0</v>
      </c>
      <c r="K11" s="3">
        <v>2475</v>
      </c>
      <c r="L11">
        <v>622.75</v>
      </c>
      <c r="M11">
        <v>228.55</v>
      </c>
      <c r="N11" t="s">
        <v>70</v>
      </c>
      <c r="O11" t="s">
        <v>194</v>
      </c>
      <c r="P11" t="s">
        <v>194</v>
      </c>
      <c r="Q11" t="s">
        <v>194</v>
      </c>
      <c r="R11" t="s">
        <v>195</v>
      </c>
      <c r="S11" t="s">
        <v>195</v>
      </c>
      <c r="T11" t="s">
        <v>51</v>
      </c>
      <c r="U11">
        <v>9</v>
      </c>
      <c r="V11" t="s">
        <v>63</v>
      </c>
      <c r="W11" t="s">
        <v>71</v>
      </c>
      <c r="X11" s="4">
        <v>0</v>
      </c>
      <c r="Y11" t="s">
        <v>57</v>
      </c>
      <c r="AK11" s="5"/>
    </row>
    <row r="12" spans="1:47" x14ac:dyDescent="0.25">
      <c r="A12" t="s">
        <v>58</v>
      </c>
      <c r="B12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t="s">
        <v>195</v>
      </c>
      <c r="I12" t="s">
        <v>55</v>
      </c>
      <c r="K12" t="s">
        <v>65</v>
      </c>
      <c r="L12" t="s">
        <v>65</v>
      </c>
      <c r="M12" s="5">
        <v>46029.349988425929</v>
      </c>
      <c r="Q12" t="s">
        <v>195</v>
      </c>
      <c r="R12">
        <v>0</v>
      </c>
      <c r="T12" t="s">
        <v>195</v>
      </c>
      <c r="U12" t="s">
        <v>195</v>
      </c>
      <c r="V12">
        <v>2154</v>
      </c>
      <c r="W12" t="s">
        <v>51</v>
      </c>
      <c r="X12" s="4"/>
      <c r="AK12" s="5"/>
    </row>
    <row r="13" spans="1:47" x14ac:dyDescent="0.25">
      <c r="A13" t="s">
        <v>69</v>
      </c>
      <c r="B13" s="1">
        <v>38402</v>
      </c>
      <c r="C13" t="s">
        <v>48</v>
      </c>
      <c r="D13" t="s">
        <v>49</v>
      </c>
      <c r="E13" s="2">
        <v>46029</v>
      </c>
      <c r="F13" t="s">
        <v>203</v>
      </c>
      <c r="G13" t="s">
        <v>72</v>
      </c>
      <c r="H13" s="3">
        <v>2475</v>
      </c>
      <c r="I13" s="3">
        <v>2475</v>
      </c>
      <c r="J13">
        <v>0</v>
      </c>
      <c r="K13" s="3">
        <v>2475</v>
      </c>
      <c r="L13">
        <v>622.75</v>
      </c>
      <c r="M13">
        <v>228.55</v>
      </c>
      <c r="N13" t="s">
        <v>70</v>
      </c>
      <c r="O13" t="s">
        <v>194</v>
      </c>
      <c r="P13" t="s">
        <v>194</v>
      </c>
      <c r="Q13" t="s">
        <v>194</v>
      </c>
      <c r="R13" t="s">
        <v>195</v>
      </c>
      <c r="S13" t="s">
        <v>195</v>
      </c>
      <c r="T13" t="s">
        <v>51</v>
      </c>
      <c r="U13">
        <v>9</v>
      </c>
      <c r="W13" t="s">
        <v>71</v>
      </c>
      <c r="X13" s="4">
        <v>0</v>
      </c>
      <c r="Y13" t="s">
        <v>57</v>
      </c>
      <c r="AK13" s="5"/>
    </row>
    <row r="14" spans="1:47" x14ac:dyDescent="0.25">
      <c r="A14" t="s">
        <v>58</v>
      </c>
      <c r="B14">
        <v>622.75</v>
      </c>
      <c r="C14">
        <v>0</v>
      </c>
      <c r="D14">
        <v>0</v>
      </c>
      <c r="E14" s="2">
        <v>0</v>
      </c>
      <c r="F14">
        <v>0</v>
      </c>
      <c r="G14">
        <v>500</v>
      </c>
      <c r="H14" t="s">
        <v>195</v>
      </c>
      <c r="I14" t="s">
        <v>55</v>
      </c>
      <c r="K14" t="s">
        <v>65</v>
      </c>
      <c r="L14" t="s">
        <v>65</v>
      </c>
      <c r="M14" s="5">
        <v>46029.355856481481</v>
      </c>
      <c r="Q14" t="s">
        <v>195</v>
      </c>
      <c r="R14">
        <v>0</v>
      </c>
      <c r="T14" t="s">
        <v>195</v>
      </c>
      <c r="U14" t="s">
        <v>195</v>
      </c>
      <c r="V14">
        <v>5254</v>
      </c>
      <c r="W14" t="s">
        <v>51</v>
      </c>
      <c r="X14" s="4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204</v>
      </c>
      <c r="G15" t="s">
        <v>73</v>
      </c>
      <c r="H15" s="3">
        <v>1963.5</v>
      </c>
      <c r="I15" s="3">
        <v>1963.5</v>
      </c>
      <c r="J15">
        <v>0</v>
      </c>
      <c r="K15" s="3">
        <v>2258.0300000000002</v>
      </c>
      <c r="L15">
        <v>496.65</v>
      </c>
      <c r="M15" s="5">
        <v>182.27</v>
      </c>
      <c r="N15" t="s">
        <v>70</v>
      </c>
      <c r="O15" t="s">
        <v>194</v>
      </c>
      <c r="P15" t="s">
        <v>194</v>
      </c>
      <c r="Q15" t="s">
        <v>194</v>
      </c>
      <c r="R15" t="s">
        <v>195</v>
      </c>
      <c r="S15" t="s">
        <v>195</v>
      </c>
      <c r="T15" t="s">
        <v>51</v>
      </c>
      <c r="U15">
        <v>9</v>
      </c>
      <c r="V15" t="s">
        <v>63</v>
      </c>
      <c r="W15" t="s">
        <v>74</v>
      </c>
      <c r="X15" s="4">
        <v>0</v>
      </c>
      <c r="Y15" t="s">
        <v>57</v>
      </c>
    </row>
    <row r="16" spans="1:47" x14ac:dyDescent="0.25">
      <c r="A16" t="s">
        <v>58</v>
      </c>
      <c r="B16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t="s">
        <v>195</v>
      </c>
      <c r="I16" t="s">
        <v>205</v>
      </c>
      <c r="K16" t="s">
        <v>75</v>
      </c>
      <c r="L16" t="s">
        <v>75</v>
      </c>
      <c r="M16" s="5">
        <v>46029.364594907405</v>
      </c>
      <c r="Q16" t="s">
        <v>195</v>
      </c>
      <c r="R16">
        <v>0</v>
      </c>
      <c r="T16" t="s">
        <v>195</v>
      </c>
      <c r="U16" t="s">
        <v>195</v>
      </c>
      <c r="V16">
        <v>2291</v>
      </c>
      <c r="W16" t="s">
        <v>51</v>
      </c>
      <c r="X16" s="4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206</v>
      </c>
      <c r="G17" t="s">
        <v>76</v>
      </c>
      <c r="H17" s="3">
        <v>2031.3</v>
      </c>
      <c r="I17" s="3">
        <v>2031.3</v>
      </c>
      <c r="J17">
        <v>0</v>
      </c>
      <c r="K17" s="3">
        <v>2335.9899999999998</v>
      </c>
      <c r="L17">
        <v>86.12</v>
      </c>
      <c r="M17" s="5">
        <v>57.47</v>
      </c>
      <c r="N17" t="s">
        <v>70</v>
      </c>
      <c r="O17" t="s">
        <v>194</v>
      </c>
      <c r="P17" t="s">
        <v>194</v>
      </c>
      <c r="Q17" t="s">
        <v>194</v>
      </c>
      <c r="R17" t="s">
        <v>195</v>
      </c>
      <c r="S17" t="s">
        <v>195</v>
      </c>
      <c r="T17" t="s">
        <v>51</v>
      </c>
      <c r="U17">
        <v>9</v>
      </c>
      <c r="V17" t="s">
        <v>63</v>
      </c>
      <c r="W17" t="s">
        <v>77</v>
      </c>
      <c r="X17" s="4">
        <v>0</v>
      </c>
      <c r="Y17" t="s">
        <v>57</v>
      </c>
    </row>
    <row r="18" spans="1:47" x14ac:dyDescent="0.25">
      <c r="A18" t="s">
        <v>58</v>
      </c>
      <c r="B18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t="s">
        <v>195</v>
      </c>
      <c r="I18" t="s">
        <v>55</v>
      </c>
      <c r="K18" t="s">
        <v>65</v>
      </c>
      <c r="L18" t="s">
        <v>65</v>
      </c>
      <c r="M18" s="5">
        <v>46029.448912037034</v>
      </c>
      <c r="Q18" t="s">
        <v>195</v>
      </c>
      <c r="R18">
        <v>0</v>
      </c>
      <c r="T18" t="s">
        <v>195</v>
      </c>
      <c r="U18" t="s">
        <v>195</v>
      </c>
      <c r="V18">
        <v>924</v>
      </c>
      <c r="W18" t="s">
        <v>51</v>
      </c>
      <c r="X18" s="4"/>
    </row>
    <row r="19" spans="1:47" x14ac:dyDescent="0.25">
      <c r="A19" t="s">
        <v>78</v>
      </c>
      <c r="B19" s="1">
        <v>38405</v>
      </c>
      <c r="C19" t="s">
        <v>48</v>
      </c>
      <c r="D19" t="s">
        <v>49</v>
      </c>
      <c r="E19" s="2">
        <v>46029</v>
      </c>
      <c r="F19" t="s">
        <v>131</v>
      </c>
      <c r="G19" t="s">
        <v>76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5">
        <v>1072.81</v>
      </c>
      <c r="N19" t="s">
        <v>207</v>
      </c>
      <c r="O19" t="s">
        <v>194</v>
      </c>
      <c r="P19" t="s">
        <v>194</v>
      </c>
      <c r="Q19" t="s">
        <v>194</v>
      </c>
      <c r="R19" t="s">
        <v>195</v>
      </c>
      <c r="S19" t="s">
        <v>195</v>
      </c>
      <c r="T19" t="s">
        <v>51</v>
      </c>
      <c r="U19">
        <v>167</v>
      </c>
      <c r="V19" t="s">
        <v>79</v>
      </c>
      <c r="W19" t="s">
        <v>132</v>
      </c>
      <c r="X19" s="4">
        <v>0</v>
      </c>
      <c r="Y19" t="s">
        <v>54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195</v>
      </c>
      <c r="AG19" t="s">
        <v>55</v>
      </c>
      <c r="AI19" t="s">
        <v>65</v>
      </c>
      <c r="AJ19" t="s">
        <v>65</v>
      </c>
      <c r="AK19" s="5">
        <v>46029.466469907406</v>
      </c>
      <c r="AO19" t="s">
        <v>195</v>
      </c>
      <c r="AP19">
        <v>0</v>
      </c>
      <c r="AR19" t="s">
        <v>195</v>
      </c>
      <c r="AS19" t="s">
        <v>195</v>
      </c>
      <c r="AT19">
        <v>2778</v>
      </c>
      <c r="AU19" t="s">
        <v>51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80</v>
      </c>
      <c r="G20" t="s">
        <v>76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>
        <v>426.06</v>
      </c>
      <c r="N20" t="s">
        <v>70</v>
      </c>
      <c r="O20" t="s">
        <v>194</v>
      </c>
      <c r="P20" t="s">
        <v>194</v>
      </c>
      <c r="Q20" t="s">
        <v>194</v>
      </c>
      <c r="R20" t="s">
        <v>195</v>
      </c>
      <c r="S20" t="s">
        <v>195</v>
      </c>
      <c r="T20" t="s">
        <v>51</v>
      </c>
      <c r="U20">
        <v>9</v>
      </c>
      <c r="V20" t="s">
        <v>63</v>
      </c>
      <c r="W20" t="s">
        <v>81</v>
      </c>
      <c r="X20" s="4">
        <v>0</v>
      </c>
      <c r="Y20" t="s">
        <v>54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195</v>
      </c>
      <c r="AG20" t="s">
        <v>55</v>
      </c>
      <c r="AH20" t="s">
        <v>82</v>
      </c>
      <c r="AI20" t="s">
        <v>75</v>
      </c>
      <c r="AJ20" t="s">
        <v>75</v>
      </c>
      <c r="AK20" s="5">
        <v>46029.47457175926</v>
      </c>
      <c r="AO20" t="s">
        <v>195</v>
      </c>
      <c r="AP20">
        <v>0</v>
      </c>
      <c r="AR20" t="s">
        <v>195</v>
      </c>
      <c r="AS20" t="s">
        <v>195</v>
      </c>
      <c r="AT20">
        <v>161</v>
      </c>
      <c r="AU20" t="s">
        <v>51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193</v>
      </c>
      <c r="G21" t="s">
        <v>128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>
        <v>232.69</v>
      </c>
      <c r="N21" t="s">
        <v>50</v>
      </c>
      <c r="O21" t="s">
        <v>194</v>
      </c>
      <c r="P21" t="s">
        <v>194</v>
      </c>
      <c r="Q21" t="s">
        <v>194</v>
      </c>
      <c r="R21" t="s">
        <v>195</v>
      </c>
      <c r="S21" t="s">
        <v>195</v>
      </c>
      <c r="T21" t="s">
        <v>51</v>
      </c>
      <c r="U21">
        <v>126</v>
      </c>
      <c r="V21" t="s">
        <v>52</v>
      </c>
      <c r="W21" t="s">
        <v>53</v>
      </c>
      <c r="X21" s="4">
        <v>0</v>
      </c>
      <c r="Y21" t="s">
        <v>54</v>
      </c>
      <c r="Z21">
        <v>596.64</v>
      </c>
      <c r="AA21">
        <v>0</v>
      </c>
      <c r="AB21">
        <v>0</v>
      </c>
      <c r="AC21">
        <v>0</v>
      </c>
      <c r="AD21">
        <v>0</v>
      </c>
      <c r="AE21">
        <v>240</v>
      </c>
      <c r="AF21" t="s">
        <v>195</v>
      </c>
      <c r="AG21" t="s">
        <v>55</v>
      </c>
      <c r="AI21" t="s">
        <v>56</v>
      </c>
      <c r="AJ21" t="s">
        <v>56</v>
      </c>
      <c r="AK21" s="5">
        <v>46029.629131944443</v>
      </c>
      <c r="AO21" t="s">
        <v>195</v>
      </c>
      <c r="AP21">
        <v>0</v>
      </c>
      <c r="AR21" t="s">
        <v>195</v>
      </c>
      <c r="AS21" t="s">
        <v>195</v>
      </c>
      <c r="AT21">
        <v>6611</v>
      </c>
      <c r="AU21" t="s">
        <v>51</v>
      </c>
    </row>
    <row r="22" spans="1:47" x14ac:dyDescent="0.25">
      <c r="A22" t="s">
        <v>69</v>
      </c>
      <c r="B22" s="1">
        <v>38408</v>
      </c>
      <c r="C22" t="s">
        <v>48</v>
      </c>
      <c r="D22" t="s">
        <v>49</v>
      </c>
      <c r="E22" s="2">
        <v>46030</v>
      </c>
      <c r="F22" t="s">
        <v>133</v>
      </c>
      <c r="G22" t="s">
        <v>73</v>
      </c>
      <c r="H22" s="3">
        <v>4680</v>
      </c>
      <c r="I22" s="3">
        <v>4680</v>
      </c>
      <c r="J22">
        <v>0</v>
      </c>
      <c r="K22" s="3">
        <v>4680</v>
      </c>
      <c r="L22">
        <v>674</v>
      </c>
      <c r="M22">
        <v>257.26</v>
      </c>
      <c r="N22" t="s">
        <v>50</v>
      </c>
      <c r="O22" t="s">
        <v>194</v>
      </c>
      <c r="P22" t="s">
        <v>194</v>
      </c>
      <c r="Q22" t="s">
        <v>194</v>
      </c>
      <c r="R22" t="s">
        <v>195</v>
      </c>
      <c r="S22" t="s">
        <v>195</v>
      </c>
      <c r="T22" t="s">
        <v>51</v>
      </c>
      <c r="U22">
        <v>126</v>
      </c>
      <c r="V22" t="s">
        <v>52</v>
      </c>
      <c r="W22" t="s">
        <v>64</v>
      </c>
      <c r="X22" s="4">
        <v>0</v>
      </c>
      <c r="Y22" t="s">
        <v>54</v>
      </c>
      <c r="Z22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195</v>
      </c>
      <c r="AG22" t="s">
        <v>55</v>
      </c>
      <c r="AI22" t="s">
        <v>65</v>
      </c>
      <c r="AJ22" t="s">
        <v>65</v>
      </c>
      <c r="AK22" s="5">
        <v>46030.464837962965</v>
      </c>
      <c r="AO22" t="s">
        <v>195</v>
      </c>
      <c r="AP22">
        <v>0</v>
      </c>
      <c r="AR22" t="s">
        <v>195</v>
      </c>
      <c r="AS22" t="s">
        <v>195</v>
      </c>
      <c r="AT22">
        <v>7057</v>
      </c>
      <c r="AU22" t="s">
        <v>51</v>
      </c>
    </row>
    <row r="23" spans="1:47" x14ac:dyDescent="0.25">
      <c r="A23" t="s">
        <v>69</v>
      </c>
      <c r="B23" s="1">
        <v>38409</v>
      </c>
      <c r="C23" t="s">
        <v>48</v>
      </c>
      <c r="D23" t="s">
        <v>49</v>
      </c>
      <c r="E23" s="2">
        <v>46030</v>
      </c>
      <c r="F23" t="s">
        <v>134</v>
      </c>
      <c r="G23" t="s">
        <v>76</v>
      </c>
      <c r="H23" s="3">
        <v>6444</v>
      </c>
      <c r="I23" s="3">
        <v>6444</v>
      </c>
      <c r="J23">
        <v>0</v>
      </c>
      <c r="K23" s="3">
        <v>6444</v>
      </c>
      <c r="L23">
        <v>550.79999999999995</v>
      </c>
      <c r="M23">
        <v>341.5</v>
      </c>
      <c r="N23" t="s">
        <v>83</v>
      </c>
      <c r="O23" t="s">
        <v>194</v>
      </c>
      <c r="P23" t="s">
        <v>194</v>
      </c>
      <c r="Q23" t="s">
        <v>194</v>
      </c>
      <c r="R23" t="s">
        <v>195</v>
      </c>
      <c r="S23" t="s">
        <v>195</v>
      </c>
      <c r="T23" t="s">
        <v>51</v>
      </c>
      <c r="U23">
        <v>145</v>
      </c>
      <c r="W23" t="s">
        <v>135</v>
      </c>
      <c r="X23" s="4">
        <v>0</v>
      </c>
      <c r="Y23" t="s">
        <v>57</v>
      </c>
      <c r="AK23" s="5"/>
    </row>
    <row r="24" spans="1:47" x14ac:dyDescent="0.25">
      <c r="A24" t="s">
        <v>58</v>
      </c>
      <c r="B24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t="s">
        <v>195</v>
      </c>
      <c r="I24" t="s">
        <v>55</v>
      </c>
      <c r="K24" t="s">
        <v>65</v>
      </c>
      <c r="L24" t="s">
        <v>65</v>
      </c>
      <c r="M24" s="5">
        <v>46031.342152777775</v>
      </c>
      <c r="Q24" t="s">
        <v>195</v>
      </c>
      <c r="R24">
        <v>0</v>
      </c>
      <c r="T24" t="s">
        <v>195</v>
      </c>
      <c r="U24" t="s">
        <v>195</v>
      </c>
      <c r="V24">
        <v>8632</v>
      </c>
      <c r="W24" t="s">
        <v>51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136</v>
      </c>
      <c r="G25" t="s">
        <v>137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5">
        <v>4774.62</v>
      </c>
      <c r="N25" t="s">
        <v>70</v>
      </c>
      <c r="O25" t="s">
        <v>194</v>
      </c>
      <c r="P25" t="s">
        <v>194</v>
      </c>
      <c r="Q25" t="s">
        <v>194</v>
      </c>
      <c r="R25" t="s">
        <v>195</v>
      </c>
      <c r="S25" t="s">
        <v>195</v>
      </c>
      <c r="T25" t="s">
        <v>51</v>
      </c>
      <c r="U25">
        <v>9</v>
      </c>
      <c r="V25" t="s">
        <v>52</v>
      </c>
      <c r="W25" t="s">
        <v>138</v>
      </c>
      <c r="X25" s="4">
        <v>0</v>
      </c>
      <c r="Y25" t="s">
        <v>54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195</v>
      </c>
      <c r="AG25" t="s">
        <v>55</v>
      </c>
      <c r="AI25" t="s">
        <v>75</v>
      </c>
      <c r="AJ25" t="s">
        <v>75</v>
      </c>
      <c r="AK25" s="5">
        <v>46030.667002314818</v>
      </c>
      <c r="AO25" t="s">
        <v>195</v>
      </c>
      <c r="AP25">
        <v>0</v>
      </c>
      <c r="AR25" t="s">
        <v>195</v>
      </c>
      <c r="AS25" t="s">
        <v>195</v>
      </c>
      <c r="AT25">
        <v>3124</v>
      </c>
      <c r="AU25" t="s">
        <v>51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84</v>
      </c>
      <c r="G26" t="s">
        <v>61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194</v>
      </c>
      <c r="P26" t="s">
        <v>194</v>
      </c>
      <c r="Q26" t="s">
        <v>194</v>
      </c>
      <c r="R26" t="s">
        <v>195</v>
      </c>
      <c r="S26" t="s">
        <v>195</v>
      </c>
      <c r="T26" t="s">
        <v>51</v>
      </c>
      <c r="U26">
        <v>126</v>
      </c>
      <c r="V26" t="s">
        <v>52</v>
      </c>
      <c r="W26" t="s">
        <v>77</v>
      </c>
      <c r="X26" s="4">
        <v>0</v>
      </c>
      <c r="Y26" t="s">
        <v>54</v>
      </c>
      <c r="Z26" s="3">
        <v>3492</v>
      </c>
      <c r="AA26">
        <v>0</v>
      </c>
      <c r="AB26">
        <v>0</v>
      </c>
      <c r="AC26">
        <v>0</v>
      </c>
      <c r="AD26">
        <v>0</v>
      </c>
      <c r="AE26" s="3">
        <v>3000</v>
      </c>
      <c r="AF26" t="s">
        <v>195</v>
      </c>
      <c r="AG26" t="s">
        <v>55</v>
      </c>
      <c r="AI26" t="s">
        <v>56</v>
      </c>
      <c r="AJ26" t="s">
        <v>56</v>
      </c>
      <c r="AK26" s="5">
        <v>46030.933159722219</v>
      </c>
      <c r="AO26" t="s">
        <v>195</v>
      </c>
      <c r="AP26">
        <v>0</v>
      </c>
      <c r="AR26" t="s">
        <v>195</v>
      </c>
      <c r="AS26" t="s">
        <v>195</v>
      </c>
      <c r="AT26">
        <v>1877</v>
      </c>
      <c r="AU26" t="s">
        <v>51</v>
      </c>
    </row>
    <row r="27" spans="1:47" x14ac:dyDescent="0.25">
      <c r="A27" t="s">
        <v>47</v>
      </c>
      <c r="B27" s="1">
        <v>38412</v>
      </c>
      <c r="C27" t="s">
        <v>48</v>
      </c>
      <c r="D27" t="s">
        <v>49</v>
      </c>
      <c r="E27" s="2">
        <v>46030</v>
      </c>
      <c r="F27" t="s">
        <v>85</v>
      </c>
      <c r="G27" t="s">
        <v>86</v>
      </c>
      <c r="H27">
        <v>870</v>
      </c>
      <c r="I27">
        <v>870</v>
      </c>
      <c r="J27">
        <v>0</v>
      </c>
      <c r="K27">
        <v>870</v>
      </c>
      <c r="L27">
        <v>143.4</v>
      </c>
      <c r="M27" s="5">
        <v>55.93</v>
      </c>
      <c r="N27" t="s">
        <v>50</v>
      </c>
      <c r="O27" t="s">
        <v>194</v>
      </c>
      <c r="P27" t="s">
        <v>194</v>
      </c>
      <c r="Q27" t="s">
        <v>194</v>
      </c>
      <c r="R27" t="s">
        <v>195</v>
      </c>
      <c r="S27" t="s">
        <v>195</v>
      </c>
      <c r="T27" t="s">
        <v>51</v>
      </c>
      <c r="U27">
        <v>126</v>
      </c>
      <c r="V27" t="s">
        <v>52</v>
      </c>
      <c r="W27" t="s">
        <v>87</v>
      </c>
      <c r="X27" s="4">
        <v>0</v>
      </c>
      <c r="Y27" t="s">
        <v>54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195</v>
      </c>
      <c r="AG27" t="s">
        <v>55</v>
      </c>
      <c r="AH27" t="s">
        <v>88</v>
      </c>
      <c r="AI27" t="s">
        <v>56</v>
      </c>
      <c r="AJ27" t="s">
        <v>56</v>
      </c>
      <c r="AK27" s="5">
        <v>46030.999918981484</v>
      </c>
      <c r="AO27" t="s">
        <v>195</v>
      </c>
      <c r="AP27">
        <v>0</v>
      </c>
      <c r="AR27" t="s">
        <v>195</v>
      </c>
      <c r="AS27" t="s">
        <v>195</v>
      </c>
      <c r="AT27">
        <v>4089</v>
      </c>
      <c r="AU27" t="s">
        <v>51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206</v>
      </c>
      <c r="G28" t="s">
        <v>76</v>
      </c>
      <c r="H28" s="3">
        <v>2031.3</v>
      </c>
      <c r="I28" s="3">
        <v>2031.3</v>
      </c>
      <c r="J28">
        <v>0</v>
      </c>
      <c r="K28" s="3">
        <v>2335.9899999999998</v>
      </c>
      <c r="L28">
        <v>86.12</v>
      </c>
      <c r="M28">
        <v>57.47</v>
      </c>
      <c r="N28" t="s">
        <v>70</v>
      </c>
      <c r="O28" t="s">
        <v>194</v>
      </c>
      <c r="P28" t="s">
        <v>194</v>
      </c>
      <c r="Q28" t="s">
        <v>194</v>
      </c>
      <c r="R28" t="s">
        <v>195</v>
      </c>
      <c r="S28" t="s">
        <v>195</v>
      </c>
      <c r="T28" t="s">
        <v>51</v>
      </c>
      <c r="U28">
        <v>9</v>
      </c>
      <c r="V28" t="s">
        <v>63</v>
      </c>
      <c r="W28" t="s">
        <v>77</v>
      </c>
      <c r="X28" s="4">
        <v>0</v>
      </c>
      <c r="Y28" t="s">
        <v>57</v>
      </c>
      <c r="AK28" s="5"/>
    </row>
    <row r="29" spans="1:47" x14ac:dyDescent="0.25">
      <c r="A29" t="s">
        <v>58</v>
      </c>
      <c r="B29">
        <v>0</v>
      </c>
      <c r="C29">
        <v>0</v>
      </c>
      <c r="D29">
        <v>86.12</v>
      </c>
      <c r="E29" s="2">
        <v>0</v>
      </c>
      <c r="F29">
        <v>0</v>
      </c>
      <c r="G29">
        <v>90</v>
      </c>
      <c r="H29" t="s">
        <v>195</v>
      </c>
      <c r="I29" t="s">
        <v>55</v>
      </c>
      <c r="K29" t="s">
        <v>65</v>
      </c>
      <c r="L29" t="s">
        <v>65</v>
      </c>
      <c r="M29" s="5">
        <v>46034.353900462964</v>
      </c>
      <c r="Q29" t="s">
        <v>195</v>
      </c>
      <c r="R29">
        <v>0</v>
      </c>
      <c r="T29" t="s">
        <v>195</v>
      </c>
      <c r="U29" t="s">
        <v>195</v>
      </c>
      <c r="V29">
        <v>924</v>
      </c>
      <c r="W29" t="s">
        <v>51</v>
      </c>
      <c r="X29" s="4"/>
      <c r="AK29" s="5"/>
    </row>
    <row r="30" spans="1:47" x14ac:dyDescent="0.25">
      <c r="A30" t="s">
        <v>69</v>
      </c>
      <c r="B30" s="1">
        <v>38414</v>
      </c>
      <c r="C30" t="s">
        <v>48</v>
      </c>
      <c r="D30" t="s">
        <v>49</v>
      </c>
      <c r="E30" s="2">
        <v>46031</v>
      </c>
      <c r="F30" t="s">
        <v>208</v>
      </c>
      <c r="G30" t="s">
        <v>59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70</v>
      </c>
      <c r="O30" t="s">
        <v>194</v>
      </c>
      <c r="P30" t="s">
        <v>194</v>
      </c>
      <c r="Q30" t="s">
        <v>194</v>
      </c>
      <c r="R30" t="s">
        <v>195</v>
      </c>
      <c r="S30" t="s">
        <v>195</v>
      </c>
      <c r="T30" t="s">
        <v>51</v>
      </c>
      <c r="U30">
        <v>9</v>
      </c>
      <c r="W30" t="s">
        <v>89</v>
      </c>
      <c r="X30" s="4">
        <v>0</v>
      </c>
      <c r="Y30" t="s">
        <v>57</v>
      </c>
      <c r="AK30" s="5"/>
    </row>
    <row r="31" spans="1:47" x14ac:dyDescent="0.25">
      <c r="A31" t="s">
        <v>58</v>
      </c>
      <c r="B31" s="3">
        <v>3669</v>
      </c>
      <c r="C31">
        <v>0</v>
      </c>
      <c r="D31">
        <v>0</v>
      </c>
      <c r="E31" s="2">
        <v>0</v>
      </c>
      <c r="F31">
        <v>0</v>
      </c>
      <c r="G31" s="3">
        <v>3000</v>
      </c>
      <c r="H31" t="s">
        <v>195</v>
      </c>
      <c r="I31" t="s">
        <v>55</v>
      </c>
      <c r="K31" t="s">
        <v>65</v>
      </c>
      <c r="L31" t="s">
        <v>65</v>
      </c>
      <c r="M31" s="5">
        <v>46031.577048611114</v>
      </c>
      <c r="Q31" t="s">
        <v>195</v>
      </c>
      <c r="R31">
        <v>0</v>
      </c>
      <c r="T31" t="s">
        <v>195</v>
      </c>
      <c r="U31" t="s">
        <v>195</v>
      </c>
      <c r="V31">
        <v>8826</v>
      </c>
      <c r="W31" t="s">
        <v>51</v>
      </c>
      <c r="X31" s="4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90</v>
      </c>
      <c r="G32" t="s">
        <v>91</v>
      </c>
      <c r="H32" s="3">
        <v>1680</v>
      </c>
      <c r="I32" s="3">
        <v>1680</v>
      </c>
      <c r="J32">
        <v>0</v>
      </c>
      <c r="K32" s="3">
        <v>1932</v>
      </c>
      <c r="L32">
        <v>261.13</v>
      </c>
      <c r="M32">
        <v>150.15</v>
      </c>
      <c r="N32" t="s">
        <v>66</v>
      </c>
      <c r="O32" t="s">
        <v>194</v>
      </c>
      <c r="P32" t="s">
        <v>194</v>
      </c>
      <c r="Q32" t="s">
        <v>194</v>
      </c>
      <c r="R32" t="s">
        <v>195</v>
      </c>
      <c r="S32" t="s">
        <v>195</v>
      </c>
      <c r="T32" t="s">
        <v>51</v>
      </c>
      <c r="U32">
        <v>83</v>
      </c>
      <c r="W32" t="s">
        <v>71</v>
      </c>
      <c r="X32" s="4">
        <v>0</v>
      </c>
      <c r="Y32" t="s">
        <v>54</v>
      </c>
      <c r="Z32">
        <v>0</v>
      </c>
      <c r="AA32">
        <v>0</v>
      </c>
      <c r="AB32">
        <v>261.13</v>
      </c>
      <c r="AC32">
        <v>0</v>
      </c>
      <c r="AD32">
        <v>0</v>
      </c>
      <c r="AE32">
        <v>125</v>
      </c>
      <c r="AF32" t="s">
        <v>195</v>
      </c>
      <c r="AG32" t="s">
        <v>55</v>
      </c>
      <c r="AI32" t="s">
        <v>68</v>
      </c>
      <c r="AJ32" t="s">
        <v>65</v>
      </c>
      <c r="AK32" s="5">
        <v>46031.623749999999</v>
      </c>
      <c r="AO32" t="s">
        <v>195</v>
      </c>
      <c r="AP32">
        <v>0</v>
      </c>
      <c r="AR32" t="s">
        <v>195</v>
      </c>
      <c r="AS32" t="s">
        <v>195</v>
      </c>
      <c r="AT32">
        <v>4900</v>
      </c>
      <c r="AU32" t="s">
        <v>51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90</v>
      </c>
      <c r="G33" t="s">
        <v>91</v>
      </c>
      <c r="H33" s="3">
        <v>1680</v>
      </c>
      <c r="I33" s="3">
        <v>1680</v>
      </c>
      <c r="J33">
        <v>0</v>
      </c>
      <c r="K33" s="3">
        <v>1932</v>
      </c>
      <c r="L33">
        <v>261.13</v>
      </c>
      <c r="M33">
        <v>150.15</v>
      </c>
      <c r="N33" t="s">
        <v>66</v>
      </c>
      <c r="O33" t="s">
        <v>194</v>
      </c>
      <c r="P33" t="s">
        <v>194</v>
      </c>
      <c r="Q33" t="s">
        <v>194</v>
      </c>
      <c r="R33" t="s">
        <v>195</v>
      </c>
      <c r="S33" t="s">
        <v>195</v>
      </c>
      <c r="T33" t="s">
        <v>51</v>
      </c>
      <c r="U33">
        <v>83</v>
      </c>
      <c r="W33" t="s">
        <v>71</v>
      </c>
      <c r="X33" s="4">
        <v>0</v>
      </c>
      <c r="Y33" t="s">
        <v>54</v>
      </c>
      <c r="Z33">
        <v>0</v>
      </c>
      <c r="AA33">
        <v>0</v>
      </c>
      <c r="AB33">
        <v>261.13</v>
      </c>
      <c r="AC33">
        <v>0</v>
      </c>
      <c r="AD33">
        <v>0</v>
      </c>
      <c r="AE33">
        <v>125</v>
      </c>
      <c r="AF33" t="s">
        <v>195</v>
      </c>
      <c r="AG33" t="s">
        <v>55</v>
      </c>
      <c r="AI33" t="s">
        <v>68</v>
      </c>
      <c r="AJ33" t="s">
        <v>65</v>
      </c>
      <c r="AK33" s="5">
        <v>46031.623969907407</v>
      </c>
      <c r="AO33" t="s">
        <v>195</v>
      </c>
      <c r="AP33">
        <v>0</v>
      </c>
      <c r="AR33" t="s">
        <v>195</v>
      </c>
      <c r="AS33" t="s">
        <v>195</v>
      </c>
      <c r="AT33">
        <v>4900</v>
      </c>
      <c r="AU33" t="s">
        <v>51</v>
      </c>
    </row>
    <row r="34" spans="1:47" x14ac:dyDescent="0.25">
      <c r="A34" t="s">
        <v>78</v>
      </c>
      <c r="B34" s="1">
        <v>38417</v>
      </c>
      <c r="C34" t="s">
        <v>48</v>
      </c>
      <c r="D34" t="s">
        <v>49</v>
      </c>
      <c r="E34" s="2">
        <v>46031</v>
      </c>
      <c r="F34" t="s">
        <v>209</v>
      </c>
      <c r="G34" t="s">
        <v>61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66</v>
      </c>
      <c r="O34" t="s">
        <v>194</v>
      </c>
      <c r="P34" t="s">
        <v>194</v>
      </c>
      <c r="Q34" t="s">
        <v>194</v>
      </c>
      <c r="R34" t="s">
        <v>195</v>
      </c>
      <c r="S34" t="s">
        <v>195</v>
      </c>
      <c r="T34" t="s">
        <v>51</v>
      </c>
      <c r="U34">
        <v>83</v>
      </c>
      <c r="V34" t="s">
        <v>92</v>
      </c>
      <c r="W34" t="s">
        <v>210</v>
      </c>
      <c r="X34" s="4">
        <v>0</v>
      </c>
      <c r="Y34" t="s">
        <v>54</v>
      </c>
      <c r="Z34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195</v>
      </c>
      <c r="AG34" t="s">
        <v>55</v>
      </c>
      <c r="AH34" t="s">
        <v>67</v>
      </c>
      <c r="AI34" t="s">
        <v>68</v>
      </c>
      <c r="AJ34" t="s">
        <v>65</v>
      </c>
      <c r="AK34" s="5">
        <v>46031.642685185187</v>
      </c>
      <c r="AO34" t="s">
        <v>195</v>
      </c>
      <c r="AP34">
        <v>0</v>
      </c>
      <c r="AR34" t="s">
        <v>195</v>
      </c>
      <c r="AS34" t="s">
        <v>195</v>
      </c>
      <c r="AT34">
        <v>6081</v>
      </c>
      <c r="AU34" t="s">
        <v>51</v>
      </c>
    </row>
    <row r="35" spans="1:47" x14ac:dyDescent="0.25">
      <c r="A35" t="s">
        <v>78</v>
      </c>
      <c r="B35" s="1">
        <v>38418</v>
      </c>
      <c r="C35" t="s">
        <v>48</v>
      </c>
      <c r="D35" t="s">
        <v>49</v>
      </c>
      <c r="E35" s="2">
        <v>46031</v>
      </c>
      <c r="F35" t="s">
        <v>209</v>
      </c>
      <c r="G35" t="s">
        <v>61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66</v>
      </c>
      <c r="O35" t="s">
        <v>194</v>
      </c>
      <c r="P35" t="s">
        <v>194</v>
      </c>
      <c r="Q35" t="s">
        <v>194</v>
      </c>
      <c r="R35" t="s">
        <v>195</v>
      </c>
      <c r="S35" t="s">
        <v>195</v>
      </c>
      <c r="T35" t="s">
        <v>51</v>
      </c>
      <c r="U35">
        <v>83</v>
      </c>
      <c r="V35" t="s">
        <v>92</v>
      </c>
      <c r="W35" t="s">
        <v>210</v>
      </c>
      <c r="X35" s="4">
        <v>0</v>
      </c>
      <c r="Y35" t="s">
        <v>54</v>
      </c>
      <c r="Z35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195</v>
      </c>
      <c r="AG35" t="s">
        <v>55</v>
      </c>
      <c r="AH35" t="s">
        <v>67</v>
      </c>
      <c r="AI35" t="s">
        <v>68</v>
      </c>
      <c r="AJ35" t="s">
        <v>65</v>
      </c>
      <c r="AK35" s="5">
        <v>46031.644004629627</v>
      </c>
      <c r="AO35" t="s">
        <v>195</v>
      </c>
      <c r="AP35">
        <v>0</v>
      </c>
      <c r="AR35" t="s">
        <v>195</v>
      </c>
      <c r="AS35" t="s">
        <v>195</v>
      </c>
      <c r="AT35">
        <v>6081</v>
      </c>
      <c r="AU35" t="s">
        <v>51</v>
      </c>
    </row>
    <row r="36" spans="1:47" x14ac:dyDescent="0.25">
      <c r="A36" t="s">
        <v>78</v>
      </c>
      <c r="B36" s="1">
        <v>38420</v>
      </c>
      <c r="C36" t="s">
        <v>48</v>
      </c>
      <c r="D36" t="s">
        <v>49</v>
      </c>
      <c r="E36" s="2">
        <v>46031</v>
      </c>
      <c r="F36" t="s">
        <v>209</v>
      </c>
      <c r="G36" t="s">
        <v>61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66</v>
      </c>
      <c r="O36" t="s">
        <v>194</v>
      </c>
      <c r="P36" t="s">
        <v>194</v>
      </c>
      <c r="Q36" t="s">
        <v>194</v>
      </c>
      <c r="R36" t="s">
        <v>195</v>
      </c>
      <c r="S36" t="s">
        <v>195</v>
      </c>
      <c r="T36" t="s">
        <v>51</v>
      </c>
      <c r="U36">
        <v>83</v>
      </c>
      <c r="V36" t="s">
        <v>92</v>
      </c>
      <c r="W36" t="s">
        <v>210</v>
      </c>
      <c r="X36" s="4">
        <v>0</v>
      </c>
      <c r="Y36" t="s">
        <v>54</v>
      </c>
      <c r="Z36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195</v>
      </c>
      <c r="AG36" t="s">
        <v>55</v>
      </c>
      <c r="AH36" t="s">
        <v>67</v>
      </c>
      <c r="AI36" t="s">
        <v>65</v>
      </c>
      <c r="AJ36" t="s">
        <v>65</v>
      </c>
      <c r="AK36" s="5">
        <v>46031.644270833334</v>
      </c>
      <c r="AO36" t="s">
        <v>195</v>
      </c>
      <c r="AP36">
        <v>0</v>
      </c>
      <c r="AR36" t="s">
        <v>195</v>
      </c>
      <c r="AS36" t="s">
        <v>195</v>
      </c>
      <c r="AT36">
        <v>6081</v>
      </c>
      <c r="AU36" t="s">
        <v>51</v>
      </c>
    </row>
    <row r="37" spans="1:47" x14ac:dyDescent="0.25">
      <c r="A37" t="s">
        <v>78</v>
      </c>
      <c r="B37" s="1">
        <v>38421</v>
      </c>
      <c r="C37" t="s">
        <v>48</v>
      </c>
      <c r="D37" t="s">
        <v>49</v>
      </c>
      <c r="E37" s="2">
        <v>46031</v>
      </c>
      <c r="F37" t="s">
        <v>209</v>
      </c>
      <c r="G37" t="s">
        <v>61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66</v>
      </c>
      <c r="O37" t="s">
        <v>194</v>
      </c>
      <c r="P37" t="s">
        <v>194</v>
      </c>
      <c r="Q37" t="s">
        <v>194</v>
      </c>
      <c r="R37" t="s">
        <v>195</v>
      </c>
      <c r="S37" t="s">
        <v>195</v>
      </c>
      <c r="T37" t="s">
        <v>51</v>
      </c>
      <c r="U37">
        <v>83</v>
      </c>
      <c r="V37" t="s">
        <v>92</v>
      </c>
      <c r="W37" t="s">
        <v>210</v>
      </c>
      <c r="X37" s="4">
        <v>0</v>
      </c>
      <c r="Y37" t="s">
        <v>54</v>
      </c>
      <c r="Z37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195</v>
      </c>
      <c r="AG37" t="s">
        <v>55</v>
      </c>
      <c r="AH37" t="s">
        <v>67</v>
      </c>
      <c r="AI37" t="s">
        <v>65</v>
      </c>
      <c r="AJ37" t="s">
        <v>65</v>
      </c>
      <c r="AK37" s="5">
        <v>46031.644467592596</v>
      </c>
      <c r="AO37" t="s">
        <v>195</v>
      </c>
      <c r="AP37">
        <v>0</v>
      </c>
      <c r="AR37" t="s">
        <v>195</v>
      </c>
      <c r="AS37" t="s">
        <v>195</v>
      </c>
      <c r="AT37">
        <v>6081</v>
      </c>
      <c r="AU37" t="s">
        <v>51</v>
      </c>
    </row>
    <row r="38" spans="1:47" x14ac:dyDescent="0.25">
      <c r="A38" t="s">
        <v>78</v>
      </c>
      <c r="B38" s="1">
        <v>38422</v>
      </c>
      <c r="C38" t="s">
        <v>48</v>
      </c>
      <c r="D38" t="s">
        <v>49</v>
      </c>
      <c r="E38" s="2">
        <v>46031</v>
      </c>
      <c r="F38" t="s">
        <v>209</v>
      </c>
      <c r="G38" t="s">
        <v>61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5">
        <v>2397.73</v>
      </c>
      <c r="N38" t="s">
        <v>66</v>
      </c>
      <c r="O38" t="s">
        <v>194</v>
      </c>
      <c r="P38" t="s">
        <v>194</v>
      </c>
      <c r="Q38" t="s">
        <v>194</v>
      </c>
      <c r="R38" t="s">
        <v>195</v>
      </c>
      <c r="S38" t="s">
        <v>195</v>
      </c>
      <c r="T38" t="s">
        <v>51</v>
      </c>
      <c r="U38">
        <v>83</v>
      </c>
      <c r="V38" t="s">
        <v>92</v>
      </c>
      <c r="W38" t="s">
        <v>210</v>
      </c>
      <c r="X38" s="4">
        <v>0</v>
      </c>
      <c r="Y38" t="s">
        <v>54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195</v>
      </c>
      <c r="AG38" t="s">
        <v>55</v>
      </c>
      <c r="AH38" t="s">
        <v>67</v>
      </c>
      <c r="AI38" t="s">
        <v>65</v>
      </c>
      <c r="AJ38" t="s">
        <v>65</v>
      </c>
      <c r="AK38" s="5">
        <v>46031.644791666666</v>
      </c>
      <c r="AO38" t="s">
        <v>195</v>
      </c>
      <c r="AP38">
        <v>0</v>
      </c>
      <c r="AR38" t="s">
        <v>195</v>
      </c>
      <c r="AS38" t="s">
        <v>195</v>
      </c>
      <c r="AT38">
        <v>6081</v>
      </c>
      <c r="AU38" t="s">
        <v>51</v>
      </c>
    </row>
    <row r="39" spans="1:47" x14ac:dyDescent="0.25">
      <c r="A39" t="s">
        <v>78</v>
      </c>
      <c r="B39" s="1">
        <v>38423</v>
      </c>
      <c r="C39" t="s">
        <v>48</v>
      </c>
      <c r="D39" t="s">
        <v>49</v>
      </c>
      <c r="E39" s="2">
        <v>46031</v>
      </c>
      <c r="F39" t="s">
        <v>209</v>
      </c>
      <c r="G39" t="s">
        <v>61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66</v>
      </c>
      <c r="O39" t="s">
        <v>194</v>
      </c>
      <c r="P39" t="s">
        <v>194</v>
      </c>
      <c r="Q39" t="s">
        <v>194</v>
      </c>
      <c r="R39" t="s">
        <v>195</v>
      </c>
      <c r="S39" t="s">
        <v>195</v>
      </c>
      <c r="T39" t="s">
        <v>51</v>
      </c>
      <c r="U39">
        <v>83</v>
      </c>
      <c r="V39" t="s">
        <v>92</v>
      </c>
      <c r="W39" t="s">
        <v>210</v>
      </c>
      <c r="X39" s="4">
        <v>0</v>
      </c>
      <c r="Y39" t="s">
        <v>54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195</v>
      </c>
      <c r="AG39" t="s">
        <v>55</v>
      </c>
      <c r="AH39" t="s">
        <v>67</v>
      </c>
      <c r="AI39" t="s">
        <v>65</v>
      </c>
      <c r="AJ39" t="s">
        <v>65</v>
      </c>
      <c r="AK39" s="5">
        <v>46031.644618055558</v>
      </c>
      <c r="AO39" t="s">
        <v>195</v>
      </c>
      <c r="AP39">
        <v>0</v>
      </c>
      <c r="AR39" t="s">
        <v>195</v>
      </c>
      <c r="AS39" t="s">
        <v>195</v>
      </c>
      <c r="AT39">
        <v>6081</v>
      </c>
      <c r="AU39" t="s">
        <v>51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211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5">
        <v>903.34</v>
      </c>
      <c r="N40" t="s">
        <v>50</v>
      </c>
      <c r="O40" t="s">
        <v>194</v>
      </c>
      <c r="P40" t="s">
        <v>194</v>
      </c>
      <c r="Q40" t="s">
        <v>194</v>
      </c>
      <c r="R40" t="s">
        <v>195</v>
      </c>
      <c r="S40" t="s">
        <v>195</v>
      </c>
      <c r="T40" t="s">
        <v>51</v>
      </c>
      <c r="U40">
        <v>126</v>
      </c>
      <c r="V40" t="s">
        <v>52</v>
      </c>
      <c r="W40" t="s">
        <v>77</v>
      </c>
      <c r="X40" s="4">
        <v>0</v>
      </c>
      <c r="Y40" t="s">
        <v>54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195</v>
      </c>
      <c r="AG40" t="s">
        <v>55</v>
      </c>
      <c r="AI40" t="s">
        <v>56</v>
      </c>
      <c r="AJ40" t="s">
        <v>56</v>
      </c>
      <c r="AK40" s="5">
        <v>46031.674016203702</v>
      </c>
      <c r="AO40" t="s">
        <v>195</v>
      </c>
      <c r="AP40">
        <v>0</v>
      </c>
      <c r="AR40" t="s">
        <v>195</v>
      </c>
      <c r="AS40" t="s">
        <v>195</v>
      </c>
      <c r="AT40">
        <v>8466</v>
      </c>
      <c r="AU40" t="s">
        <v>51</v>
      </c>
    </row>
    <row r="41" spans="1:47" x14ac:dyDescent="0.25">
      <c r="A41" t="s">
        <v>78</v>
      </c>
      <c r="B41" s="1">
        <v>38427</v>
      </c>
      <c r="C41" t="s">
        <v>48</v>
      </c>
      <c r="D41" t="s">
        <v>49</v>
      </c>
      <c r="E41" s="2">
        <v>46034</v>
      </c>
      <c r="F41" t="s">
        <v>212</v>
      </c>
      <c r="G41" t="s">
        <v>59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194</v>
      </c>
      <c r="P41" t="s">
        <v>194</v>
      </c>
      <c r="Q41" t="s">
        <v>194</v>
      </c>
      <c r="R41" t="s">
        <v>195</v>
      </c>
      <c r="S41" t="s">
        <v>195</v>
      </c>
      <c r="T41" t="s">
        <v>51</v>
      </c>
      <c r="U41">
        <v>126</v>
      </c>
      <c r="V41" t="s">
        <v>52</v>
      </c>
      <c r="W41" t="s">
        <v>64</v>
      </c>
      <c r="X41" s="4">
        <v>0</v>
      </c>
      <c r="Y41" t="s">
        <v>54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195</v>
      </c>
      <c r="AG41" t="s">
        <v>55</v>
      </c>
      <c r="AI41" t="s">
        <v>56</v>
      </c>
      <c r="AJ41" t="s">
        <v>65</v>
      </c>
      <c r="AK41" s="5">
        <v>46034.643159722225</v>
      </c>
      <c r="AO41" t="s">
        <v>195</v>
      </c>
      <c r="AP41">
        <v>0</v>
      </c>
      <c r="AR41" t="s">
        <v>195</v>
      </c>
      <c r="AS41" t="s">
        <v>195</v>
      </c>
      <c r="AT41">
        <v>5443</v>
      </c>
      <c r="AU41" t="s">
        <v>51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t="s">
        <v>213</v>
      </c>
      <c r="G42" t="s">
        <v>73</v>
      </c>
      <c r="H42" s="3">
        <v>5120</v>
      </c>
      <c r="I42" s="3">
        <v>5120</v>
      </c>
      <c r="J42">
        <v>0</v>
      </c>
      <c r="K42" s="3">
        <v>5888</v>
      </c>
      <c r="L42">
        <v>620.5</v>
      </c>
      <c r="M42">
        <v>384.71</v>
      </c>
      <c r="N42" t="s">
        <v>70</v>
      </c>
      <c r="O42" t="s">
        <v>194</v>
      </c>
      <c r="P42" t="s">
        <v>194</v>
      </c>
      <c r="Q42" t="s">
        <v>194</v>
      </c>
      <c r="R42" t="s">
        <v>195</v>
      </c>
      <c r="S42" t="s">
        <v>195</v>
      </c>
      <c r="T42" t="s">
        <v>51</v>
      </c>
      <c r="U42">
        <v>9</v>
      </c>
      <c r="V42" t="s">
        <v>63</v>
      </c>
      <c r="W42" t="s">
        <v>77</v>
      </c>
      <c r="X42" s="4">
        <v>0</v>
      </c>
      <c r="Y42" t="s">
        <v>54</v>
      </c>
      <c r="Z42">
        <v>0</v>
      </c>
      <c r="AA42">
        <v>0</v>
      </c>
      <c r="AB42">
        <v>620.5</v>
      </c>
      <c r="AC42">
        <v>0</v>
      </c>
      <c r="AD42">
        <v>0</v>
      </c>
      <c r="AE42">
        <v>500</v>
      </c>
      <c r="AF42" t="s">
        <v>195</v>
      </c>
      <c r="AG42" t="s">
        <v>55</v>
      </c>
      <c r="AI42" t="s">
        <v>65</v>
      </c>
      <c r="AJ42" t="s">
        <v>65</v>
      </c>
      <c r="AK42" s="5">
        <v>46035.417569444442</v>
      </c>
      <c r="AO42" t="s">
        <v>195</v>
      </c>
      <c r="AP42">
        <v>0</v>
      </c>
      <c r="AR42" t="s">
        <v>195</v>
      </c>
      <c r="AS42" t="s">
        <v>195</v>
      </c>
      <c r="AT42">
        <v>3204</v>
      </c>
      <c r="AU42" t="s">
        <v>51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213</v>
      </c>
      <c r="G43" t="s">
        <v>73</v>
      </c>
      <c r="H43" s="3">
        <v>5120</v>
      </c>
      <c r="I43" s="3">
        <v>5120</v>
      </c>
      <c r="J43">
        <v>0</v>
      </c>
      <c r="K43" s="3">
        <v>5888</v>
      </c>
      <c r="L43">
        <v>620.5</v>
      </c>
      <c r="M43">
        <v>384.71</v>
      </c>
      <c r="N43" t="s">
        <v>70</v>
      </c>
      <c r="O43" t="s">
        <v>194</v>
      </c>
      <c r="P43" t="s">
        <v>194</v>
      </c>
      <c r="Q43" t="s">
        <v>194</v>
      </c>
      <c r="R43" t="s">
        <v>195</v>
      </c>
      <c r="S43" t="s">
        <v>195</v>
      </c>
      <c r="T43" t="s">
        <v>51</v>
      </c>
      <c r="U43">
        <v>9</v>
      </c>
      <c r="V43" t="s">
        <v>63</v>
      </c>
      <c r="W43" t="s">
        <v>77</v>
      </c>
      <c r="X43" s="4">
        <v>0</v>
      </c>
      <c r="Y43" t="s">
        <v>54</v>
      </c>
      <c r="Z43">
        <v>0</v>
      </c>
      <c r="AA43">
        <v>0</v>
      </c>
      <c r="AB43">
        <v>620.5</v>
      </c>
      <c r="AC43">
        <v>0</v>
      </c>
      <c r="AD43">
        <v>0</v>
      </c>
      <c r="AE43">
        <v>500</v>
      </c>
      <c r="AF43" t="s">
        <v>195</v>
      </c>
      <c r="AG43" t="s">
        <v>55</v>
      </c>
      <c r="AI43" t="s">
        <v>65</v>
      </c>
      <c r="AJ43" t="s">
        <v>65</v>
      </c>
      <c r="AK43" s="5">
        <v>46035.417627314811</v>
      </c>
      <c r="AO43" t="s">
        <v>195</v>
      </c>
      <c r="AP43">
        <v>0</v>
      </c>
      <c r="AR43" t="s">
        <v>195</v>
      </c>
      <c r="AS43" t="s">
        <v>195</v>
      </c>
      <c r="AT43">
        <v>3204</v>
      </c>
      <c r="AU43" t="s">
        <v>51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213</v>
      </c>
      <c r="G44" t="s">
        <v>73</v>
      </c>
      <c r="H44" s="3">
        <v>2925</v>
      </c>
      <c r="I44" s="3">
        <v>2925</v>
      </c>
      <c r="J44">
        <v>0</v>
      </c>
      <c r="K44" s="3">
        <v>3363.75</v>
      </c>
      <c r="L44">
        <v>372.5</v>
      </c>
      <c r="M44">
        <v>230.95</v>
      </c>
      <c r="N44" t="s">
        <v>70</v>
      </c>
      <c r="O44" t="s">
        <v>194</v>
      </c>
      <c r="P44" t="s">
        <v>194</v>
      </c>
      <c r="Q44" t="s">
        <v>194</v>
      </c>
      <c r="R44" t="s">
        <v>195</v>
      </c>
      <c r="S44" t="s">
        <v>195</v>
      </c>
      <c r="T44" t="s">
        <v>51</v>
      </c>
      <c r="U44">
        <v>9</v>
      </c>
      <c r="V44" t="s">
        <v>63</v>
      </c>
      <c r="W44" t="s">
        <v>77</v>
      </c>
      <c r="X44" s="4">
        <v>0</v>
      </c>
      <c r="Y44" t="s">
        <v>54</v>
      </c>
      <c r="Z44">
        <v>0</v>
      </c>
      <c r="AA44">
        <v>0</v>
      </c>
      <c r="AB44">
        <v>372.5</v>
      </c>
      <c r="AC44">
        <v>0</v>
      </c>
      <c r="AD44">
        <v>0</v>
      </c>
      <c r="AE44">
        <v>500</v>
      </c>
      <c r="AF44" t="s">
        <v>195</v>
      </c>
      <c r="AG44" t="s">
        <v>55</v>
      </c>
      <c r="AI44" t="s">
        <v>65</v>
      </c>
      <c r="AJ44" t="s">
        <v>65</v>
      </c>
      <c r="AK44" s="5">
        <v>46035.460555555554</v>
      </c>
      <c r="AO44" t="s">
        <v>195</v>
      </c>
      <c r="AP44">
        <v>0</v>
      </c>
      <c r="AR44" t="s">
        <v>195</v>
      </c>
      <c r="AS44" t="s">
        <v>195</v>
      </c>
      <c r="AT44">
        <v>3204</v>
      </c>
      <c r="AU44" t="s">
        <v>51</v>
      </c>
    </row>
    <row r="45" spans="1:47" x14ac:dyDescent="0.25">
      <c r="A45" t="s">
        <v>78</v>
      </c>
      <c r="B45" s="1">
        <v>38431</v>
      </c>
      <c r="C45" t="s">
        <v>48</v>
      </c>
      <c r="D45" t="s">
        <v>49</v>
      </c>
      <c r="E45" s="2">
        <v>46035</v>
      </c>
      <c r="F45" t="s">
        <v>214</v>
      </c>
      <c r="G45" t="s">
        <v>137</v>
      </c>
      <c r="H45" s="3">
        <v>1278.5</v>
      </c>
      <c r="I45" s="3">
        <v>1278.5</v>
      </c>
      <c r="J45">
        <v>0</v>
      </c>
      <c r="K45" s="3">
        <v>1278.5</v>
      </c>
      <c r="L45">
        <v>207.5</v>
      </c>
      <c r="M45">
        <v>92.13</v>
      </c>
      <c r="N45" t="s">
        <v>70</v>
      </c>
      <c r="O45" t="s">
        <v>194</v>
      </c>
      <c r="P45" t="s">
        <v>194</v>
      </c>
      <c r="Q45" t="s">
        <v>194</v>
      </c>
      <c r="R45" t="s">
        <v>195</v>
      </c>
      <c r="S45" t="s">
        <v>195</v>
      </c>
      <c r="T45" t="s">
        <v>51</v>
      </c>
      <c r="U45">
        <v>9</v>
      </c>
      <c r="V45" t="s">
        <v>63</v>
      </c>
      <c r="W45" t="s">
        <v>87</v>
      </c>
      <c r="X45" s="4">
        <v>0</v>
      </c>
      <c r="Y45" t="s">
        <v>57</v>
      </c>
      <c r="AK45" s="5"/>
    </row>
    <row r="46" spans="1:47" x14ac:dyDescent="0.25">
      <c r="A46" t="s">
        <v>58</v>
      </c>
      <c r="B46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t="s">
        <v>195</v>
      </c>
      <c r="I46" t="s">
        <v>55</v>
      </c>
      <c r="J46" t="s">
        <v>215</v>
      </c>
      <c r="K46" t="s">
        <v>65</v>
      </c>
      <c r="L46" t="s">
        <v>65</v>
      </c>
      <c r="M46" s="5">
        <v>46035.491793981484</v>
      </c>
      <c r="Q46" t="s">
        <v>195</v>
      </c>
      <c r="R46">
        <v>0</v>
      </c>
      <c r="T46" t="s">
        <v>195</v>
      </c>
      <c r="U46" t="s">
        <v>195</v>
      </c>
      <c r="V46">
        <v>4963</v>
      </c>
      <c r="W46" t="s">
        <v>51</v>
      </c>
      <c r="X46" s="4"/>
      <c r="AK46" s="5"/>
    </row>
    <row r="47" spans="1:47" x14ac:dyDescent="0.25">
      <c r="A47" t="s">
        <v>78</v>
      </c>
      <c r="B47" s="1">
        <v>38432</v>
      </c>
      <c r="C47" t="s">
        <v>48</v>
      </c>
      <c r="D47" t="s">
        <v>49</v>
      </c>
      <c r="E47" s="2">
        <v>46035</v>
      </c>
      <c r="F47" t="s">
        <v>214</v>
      </c>
      <c r="G47" t="s">
        <v>137</v>
      </c>
      <c r="H47" s="3">
        <v>2557</v>
      </c>
      <c r="I47" s="3">
        <v>2557</v>
      </c>
      <c r="J47">
        <v>0</v>
      </c>
      <c r="K47" s="3">
        <v>2557</v>
      </c>
      <c r="L47">
        <v>415</v>
      </c>
      <c r="M47">
        <v>184.26</v>
      </c>
      <c r="N47" t="s">
        <v>70</v>
      </c>
      <c r="O47" t="s">
        <v>194</v>
      </c>
      <c r="P47" t="s">
        <v>194</v>
      </c>
      <c r="Q47" t="s">
        <v>194</v>
      </c>
      <c r="R47" t="s">
        <v>195</v>
      </c>
      <c r="S47" t="s">
        <v>195</v>
      </c>
      <c r="T47" t="s">
        <v>51</v>
      </c>
      <c r="U47">
        <v>9</v>
      </c>
      <c r="V47" t="s">
        <v>63</v>
      </c>
      <c r="W47" t="s">
        <v>87</v>
      </c>
      <c r="X47" s="4">
        <v>0</v>
      </c>
      <c r="Y47" t="s">
        <v>57</v>
      </c>
    </row>
    <row r="48" spans="1:47" x14ac:dyDescent="0.25">
      <c r="A48" t="s">
        <v>58</v>
      </c>
      <c r="B48">
        <v>415</v>
      </c>
      <c r="C48">
        <v>0</v>
      </c>
      <c r="D48">
        <v>0</v>
      </c>
      <c r="E48">
        <v>0</v>
      </c>
      <c r="F48">
        <v>0</v>
      </c>
      <c r="G48">
        <v>100</v>
      </c>
      <c r="H48" t="s">
        <v>195</v>
      </c>
      <c r="I48" t="s">
        <v>55</v>
      </c>
      <c r="J48" t="s">
        <v>215</v>
      </c>
      <c r="K48" t="s">
        <v>65</v>
      </c>
      <c r="L48" t="s">
        <v>65</v>
      </c>
      <c r="M48" s="5">
        <v>46035.490428240744</v>
      </c>
      <c r="Q48" t="s">
        <v>195</v>
      </c>
      <c r="R48">
        <v>0</v>
      </c>
      <c r="T48" t="s">
        <v>195</v>
      </c>
      <c r="U48" t="s">
        <v>195</v>
      </c>
      <c r="V48">
        <v>4963</v>
      </c>
      <c r="W48" t="s">
        <v>51</v>
      </c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93</v>
      </c>
      <c r="G49" t="s">
        <v>94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>
        <v>488.88</v>
      </c>
      <c r="N49" t="s">
        <v>50</v>
      </c>
      <c r="O49" t="s">
        <v>194</v>
      </c>
      <c r="P49" t="s">
        <v>194</v>
      </c>
      <c r="Q49" t="s">
        <v>194</v>
      </c>
      <c r="R49" t="s">
        <v>195</v>
      </c>
      <c r="S49" t="s">
        <v>195</v>
      </c>
      <c r="T49" t="s">
        <v>51</v>
      </c>
      <c r="U49">
        <v>126</v>
      </c>
      <c r="V49" t="s">
        <v>52</v>
      </c>
      <c r="W49" t="s">
        <v>126</v>
      </c>
      <c r="X49" s="4">
        <v>0</v>
      </c>
      <c r="Y49" t="s">
        <v>57</v>
      </c>
      <c r="AK49" s="5"/>
    </row>
    <row r="50" spans="1:47" x14ac:dyDescent="0.25">
      <c r="A50" t="s">
        <v>58</v>
      </c>
      <c r="B50" s="3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t="s">
        <v>195</v>
      </c>
      <c r="I50" t="s">
        <v>55</v>
      </c>
      <c r="K50" t="s">
        <v>65</v>
      </c>
      <c r="L50" t="s">
        <v>65</v>
      </c>
      <c r="M50" s="5">
        <v>46035.629131944443</v>
      </c>
      <c r="Q50" t="s">
        <v>195</v>
      </c>
      <c r="R50">
        <v>0</v>
      </c>
      <c r="T50" t="s">
        <v>195</v>
      </c>
      <c r="U50" t="s">
        <v>195</v>
      </c>
      <c r="V50">
        <v>6379</v>
      </c>
      <c r="W50" t="s">
        <v>51</v>
      </c>
      <c r="X50" s="4"/>
    </row>
    <row r="51" spans="1:47" x14ac:dyDescent="0.25">
      <c r="A51" t="s">
        <v>69</v>
      </c>
      <c r="B51" s="1">
        <v>38434</v>
      </c>
      <c r="C51" t="s">
        <v>48</v>
      </c>
      <c r="D51" t="s">
        <v>49</v>
      </c>
      <c r="E51" s="2">
        <v>46035</v>
      </c>
      <c r="F51" t="s">
        <v>139</v>
      </c>
      <c r="G51" t="s">
        <v>72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5">
        <v>680.8</v>
      </c>
      <c r="N51" t="s">
        <v>66</v>
      </c>
      <c r="O51" t="s">
        <v>194</v>
      </c>
      <c r="P51" t="s">
        <v>194</v>
      </c>
      <c r="Q51" t="s">
        <v>194</v>
      </c>
      <c r="R51" t="s">
        <v>195</v>
      </c>
      <c r="S51" t="s">
        <v>195</v>
      </c>
      <c r="T51" t="s">
        <v>51</v>
      </c>
      <c r="U51">
        <v>83</v>
      </c>
      <c r="V51" t="s">
        <v>52</v>
      </c>
      <c r="W51">
        <v>0</v>
      </c>
      <c r="X51" s="4">
        <v>0</v>
      </c>
      <c r="Y51" t="s">
        <v>54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195</v>
      </c>
      <c r="AG51" t="s">
        <v>55</v>
      </c>
      <c r="AI51" t="s">
        <v>68</v>
      </c>
      <c r="AJ51" t="s">
        <v>65</v>
      </c>
      <c r="AK51" s="5">
        <v>46035.724131944444</v>
      </c>
      <c r="AO51" t="s">
        <v>195</v>
      </c>
      <c r="AP51">
        <v>0</v>
      </c>
      <c r="AR51" t="s">
        <v>195</v>
      </c>
      <c r="AS51" t="s">
        <v>195</v>
      </c>
      <c r="AT51">
        <v>5289</v>
      </c>
      <c r="AU51" t="s">
        <v>51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140</v>
      </c>
      <c r="G52" t="s">
        <v>73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>
        <v>876.2</v>
      </c>
      <c r="N52" t="s">
        <v>50</v>
      </c>
      <c r="O52" t="s">
        <v>194</v>
      </c>
      <c r="P52" t="s">
        <v>194</v>
      </c>
      <c r="Q52" t="s">
        <v>194</v>
      </c>
      <c r="R52" t="s">
        <v>195</v>
      </c>
      <c r="S52" t="s">
        <v>195</v>
      </c>
      <c r="T52" t="s">
        <v>51</v>
      </c>
      <c r="U52">
        <v>126</v>
      </c>
      <c r="V52" t="s">
        <v>52</v>
      </c>
      <c r="W52" t="s">
        <v>95</v>
      </c>
      <c r="X52" s="4">
        <v>0</v>
      </c>
      <c r="Y52" t="s">
        <v>54</v>
      </c>
      <c r="Z52">
        <v>0</v>
      </c>
      <c r="AA52">
        <v>0</v>
      </c>
      <c r="AB52">
        <v>0</v>
      </c>
      <c r="AC52">
        <v>0</v>
      </c>
      <c r="AD52" s="3">
        <v>1685</v>
      </c>
      <c r="AE52" s="3">
        <v>1000</v>
      </c>
      <c r="AF52" t="s">
        <v>195</v>
      </c>
      <c r="AG52" t="s">
        <v>55</v>
      </c>
      <c r="AI52" t="s">
        <v>56</v>
      </c>
      <c r="AJ52" t="s">
        <v>56</v>
      </c>
      <c r="AK52" s="5">
        <v>46035.861909722225</v>
      </c>
      <c r="AO52" t="s">
        <v>195</v>
      </c>
      <c r="AP52">
        <v>0</v>
      </c>
      <c r="AR52" t="s">
        <v>195</v>
      </c>
      <c r="AS52" t="s">
        <v>195</v>
      </c>
      <c r="AT52">
        <v>6130</v>
      </c>
      <c r="AU52" t="s">
        <v>51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193</v>
      </c>
      <c r="G53" t="s">
        <v>128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194</v>
      </c>
      <c r="P53" t="s">
        <v>194</v>
      </c>
      <c r="Q53" t="s">
        <v>194</v>
      </c>
      <c r="R53" t="s">
        <v>195</v>
      </c>
      <c r="S53" t="s">
        <v>195</v>
      </c>
      <c r="T53" t="s">
        <v>51</v>
      </c>
      <c r="U53">
        <v>126</v>
      </c>
      <c r="V53" t="s">
        <v>52</v>
      </c>
      <c r="W53" t="s">
        <v>53</v>
      </c>
      <c r="X53" s="4">
        <v>0</v>
      </c>
      <c r="Y53" t="s">
        <v>54</v>
      </c>
      <c r="Z53" s="3">
        <v>5860</v>
      </c>
      <c r="AA53">
        <v>0</v>
      </c>
      <c r="AB53">
        <v>0</v>
      </c>
      <c r="AC53">
        <v>0</v>
      </c>
      <c r="AD53">
        <v>0</v>
      </c>
      <c r="AE53" s="3">
        <v>10000</v>
      </c>
      <c r="AF53" t="s">
        <v>195</v>
      </c>
      <c r="AG53" t="s">
        <v>55</v>
      </c>
      <c r="AI53" t="s">
        <v>75</v>
      </c>
      <c r="AJ53" t="s">
        <v>65</v>
      </c>
      <c r="AK53" s="5">
        <v>46036.454861111109</v>
      </c>
      <c r="AO53" t="s">
        <v>195</v>
      </c>
      <c r="AP53">
        <v>0</v>
      </c>
      <c r="AR53" t="s">
        <v>195</v>
      </c>
      <c r="AS53" t="s">
        <v>195</v>
      </c>
      <c r="AT53">
        <v>6611</v>
      </c>
      <c r="AU53" t="s">
        <v>51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216</v>
      </c>
      <c r="G54" t="s">
        <v>76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>
        <v>667.84</v>
      </c>
      <c r="N54" t="s">
        <v>50</v>
      </c>
      <c r="O54" t="s">
        <v>194</v>
      </c>
      <c r="P54" t="s">
        <v>194</v>
      </c>
      <c r="Q54" t="s">
        <v>194</v>
      </c>
      <c r="R54" t="s">
        <v>195</v>
      </c>
      <c r="S54" t="s">
        <v>195</v>
      </c>
      <c r="T54" t="s">
        <v>51</v>
      </c>
      <c r="U54">
        <v>126</v>
      </c>
      <c r="V54" t="s">
        <v>52</v>
      </c>
      <c r="W54" t="s">
        <v>89</v>
      </c>
      <c r="X54" s="4">
        <v>0</v>
      </c>
      <c r="Y54" t="s">
        <v>57</v>
      </c>
    </row>
    <row r="55" spans="1:47" x14ac:dyDescent="0.25">
      <c r="A55" t="s">
        <v>58</v>
      </c>
      <c r="B55" s="3">
        <v>1983.5</v>
      </c>
      <c r="C55">
        <v>0</v>
      </c>
      <c r="D55">
        <v>0</v>
      </c>
      <c r="E55">
        <v>0</v>
      </c>
      <c r="F55">
        <v>0</v>
      </c>
      <c r="G55" s="3">
        <v>25000</v>
      </c>
      <c r="H55" t="s">
        <v>195</v>
      </c>
      <c r="I55" t="s">
        <v>55</v>
      </c>
      <c r="K55" t="s">
        <v>65</v>
      </c>
      <c r="L55" t="s">
        <v>65</v>
      </c>
      <c r="M55" s="5">
        <v>46037.328819444447</v>
      </c>
      <c r="Q55" t="s">
        <v>195</v>
      </c>
      <c r="R55">
        <v>0</v>
      </c>
      <c r="T55" t="s">
        <v>195</v>
      </c>
      <c r="U55" t="s">
        <v>195</v>
      </c>
      <c r="V55">
        <v>3366</v>
      </c>
      <c r="W55" t="s">
        <v>51</v>
      </c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80</v>
      </c>
      <c r="G56" t="s">
        <v>76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70</v>
      </c>
      <c r="O56" t="s">
        <v>194</v>
      </c>
      <c r="P56" t="s">
        <v>194</v>
      </c>
      <c r="Q56" t="s">
        <v>194</v>
      </c>
      <c r="R56" t="s">
        <v>195</v>
      </c>
      <c r="S56" t="s">
        <v>195</v>
      </c>
      <c r="T56" t="s">
        <v>51</v>
      </c>
      <c r="U56">
        <v>9</v>
      </c>
      <c r="V56" t="s">
        <v>63</v>
      </c>
      <c r="W56" t="s">
        <v>81</v>
      </c>
      <c r="X56" s="4">
        <v>0</v>
      </c>
      <c r="Y56" t="s">
        <v>54</v>
      </c>
      <c r="Z56">
        <v>710</v>
      </c>
      <c r="AA56">
        <v>0</v>
      </c>
      <c r="AB56" s="3">
        <v>2691</v>
      </c>
      <c r="AC56">
        <v>0</v>
      </c>
      <c r="AD56">
        <v>0</v>
      </c>
      <c r="AE56" s="3">
        <v>2000</v>
      </c>
      <c r="AF56" t="s">
        <v>195</v>
      </c>
      <c r="AG56" t="s">
        <v>55</v>
      </c>
      <c r="AH56" t="s">
        <v>82</v>
      </c>
      <c r="AI56" t="s">
        <v>75</v>
      </c>
      <c r="AJ56" t="s">
        <v>75</v>
      </c>
      <c r="AK56" s="5">
        <v>46037.309687499997</v>
      </c>
      <c r="AO56" t="s">
        <v>195</v>
      </c>
      <c r="AP56">
        <v>0</v>
      </c>
      <c r="AR56" t="s">
        <v>195</v>
      </c>
      <c r="AS56" t="s">
        <v>195</v>
      </c>
      <c r="AT56">
        <v>161</v>
      </c>
      <c r="AU56" t="s">
        <v>51</v>
      </c>
    </row>
    <row r="57" spans="1:47" x14ac:dyDescent="0.25">
      <c r="A57" t="s">
        <v>96</v>
      </c>
      <c r="B57" s="1">
        <v>38439</v>
      </c>
      <c r="C57" t="s">
        <v>48</v>
      </c>
      <c r="D57" t="s">
        <v>49</v>
      </c>
      <c r="E57" s="2">
        <v>46037</v>
      </c>
      <c r="F57" t="s">
        <v>217</v>
      </c>
      <c r="G57" t="s">
        <v>218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194</v>
      </c>
      <c r="P57" t="s">
        <v>194</v>
      </c>
      <c r="Q57" t="s">
        <v>194</v>
      </c>
      <c r="R57" t="s">
        <v>195</v>
      </c>
      <c r="S57" t="s">
        <v>195</v>
      </c>
      <c r="T57" t="s">
        <v>51</v>
      </c>
      <c r="U57">
        <v>126</v>
      </c>
      <c r="V57" t="s">
        <v>52</v>
      </c>
      <c r="W57" t="s">
        <v>87</v>
      </c>
      <c r="X57" s="4">
        <v>0</v>
      </c>
      <c r="Y57" t="s">
        <v>57</v>
      </c>
    </row>
    <row r="58" spans="1:47" x14ac:dyDescent="0.25">
      <c r="A58" t="s">
        <v>58</v>
      </c>
      <c r="B58" s="3">
        <v>4892</v>
      </c>
      <c r="C58">
        <v>0</v>
      </c>
      <c r="D58">
        <v>0</v>
      </c>
      <c r="E58" s="2">
        <v>0</v>
      </c>
      <c r="F58">
        <v>0</v>
      </c>
      <c r="G58" s="3">
        <v>3000</v>
      </c>
      <c r="H58" t="s">
        <v>195</v>
      </c>
      <c r="I58" t="s">
        <v>55</v>
      </c>
      <c r="J58" t="s">
        <v>107</v>
      </c>
      <c r="K58" t="s">
        <v>56</v>
      </c>
      <c r="L58" t="s">
        <v>56</v>
      </c>
      <c r="M58" s="5">
        <v>46037.491076388891</v>
      </c>
      <c r="Q58" t="s">
        <v>195</v>
      </c>
      <c r="R58">
        <v>0</v>
      </c>
      <c r="T58" t="s">
        <v>195</v>
      </c>
      <c r="U58" t="s">
        <v>195</v>
      </c>
      <c r="V58">
        <v>8571</v>
      </c>
      <c r="W58" t="s">
        <v>51</v>
      </c>
      <c r="X58" s="4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141</v>
      </c>
      <c r="G59" t="s">
        <v>73</v>
      </c>
      <c r="H59" s="3">
        <v>3600</v>
      </c>
      <c r="I59" s="3">
        <v>3600</v>
      </c>
      <c r="J59">
        <v>0</v>
      </c>
      <c r="K59" s="3">
        <v>4140</v>
      </c>
      <c r="L59">
        <v>439</v>
      </c>
      <c r="M59" s="5">
        <v>272.18</v>
      </c>
      <c r="N59" t="s">
        <v>50</v>
      </c>
      <c r="O59" t="s">
        <v>194</v>
      </c>
      <c r="P59" t="s">
        <v>194</v>
      </c>
      <c r="Q59" t="s">
        <v>194</v>
      </c>
      <c r="R59" t="s">
        <v>195</v>
      </c>
      <c r="S59" t="s">
        <v>195</v>
      </c>
      <c r="T59" t="s">
        <v>51</v>
      </c>
      <c r="U59">
        <v>126</v>
      </c>
      <c r="V59" t="s">
        <v>52</v>
      </c>
      <c r="W59" t="s">
        <v>77</v>
      </c>
      <c r="X59" s="4">
        <v>0</v>
      </c>
      <c r="Y59" t="s">
        <v>54</v>
      </c>
      <c r="Z59">
        <v>0</v>
      </c>
      <c r="AA59">
        <v>0</v>
      </c>
      <c r="AB59">
        <v>439</v>
      </c>
      <c r="AC59">
        <v>0</v>
      </c>
      <c r="AD59">
        <v>0</v>
      </c>
      <c r="AE59">
        <v>500</v>
      </c>
      <c r="AF59" t="s">
        <v>195</v>
      </c>
      <c r="AG59" t="s">
        <v>55</v>
      </c>
      <c r="AI59" t="s">
        <v>65</v>
      </c>
      <c r="AJ59" t="s">
        <v>65</v>
      </c>
      <c r="AK59" s="5">
        <v>46037.576493055552</v>
      </c>
      <c r="AO59" t="s">
        <v>195</v>
      </c>
      <c r="AP59">
        <v>0</v>
      </c>
      <c r="AR59" t="s">
        <v>195</v>
      </c>
      <c r="AS59" t="s">
        <v>195</v>
      </c>
      <c r="AT59">
        <v>7224</v>
      </c>
      <c r="AU59" t="s">
        <v>51</v>
      </c>
    </row>
    <row r="60" spans="1:47" x14ac:dyDescent="0.25">
      <c r="A60" t="s">
        <v>69</v>
      </c>
      <c r="B60" s="1">
        <v>38442</v>
      </c>
      <c r="C60" t="s">
        <v>48</v>
      </c>
      <c r="D60" t="s">
        <v>49</v>
      </c>
      <c r="E60" s="2">
        <v>46037</v>
      </c>
      <c r="F60" t="s">
        <v>142</v>
      </c>
      <c r="G60" t="s">
        <v>143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>
        <v>736.75</v>
      </c>
      <c r="N60" t="s">
        <v>66</v>
      </c>
      <c r="O60" t="s">
        <v>194</v>
      </c>
      <c r="P60" t="s">
        <v>194</v>
      </c>
      <c r="Q60" t="s">
        <v>194</v>
      </c>
      <c r="R60" t="s">
        <v>195</v>
      </c>
      <c r="S60" t="s">
        <v>195</v>
      </c>
      <c r="T60" t="s">
        <v>51</v>
      </c>
      <c r="U60">
        <v>83</v>
      </c>
      <c r="W60" t="s">
        <v>64</v>
      </c>
      <c r="X60" s="4">
        <v>0</v>
      </c>
      <c r="Y60" t="s">
        <v>54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195</v>
      </c>
      <c r="AG60" t="s">
        <v>55</v>
      </c>
      <c r="AH60" t="s">
        <v>82</v>
      </c>
      <c r="AI60" t="s">
        <v>68</v>
      </c>
      <c r="AJ60" t="s">
        <v>65</v>
      </c>
      <c r="AK60" s="5">
        <v>46038.333622685182</v>
      </c>
      <c r="AO60" t="s">
        <v>195</v>
      </c>
      <c r="AP60">
        <v>0</v>
      </c>
      <c r="AR60" t="s">
        <v>195</v>
      </c>
      <c r="AS60" t="s">
        <v>195</v>
      </c>
      <c r="AT60">
        <v>3465</v>
      </c>
      <c r="AU60" t="s">
        <v>51</v>
      </c>
    </row>
    <row r="61" spans="1:47" x14ac:dyDescent="0.25">
      <c r="A61" t="s">
        <v>78</v>
      </c>
      <c r="B61" s="1">
        <v>38443</v>
      </c>
      <c r="C61" t="s">
        <v>48</v>
      </c>
      <c r="D61" t="s">
        <v>49</v>
      </c>
      <c r="E61" s="2">
        <v>46037</v>
      </c>
      <c r="F61" t="s">
        <v>97</v>
      </c>
      <c r="G61" t="s">
        <v>76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>
        <v>310.07</v>
      </c>
      <c r="N61" t="s">
        <v>83</v>
      </c>
      <c r="O61" t="s">
        <v>194</v>
      </c>
      <c r="P61" t="s">
        <v>194</v>
      </c>
      <c r="Q61" t="s">
        <v>194</v>
      </c>
      <c r="R61" t="s">
        <v>195</v>
      </c>
      <c r="S61" t="s">
        <v>195</v>
      </c>
      <c r="T61" t="s">
        <v>51</v>
      </c>
      <c r="U61">
        <v>145</v>
      </c>
      <c r="W61" t="s">
        <v>98</v>
      </c>
      <c r="X61" s="4">
        <v>0</v>
      </c>
      <c r="Y61" t="s">
        <v>57</v>
      </c>
      <c r="AK61" s="5"/>
    </row>
    <row r="62" spans="1:47" x14ac:dyDescent="0.25">
      <c r="A62" t="s">
        <v>58</v>
      </c>
      <c r="B62" s="3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t="s">
        <v>195</v>
      </c>
      <c r="I62" t="s">
        <v>55</v>
      </c>
      <c r="J62" t="s">
        <v>99</v>
      </c>
      <c r="K62" t="s">
        <v>65</v>
      </c>
      <c r="L62" t="s">
        <v>65</v>
      </c>
      <c r="M62" s="5">
        <v>46037.664467592593</v>
      </c>
      <c r="Q62" t="s">
        <v>195</v>
      </c>
      <c r="R62">
        <v>0</v>
      </c>
      <c r="T62" t="s">
        <v>195</v>
      </c>
      <c r="U62" t="s">
        <v>195</v>
      </c>
      <c r="V62">
        <v>8241</v>
      </c>
      <c r="W62" t="s">
        <v>51</v>
      </c>
      <c r="X62" s="4"/>
    </row>
    <row r="63" spans="1:47" x14ac:dyDescent="0.25">
      <c r="A63" t="s">
        <v>78</v>
      </c>
      <c r="B63" s="1">
        <v>38444</v>
      </c>
      <c r="C63" t="s">
        <v>48</v>
      </c>
      <c r="D63" t="s">
        <v>49</v>
      </c>
      <c r="E63" s="2">
        <v>46037</v>
      </c>
      <c r="F63" t="s">
        <v>219</v>
      </c>
      <c r="G63" t="s">
        <v>59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5">
        <v>1307.3499999999999</v>
      </c>
      <c r="N63" t="s">
        <v>83</v>
      </c>
      <c r="O63" t="s">
        <v>194</v>
      </c>
      <c r="P63" t="s">
        <v>194</v>
      </c>
      <c r="Q63" t="s">
        <v>194</v>
      </c>
      <c r="R63" t="s">
        <v>195</v>
      </c>
      <c r="S63" t="s">
        <v>195</v>
      </c>
      <c r="T63" t="s">
        <v>51</v>
      </c>
      <c r="U63">
        <v>145</v>
      </c>
      <c r="V63" t="s">
        <v>100</v>
      </c>
      <c r="W63" t="s">
        <v>220</v>
      </c>
      <c r="X63" s="4">
        <v>0</v>
      </c>
      <c r="Y63" t="s">
        <v>54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195</v>
      </c>
      <c r="AG63" t="s">
        <v>55</v>
      </c>
      <c r="AI63" t="s">
        <v>65</v>
      </c>
      <c r="AJ63" t="s">
        <v>65</v>
      </c>
      <c r="AK63" s="5">
        <v>46037.702175925922</v>
      </c>
      <c r="AO63" t="s">
        <v>195</v>
      </c>
      <c r="AP63">
        <v>0</v>
      </c>
      <c r="AR63" t="s">
        <v>195</v>
      </c>
      <c r="AS63" t="s">
        <v>195</v>
      </c>
      <c r="AT63">
        <v>1301</v>
      </c>
      <c r="AU63" t="s">
        <v>51</v>
      </c>
    </row>
    <row r="64" spans="1:47" x14ac:dyDescent="0.25">
      <c r="A64" t="s">
        <v>78</v>
      </c>
      <c r="B64" s="1">
        <v>38445</v>
      </c>
      <c r="C64" t="s">
        <v>48</v>
      </c>
      <c r="D64" t="s">
        <v>49</v>
      </c>
      <c r="E64" s="2">
        <v>46037</v>
      </c>
      <c r="F64" t="s">
        <v>219</v>
      </c>
      <c r="G64" t="s">
        <v>59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83</v>
      </c>
      <c r="O64" t="s">
        <v>194</v>
      </c>
      <c r="P64" t="s">
        <v>194</v>
      </c>
      <c r="Q64" t="s">
        <v>194</v>
      </c>
      <c r="R64" t="s">
        <v>195</v>
      </c>
      <c r="S64" t="s">
        <v>195</v>
      </c>
      <c r="T64" t="s">
        <v>51</v>
      </c>
      <c r="U64">
        <v>145</v>
      </c>
      <c r="V64" t="s">
        <v>100</v>
      </c>
      <c r="W64" t="s">
        <v>220</v>
      </c>
      <c r="X64" s="4">
        <v>0</v>
      </c>
      <c r="Y64" t="s">
        <v>54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195</v>
      </c>
      <c r="AG64" t="s">
        <v>55</v>
      </c>
      <c r="AI64" t="s">
        <v>65</v>
      </c>
      <c r="AJ64" t="s">
        <v>65</v>
      </c>
      <c r="AK64" s="5">
        <v>46037.702291666668</v>
      </c>
      <c r="AO64" t="s">
        <v>195</v>
      </c>
      <c r="AP64">
        <v>0</v>
      </c>
      <c r="AR64" t="s">
        <v>195</v>
      </c>
      <c r="AS64" t="s">
        <v>195</v>
      </c>
      <c r="AT64">
        <v>1301</v>
      </c>
      <c r="AU64" t="s">
        <v>51</v>
      </c>
    </row>
    <row r="65" spans="1:47" x14ac:dyDescent="0.25">
      <c r="A65" t="s">
        <v>69</v>
      </c>
      <c r="B65" s="1">
        <v>38446</v>
      </c>
      <c r="C65" t="s">
        <v>48</v>
      </c>
      <c r="D65" t="s">
        <v>49</v>
      </c>
      <c r="E65" s="2">
        <v>46037</v>
      </c>
      <c r="F65" t="s">
        <v>219</v>
      </c>
      <c r="G65" t="s">
        <v>59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83</v>
      </c>
      <c r="O65" t="s">
        <v>194</v>
      </c>
      <c r="P65" t="s">
        <v>194</v>
      </c>
      <c r="Q65" t="s">
        <v>194</v>
      </c>
      <c r="R65" t="s">
        <v>195</v>
      </c>
      <c r="S65" t="s">
        <v>195</v>
      </c>
      <c r="T65" t="s">
        <v>51</v>
      </c>
      <c r="U65">
        <v>145</v>
      </c>
      <c r="V65" t="s">
        <v>100</v>
      </c>
      <c r="W65" t="s">
        <v>220</v>
      </c>
      <c r="X65" s="4">
        <v>0</v>
      </c>
      <c r="Y65" t="s">
        <v>54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195</v>
      </c>
      <c r="AG65" t="s">
        <v>55</v>
      </c>
      <c r="AI65" t="s">
        <v>65</v>
      </c>
      <c r="AJ65" t="s">
        <v>65</v>
      </c>
      <c r="AK65" s="5">
        <v>46037.702465277776</v>
      </c>
      <c r="AO65" t="s">
        <v>195</v>
      </c>
      <c r="AP65">
        <v>0</v>
      </c>
      <c r="AR65" t="s">
        <v>195</v>
      </c>
      <c r="AS65" t="s">
        <v>195</v>
      </c>
      <c r="AT65">
        <v>1301</v>
      </c>
      <c r="AU65" t="s">
        <v>51</v>
      </c>
    </row>
    <row r="66" spans="1:47" x14ac:dyDescent="0.25">
      <c r="A66" t="s">
        <v>78</v>
      </c>
      <c r="B66" s="1">
        <v>38447</v>
      </c>
      <c r="C66" t="s">
        <v>48</v>
      </c>
      <c r="D66" t="s">
        <v>49</v>
      </c>
      <c r="E66" s="2">
        <v>46037</v>
      </c>
      <c r="F66" t="s">
        <v>219</v>
      </c>
      <c r="G66" t="s">
        <v>59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5">
        <v>2287.87</v>
      </c>
      <c r="N66" t="s">
        <v>83</v>
      </c>
      <c r="O66" t="s">
        <v>194</v>
      </c>
      <c r="P66" t="s">
        <v>194</v>
      </c>
      <c r="Q66" t="s">
        <v>194</v>
      </c>
      <c r="R66" t="s">
        <v>195</v>
      </c>
      <c r="S66" t="s">
        <v>195</v>
      </c>
      <c r="T66" t="s">
        <v>51</v>
      </c>
      <c r="U66">
        <v>145</v>
      </c>
      <c r="V66" t="s">
        <v>100</v>
      </c>
      <c r="W66" t="s">
        <v>220</v>
      </c>
      <c r="X66" s="4">
        <v>0</v>
      </c>
      <c r="Y66" t="s">
        <v>54</v>
      </c>
      <c r="Z66">
        <v>0</v>
      </c>
      <c r="AA66">
        <v>0</v>
      </c>
      <c r="AB66">
        <v>0</v>
      </c>
      <c r="AC66">
        <v>0</v>
      </c>
      <c r="AD66" s="3">
        <v>4867.8</v>
      </c>
      <c r="AE66" s="3">
        <v>4200</v>
      </c>
      <c r="AF66" t="s">
        <v>195</v>
      </c>
      <c r="AG66" t="s">
        <v>55</v>
      </c>
      <c r="AI66" t="s">
        <v>65</v>
      </c>
      <c r="AJ66" t="s">
        <v>65</v>
      </c>
      <c r="AK66" s="5">
        <v>46037.702615740738</v>
      </c>
      <c r="AO66" t="s">
        <v>195</v>
      </c>
      <c r="AP66">
        <v>0</v>
      </c>
      <c r="AR66" t="s">
        <v>195</v>
      </c>
      <c r="AS66" t="s">
        <v>195</v>
      </c>
      <c r="AT66">
        <v>1301</v>
      </c>
      <c r="AU66" t="s">
        <v>51</v>
      </c>
    </row>
    <row r="67" spans="1:47" x14ac:dyDescent="0.25">
      <c r="A67" t="s">
        <v>78</v>
      </c>
      <c r="B67" s="1">
        <v>38448</v>
      </c>
      <c r="C67" t="s">
        <v>48</v>
      </c>
      <c r="D67" t="s">
        <v>49</v>
      </c>
      <c r="E67" s="2">
        <v>46037</v>
      </c>
      <c r="F67" t="s">
        <v>219</v>
      </c>
      <c r="G67" t="s">
        <v>59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83</v>
      </c>
      <c r="O67" t="s">
        <v>194</v>
      </c>
      <c r="P67" t="s">
        <v>194</v>
      </c>
      <c r="Q67" t="s">
        <v>194</v>
      </c>
      <c r="R67" t="s">
        <v>195</v>
      </c>
      <c r="S67" t="s">
        <v>195</v>
      </c>
      <c r="T67" t="s">
        <v>51</v>
      </c>
      <c r="U67">
        <v>145</v>
      </c>
      <c r="V67" t="s">
        <v>100</v>
      </c>
      <c r="W67" t="s">
        <v>220</v>
      </c>
      <c r="X67" s="4">
        <v>0</v>
      </c>
      <c r="Y67" t="s">
        <v>54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195</v>
      </c>
      <c r="AG67" t="s">
        <v>55</v>
      </c>
      <c r="AI67" t="s">
        <v>65</v>
      </c>
      <c r="AJ67" t="s">
        <v>65</v>
      </c>
      <c r="AK67" s="5">
        <v>46037.702766203707</v>
      </c>
      <c r="AO67" t="s">
        <v>195</v>
      </c>
      <c r="AP67">
        <v>0</v>
      </c>
      <c r="AR67" t="s">
        <v>195</v>
      </c>
      <c r="AS67" t="s">
        <v>195</v>
      </c>
      <c r="AT67">
        <v>1301</v>
      </c>
      <c r="AU67" t="s">
        <v>51</v>
      </c>
    </row>
    <row r="68" spans="1:47" x14ac:dyDescent="0.25">
      <c r="A68" t="s">
        <v>78</v>
      </c>
      <c r="B68" s="1">
        <v>38449</v>
      </c>
      <c r="C68" t="s">
        <v>48</v>
      </c>
      <c r="D68" t="s">
        <v>49</v>
      </c>
      <c r="E68" s="2">
        <v>46037</v>
      </c>
      <c r="F68" t="s">
        <v>219</v>
      </c>
      <c r="G68" t="s">
        <v>59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83</v>
      </c>
      <c r="O68" t="s">
        <v>194</v>
      </c>
      <c r="P68" t="s">
        <v>194</v>
      </c>
      <c r="Q68" t="s">
        <v>194</v>
      </c>
      <c r="R68" t="s">
        <v>195</v>
      </c>
      <c r="S68" t="s">
        <v>195</v>
      </c>
      <c r="T68" t="s">
        <v>51</v>
      </c>
      <c r="U68">
        <v>145</v>
      </c>
      <c r="V68" t="s">
        <v>100</v>
      </c>
      <c r="W68" t="s">
        <v>220</v>
      </c>
      <c r="X68" s="4">
        <v>0</v>
      </c>
      <c r="Y68" t="s">
        <v>54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195</v>
      </c>
      <c r="AG68" t="s">
        <v>55</v>
      </c>
      <c r="AI68" t="s">
        <v>65</v>
      </c>
      <c r="AJ68" t="s">
        <v>65</v>
      </c>
      <c r="AK68" s="5">
        <v>46037.702893518515</v>
      </c>
      <c r="AO68" t="s">
        <v>195</v>
      </c>
      <c r="AP68">
        <v>0</v>
      </c>
      <c r="AR68" t="s">
        <v>195</v>
      </c>
      <c r="AS68" t="s">
        <v>195</v>
      </c>
      <c r="AT68">
        <v>1301</v>
      </c>
      <c r="AU68" t="s">
        <v>51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204</v>
      </c>
      <c r="G69" t="s">
        <v>73</v>
      </c>
      <c r="H69" s="3">
        <v>2105</v>
      </c>
      <c r="I69" s="3">
        <v>2105</v>
      </c>
      <c r="J69">
        <v>0</v>
      </c>
      <c r="K69" s="3">
        <v>2420.75</v>
      </c>
      <c r="L69">
        <v>473</v>
      </c>
      <c r="M69">
        <v>173.59</v>
      </c>
      <c r="N69" t="s">
        <v>70</v>
      </c>
      <c r="O69" t="s">
        <v>194</v>
      </c>
      <c r="P69" t="s">
        <v>194</v>
      </c>
      <c r="Q69" t="s">
        <v>194</v>
      </c>
      <c r="R69" t="s">
        <v>195</v>
      </c>
      <c r="S69" t="s">
        <v>195</v>
      </c>
      <c r="T69" t="s">
        <v>51</v>
      </c>
      <c r="U69">
        <v>9</v>
      </c>
      <c r="V69" t="s">
        <v>63</v>
      </c>
      <c r="W69" t="s">
        <v>74</v>
      </c>
      <c r="X69" s="4">
        <v>0</v>
      </c>
      <c r="Y69" t="s">
        <v>57</v>
      </c>
      <c r="AK69" s="5"/>
    </row>
    <row r="70" spans="1:47" x14ac:dyDescent="0.25">
      <c r="A70" t="s">
        <v>58</v>
      </c>
      <c r="B70">
        <v>473</v>
      </c>
      <c r="C70">
        <v>0</v>
      </c>
      <c r="D70">
        <v>0</v>
      </c>
      <c r="E70">
        <v>0</v>
      </c>
      <c r="F70">
        <v>0</v>
      </c>
      <c r="G70">
        <v>500</v>
      </c>
      <c r="H70" t="s">
        <v>195</v>
      </c>
      <c r="I70" t="s">
        <v>205</v>
      </c>
      <c r="K70" t="s">
        <v>65</v>
      </c>
      <c r="L70" t="s">
        <v>65</v>
      </c>
      <c r="M70" s="5">
        <v>46041.431597222225</v>
      </c>
      <c r="Q70" t="s">
        <v>195</v>
      </c>
      <c r="R70">
        <v>0</v>
      </c>
      <c r="T70" t="s">
        <v>195</v>
      </c>
      <c r="U70" t="s">
        <v>195</v>
      </c>
      <c r="V70">
        <v>2291</v>
      </c>
      <c r="W70" t="s">
        <v>51</v>
      </c>
      <c r="X70" s="4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t="s">
        <v>187</v>
      </c>
      <c r="G71" t="s">
        <v>73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194</v>
      </c>
      <c r="P71" t="s">
        <v>194</v>
      </c>
      <c r="Q71" t="s">
        <v>194</v>
      </c>
      <c r="R71" t="s">
        <v>195</v>
      </c>
      <c r="S71" t="s">
        <v>195</v>
      </c>
      <c r="T71" t="s">
        <v>51</v>
      </c>
      <c r="U71">
        <v>126</v>
      </c>
      <c r="V71" t="s">
        <v>52</v>
      </c>
      <c r="W71" t="s">
        <v>77</v>
      </c>
      <c r="X71" s="4">
        <v>0</v>
      </c>
      <c r="Y71" t="s">
        <v>57</v>
      </c>
    </row>
    <row r="72" spans="1:47" x14ac:dyDescent="0.25">
      <c r="A72" t="s">
        <v>58</v>
      </c>
      <c r="B72">
        <v>0</v>
      </c>
      <c r="C72">
        <v>0</v>
      </c>
      <c r="D72" s="3">
        <v>5077.5</v>
      </c>
      <c r="E72">
        <v>0</v>
      </c>
      <c r="F72">
        <v>0</v>
      </c>
      <c r="G72" s="3">
        <v>2500</v>
      </c>
      <c r="H72" t="s">
        <v>195</v>
      </c>
      <c r="I72" t="s">
        <v>55</v>
      </c>
      <c r="J72" t="s">
        <v>101</v>
      </c>
      <c r="K72" t="s">
        <v>56</v>
      </c>
      <c r="L72" t="s">
        <v>56</v>
      </c>
      <c r="M72" s="5">
        <v>46038.656400462962</v>
      </c>
      <c r="Q72" t="s">
        <v>195</v>
      </c>
      <c r="R72">
        <v>0</v>
      </c>
      <c r="T72" t="s">
        <v>195</v>
      </c>
      <c r="U72" t="s">
        <v>195</v>
      </c>
      <c r="V72">
        <v>8478</v>
      </c>
      <c r="W72" t="s">
        <v>51</v>
      </c>
      <c r="X72" s="4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187</v>
      </c>
      <c r="G73" t="s">
        <v>73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194</v>
      </c>
      <c r="P73" t="s">
        <v>194</v>
      </c>
      <c r="Q73" t="s">
        <v>194</v>
      </c>
      <c r="R73" t="s">
        <v>195</v>
      </c>
      <c r="S73" t="s">
        <v>195</v>
      </c>
      <c r="T73" t="s">
        <v>51</v>
      </c>
      <c r="U73">
        <v>126</v>
      </c>
      <c r="V73" t="s">
        <v>52</v>
      </c>
      <c r="W73" t="s">
        <v>77</v>
      </c>
      <c r="X73" s="4">
        <v>0</v>
      </c>
      <c r="Y73" t="s">
        <v>57</v>
      </c>
    </row>
    <row r="74" spans="1:47" x14ac:dyDescent="0.25">
      <c r="A74" t="s">
        <v>58</v>
      </c>
      <c r="B74">
        <v>0</v>
      </c>
      <c r="C74">
        <v>0</v>
      </c>
      <c r="D74" s="3">
        <v>5077.5</v>
      </c>
      <c r="E74">
        <v>0</v>
      </c>
      <c r="F74">
        <v>0</v>
      </c>
      <c r="G74" s="3">
        <v>2500</v>
      </c>
      <c r="H74" t="s">
        <v>195</v>
      </c>
      <c r="I74" t="s">
        <v>55</v>
      </c>
      <c r="J74" t="s">
        <v>101</v>
      </c>
      <c r="K74" t="s">
        <v>56</v>
      </c>
      <c r="L74" t="s">
        <v>56</v>
      </c>
      <c r="M74" s="5">
        <v>46038.658368055556</v>
      </c>
      <c r="Q74" t="s">
        <v>195</v>
      </c>
      <c r="R74">
        <v>0</v>
      </c>
      <c r="T74" t="s">
        <v>195</v>
      </c>
      <c r="U74" t="s">
        <v>195</v>
      </c>
      <c r="V74">
        <v>8478</v>
      </c>
      <c r="W74" t="s">
        <v>51</v>
      </c>
      <c r="X74" s="4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187</v>
      </c>
      <c r="G75" t="s">
        <v>73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194</v>
      </c>
      <c r="P75" t="s">
        <v>194</v>
      </c>
      <c r="Q75" t="s">
        <v>194</v>
      </c>
      <c r="R75" t="s">
        <v>195</v>
      </c>
      <c r="S75" t="s">
        <v>195</v>
      </c>
      <c r="T75" t="s">
        <v>51</v>
      </c>
      <c r="U75">
        <v>126</v>
      </c>
      <c r="V75" t="s">
        <v>52</v>
      </c>
      <c r="W75" t="s">
        <v>77</v>
      </c>
      <c r="X75" s="4">
        <v>0</v>
      </c>
      <c r="Y75" t="s">
        <v>57</v>
      </c>
    </row>
    <row r="76" spans="1:47" x14ac:dyDescent="0.25">
      <c r="A76" t="s">
        <v>58</v>
      </c>
      <c r="B76">
        <v>0</v>
      </c>
      <c r="C76">
        <v>0</v>
      </c>
      <c r="D76" s="3">
        <v>5077.5</v>
      </c>
      <c r="E76">
        <v>0</v>
      </c>
      <c r="F76">
        <v>0</v>
      </c>
      <c r="G76" s="3">
        <v>2500</v>
      </c>
      <c r="H76" t="s">
        <v>195</v>
      </c>
      <c r="I76" t="s">
        <v>55</v>
      </c>
      <c r="J76" t="s">
        <v>101</v>
      </c>
      <c r="K76" t="s">
        <v>56</v>
      </c>
      <c r="L76" t="s">
        <v>56</v>
      </c>
      <c r="M76" s="5">
        <v>46038.659675925926</v>
      </c>
      <c r="Q76" t="s">
        <v>195</v>
      </c>
      <c r="R76">
        <v>0</v>
      </c>
      <c r="T76" t="s">
        <v>195</v>
      </c>
      <c r="U76" t="s">
        <v>195</v>
      </c>
      <c r="V76">
        <v>8478</v>
      </c>
      <c r="W76" t="s">
        <v>51</v>
      </c>
      <c r="X76" s="4"/>
    </row>
    <row r="77" spans="1:47" x14ac:dyDescent="0.25">
      <c r="A77" t="s">
        <v>47</v>
      </c>
      <c r="B77" s="1">
        <v>38454</v>
      </c>
      <c r="C77" t="s">
        <v>48</v>
      </c>
      <c r="D77" t="s">
        <v>49</v>
      </c>
      <c r="E77" s="2">
        <v>46038</v>
      </c>
      <c r="F77" t="s">
        <v>187</v>
      </c>
      <c r="G77" t="s">
        <v>73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194</v>
      </c>
      <c r="P77" t="s">
        <v>194</v>
      </c>
      <c r="Q77" t="s">
        <v>194</v>
      </c>
      <c r="R77" t="s">
        <v>195</v>
      </c>
      <c r="S77" t="s">
        <v>195</v>
      </c>
      <c r="T77" t="s">
        <v>51</v>
      </c>
      <c r="U77">
        <v>126</v>
      </c>
      <c r="V77" t="s">
        <v>52</v>
      </c>
      <c r="W77" t="s">
        <v>77</v>
      </c>
      <c r="X77" s="4">
        <v>0</v>
      </c>
      <c r="Y77" t="s">
        <v>57</v>
      </c>
    </row>
    <row r="78" spans="1:47" x14ac:dyDescent="0.25">
      <c r="A78" t="s">
        <v>58</v>
      </c>
      <c r="B78">
        <v>0</v>
      </c>
      <c r="C78">
        <v>0</v>
      </c>
      <c r="D78" s="3">
        <v>5077.5</v>
      </c>
      <c r="E78">
        <v>0</v>
      </c>
      <c r="F78">
        <v>0</v>
      </c>
      <c r="G78" s="3">
        <v>2500</v>
      </c>
      <c r="H78" t="s">
        <v>195</v>
      </c>
      <c r="I78" t="s">
        <v>55</v>
      </c>
      <c r="J78" t="s">
        <v>101</v>
      </c>
      <c r="K78" t="s">
        <v>56</v>
      </c>
      <c r="L78" t="s">
        <v>56</v>
      </c>
      <c r="M78" s="5">
        <v>46038.661157407405</v>
      </c>
      <c r="Q78" t="s">
        <v>195</v>
      </c>
      <c r="R78">
        <v>0</v>
      </c>
      <c r="T78" t="s">
        <v>195</v>
      </c>
      <c r="U78" t="s">
        <v>195</v>
      </c>
      <c r="V78">
        <v>8478</v>
      </c>
      <c r="W78" t="s">
        <v>51</v>
      </c>
      <c r="X78" s="4"/>
    </row>
    <row r="79" spans="1:47" x14ac:dyDescent="0.25">
      <c r="A79" t="s">
        <v>78</v>
      </c>
      <c r="B79" s="1">
        <v>38455</v>
      </c>
      <c r="C79" t="s">
        <v>48</v>
      </c>
      <c r="D79" t="s">
        <v>49</v>
      </c>
      <c r="E79" s="2">
        <v>46041</v>
      </c>
      <c r="F79" t="s">
        <v>97</v>
      </c>
      <c r="G79" t="s">
        <v>76</v>
      </c>
      <c r="H79" s="3">
        <v>1962.5</v>
      </c>
      <c r="I79" s="3">
        <v>1962.5</v>
      </c>
      <c r="J79">
        <v>0</v>
      </c>
      <c r="K79" s="3">
        <v>1962.5</v>
      </c>
      <c r="L79">
        <v>525</v>
      </c>
      <c r="M79">
        <v>152.25</v>
      </c>
      <c r="N79" t="s">
        <v>83</v>
      </c>
      <c r="O79" t="s">
        <v>194</v>
      </c>
      <c r="P79" t="s">
        <v>194</v>
      </c>
      <c r="Q79" t="s">
        <v>194</v>
      </c>
      <c r="R79" t="s">
        <v>195</v>
      </c>
      <c r="S79" t="s">
        <v>195</v>
      </c>
      <c r="T79" t="s">
        <v>51</v>
      </c>
      <c r="U79">
        <v>145</v>
      </c>
      <c r="W79" t="s">
        <v>98</v>
      </c>
      <c r="X79" s="4">
        <v>0</v>
      </c>
      <c r="Y79" t="s">
        <v>57</v>
      </c>
    </row>
    <row r="80" spans="1:47" x14ac:dyDescent="0.25">
      <c r="A80" t="s">
        <v>58</v>
      </c>
      <c r="B80">
        <v>525</v>
      </c>
      <c r="C80">
        <v>0</v>
      </c>
      <c r="D80">
        <v>0</v>
      </c>
      <c r="E80">
        <v>0</v>
      </c>
      <c r="F80">
        <v>0</v>
      </c>
      <c r="G80" s="3">
        <v>1250</v>
      </c>
      <c r="H80" t="s">
        <v>195</v>
      </c>
      <c r="I80" t="s">
        <v>55</v>
      </c>
      <c r="J80" t="s">
        <v>99</v>
      </c>
      <c r="K80" t="s">
        <v>65</v>
      </c>
      <c r="L80" t="s">
        <v>65</v>
      </c>
      <c r="M80" s="5">
        <v>46041.456805555557</v>
      </c>
      <c r="Q80" t="s">
        <v>195</v>
      </c>
      <c r="R80">
        <v>0</v>
      </c>
      <c r="T80" t="s">
        <v>195</v>
      </c>
      <c r="U80" t="s">
        <v>195</v>
      </c>
      <c r="V80">
        <v>8241</v>
      </c>
      <c r="W80" t="s">
        <v>51</v>
      </c>
      <c r="X80" s="4"/>
    </row>
    <row r="81" spans="1:47" x14ac:dyDescent="0.25">
      <c r="A81" t="s">
        <v>78</v>
      </c>
      <c r="B81" s="1">
        <v>38456</v>
      </c>
      <c r="C81" t="s">
        <v>48</v>
      </c>
      <c r="D81" t="s">
        <v>49</v>
      </c>
      <c r="E81" s="2">
        <v>46041</v>
      </c>
      <c r="F81" t="s">
        <v>97</v>
      </c>
      <c r="G81" t="s">
        <v>76</v>
      </c>
      <c r="H81" s="3">
        <v>1962.5</v>
      </c>
      <c r="I81" s="3">
        <v>1962.5</v>
      </c>
      <c r="J81">
        <v>0</v>
      </c>
      <c r="K81" s="3">
        <v>1962.5</v>
      </c>
      <c r="L81">
        <v>525</v>
      </c>
      <c r="M81">
        <v>152.25</v>
      </c>
      <c r="N81" t="s">
        <v>83</v>
      </c>
      <c r="O81" t="s">
        <v>194</v>
      </c>
      <c r="P81" t="s">
        <v>194</v>
      </c>
      <c r="Q81" t="s">
        <v>194</v>
      </c>
      <c r="R81" t="s">
        <v>195</v>
      </c>
      <c r="S81" t="s">
        <v>195</v>
      </c>
      <c r="T81" t="s">
        <v>51</v>
      </c>
      <c r="U81">
        <v>145</v>
      </c>
      <c r="W81" t="s">
        <v>98</v>
      </c>
      <c r="X81" s="4">
        <v>0</v>
      </c>
      <c r="Y81" t="s">
        <v>57</v>
      </c>
    </row>
    <row r="82" spans="1:47" x14ac:dyDescent="0.25">
      <c r="A82" t="s">
        <v>58</v>
      </c>
      <c r="B82">
        <v>525</v>
      </c>
      <c r="C82">
        <v>0</v>
      </c>
      <c r="D82">
        <v>0</v>
      </c>
      <c r="E82">
        <v>0</v>
      </c>
      <c r="F82">
        <v>0</v>
      </c>
      <c r="G82" s="3">
        <v>1250</v>
      </c>
      <c r="H82" t="s">
        <v>195</v>
      </c>
      <c r="I82" t="s">
        <v>55</v>
      </c>
      <c r="J82" t="s">
        <v>99</v>
      </c>
      <c r="K82" t="s">
        <v>65</v>
      </c>
      <c r="L82" t="s">
        <v>65</v>
      </c>
      <c r="M82" s="5">
        <v>46041.456990740742</v>
      </c>
      <c r="Q82" t="s">
        <v>195</v>
      </c>
      <c r="R82">
        <v>0</v>
      </c>
      <c r="T82" t="s">
        <v>195</v>
      </c>
      <c r="U82" t="s">
        <v>195</v>
      </c>
      <c r="V82">
        <v>8241</v>
      </c>
      <c r="W82" t="s">
        <v>51</v>
      </c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102</v>
      </c>
      <c r="G83" t="s">
        <v>59</v>
      </c>
      <c r="H83">
        <v>333</v>
      </c>
      <c r="I83">
        <v>333</v>
      </c>
      <c r="J83">
        <v>0</v>
      </c>
      <c r="K83">
        <v>382.95</v>
      </c>
      <c r="L83">
        <v>83.4</v>
      </c>
      <c r="M83">
        <v>29.19</v>
      </c>
      <c r="N83" t="s">
        <v>70</v>
      </c>
      <c r="O83" t="s">
        <v>194</v>
      </c>
      <c r="P83" t="s">
        <v>194</v>
      </c>
      <c r="Q83" t="s">
        <v>194</v>
      </c>
      <c r="R83" t="s">
        <v>195</v>
      </c>
      <c r="S83" t="s">
        <v>195</v>
      </c>
      <c r="T83" t="s">
        <v>51</v>
      </c>
      <c r="U83">
        <v>9</v>
      </c>
      <c r="V83" t="s">
        <v>63</v>
      </c>
      <c r="W83" t="s">
        <v>53</v>
      </c>
      <c r="X83" s="4">
        <v>0</v>
      </c>
      <c r="Y83" t="s">
        <v>54</v>
      </c>
      <c r="Z83">
        <v>83.4</v>
      </c>
      <c r="AA83">
        <v>0</v>
      </c>
      <c r="AB83">
        <v>0</v>
      </c>
      <c r="AC83">
        <v>0</v>
      </c>
      <c r="AD83">
        <v>0</v>
      </c>
      <c r="AE83">
        <v>300</v>
      </c>
      <c r="AF83" t="s">
        <v>195</v>
      </c>
      <c r="AG83" t="s">
        <v>55</v>
      </c>
      <c r="AI83" t="s">
        <v>65</v>
      </c>
      <c r="AJ83" t="s">
        <v>65</v>
      </c>
      <c r="AK83" s="5">
        <v>46041.456504629627</v>
      </c>
      <c r="AO83" t="s">
        <v>195</v>
      </c>
      <c r="AP83">
        <v>0</v>
      </c>
      <c r="AR83" t="s">
        <v>195</v>
      </c>
      <c r="AS83" t="s">
        <v>195</v>
      </c>
      <c r="AT83">
        <v>1009</v>
      </c>
      <c r="AU83" t="s">
        <v>51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102</v>
      </c>
      <c r="G84" t="s">
        <v>59</v>
      </c>
      <c r="H84">
        <v>333</v>
      </c>
      <c r="I84">
        <v>333</v>
      </c>
      <c r="J84">
        <v>0</v>
      </c>
      <c r="K84">
        <v>382.95</v>
      </c>
      <c r="L84">
        <v>83.4</v>
      </c>
      <c r="M84">
        <v>29.19</v>
      </c>
      <c r="N84" t="s">
        <v>70</v>
      </c>
      <c r="O84" t="s">
        <v>194</v>
      </c>
      <c r="P84" t="s">
        <v>194</v>
      </c>
      <c r="Q84" t="s">
        <v>194</v>
      </c>
      <c r="R84" t="s">
        <v>195</v>
      </c>
      <c r="S84" t="s">
        <v>195</v>
      </c>
      <c r="T84" t="s">
        <v>51</v>
      </c>
      <c r="U84">
        <v>9</v>
      </c>
      <c r="V84" t="s">
        <v>63</v>
      </c>
      <c r="W84" t="s">
        <v>53</v>
      </c>
      <c r="X84" s="4">
        <v>0</v>
      </c>
      <c r="Y84" t="s">
        <v>54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195</v>
      </c>
      <c r="AG84" t="s">
        <v>55</v>
      </c>
      <c r="AI84" t="s">
        <v>65</v>
      </c>
      <c r="AJ84" t="s">
        <v>65</v>
      </c>
      <c r="AK84" s="5">
        <v>46041.456585648149</v>
      </c>
      <c r="AO84" t="s">
        <v>195</v>
      </c>
      <c r="AP84">
        <v>0</v>
      </c>
      <c r="AR84" t="s">
        <v>195</v>
      </c>
      <c r="AS84" t="s">
        <v>195</v>
      </c>
      <c r="AT84">
        <v>1009</v>
      </c>
      <c r="AU84" t="s">
        <v>51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60</v>
      </c>
      <c r="G85" t="s">
        <v>61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>
        <v>778.99</v>
      </c>
      <c r="N85" t="s">
        <v>62</v>
      </c>
      <c r="O85" t="s">
        <v>194</v>
      </c>
      <c r="P85" t="s">
        <v>194</v>
      </c>
      <c r="Q85" t="s">
        <v>194</v>
      </c>
      <c r="R85" t="s">
        <v>195</v>
      </c>
      <c r="S85" t="s">
        <v>195</v>
      </c>
      <c r="T85" t="s">
        <v>51</v>
      </c>
      <c r="U85">
        <v>76</v>
      </c>
      <c r="V85" t="s">
        <v>63</v>
      </c>
      <c r="W85" t="s">
        <v>64</v>
      </c>
      <c r="X85" s="4">
        <v>0</v>
      </c>
      <c r="Y85" t="s">
        <v>57</v>
      </c>
    </row>
    <row r="86" spans="1:47" x14ac:dyDescent="0.25">
      <c r="A86" t="s">
        <v>58</v>
      </c>
      <c r="B86">
        <v>512.79999999999995</v>
      </c>
      <c r="C86">
        <v>0</v>
      </c>
      <c r="D86">
        <v>0</v>
      </c>
      <c r="E86">
        <v>0</v>
      </c>
      <c r="F86" s="3">
        <v>1129.2</v>
      </c>
      <c r="G86" s="3">
        <v>1400</v>
      </c>
      <c r="H86" t="s">
        <v>195</v>
      </c>
      <c r="I86" t="s">
        <v>55</v>
      </c>
      <c r="K86" t="s">
        <v>65</v>
      </c>
      <c r="L86" t="s">
        <v>65</v>
      </c>
      <c r="M86" s="5">
        <v>46041.456666666665</v>
      </c>
      <c r="Q86" t="s">
        <v>195</v>
      </c>
      <c r="R86">
        <v>0</v>
      </c>
      <c r="T86" t="s">
        <v>195</v>
      </c>
      <c r="U86" t="s">
        <v>195</v>
      </c>
      <c r="V86">
        <v>139</v>
      </c>
      <c r="W86" t="s">
        <v>51</v>
      </c>
      <c r="X86" s="4"/>
    </row>
    <row r="87" spans="1:47" x14ac:dyDescent="0.25">
      <c r="A87" t="s">
        <v>78</v>
      </c>
      <c r="B87" s="1">
        <v>38461</v>
      </c>
      <c r="C87" t="s">
        <v>48</v>
      </c>
      <c r="D87" t="s">
        <v>49</v>
      </c>
      <c r="E87" s="2">
        <v>46041</v>
      </c>
      <c r="F87" t="s">
        <v>221</v>
      </c>
      <c r="G87" t="s">
        <v>222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>
        <v>655.93</v>
      </c>
      <c r="N87" t="s">
        <v>50</v>
      </c>
      <c r="O87" t="s">
        <v>194</v>
      </c>
      <c r="P87" t="s">
        <v>194</v>
      </c>
      <c r="Q87" t="s">
        <v>194</v>
      </c>
      <c r="R87" t="s">
        <v>195</v>
      </c>
      <c r="S87" t="s">
        <v>195</v>
      </c>
      <c r="T87" t="s">
        <v>51</v>
      </c>
      <c r="U87">
        <v>126</v>
      </c>
      <c r="V87" t="s">
        <v>52</v>
      </c>
      <c r="W87" t="s">
        <v>103</v>
      </c>
      <c r="X87" s="4">
        <v>0</v>
      </c>
      <c r="Y87" t="s">
        <v>54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>
        <v>800</v>
      </c>
      <c r="AF87" t="s">
        <v>195</v>
      </c>
      <c r="AG87" t="s">
        <v>55</v>
      </c>
      <c r="AI87" t="s">
        <v>65</v>
      </c>
      <c r="AJ87" t="s">
        <v>65</v>
      </c>
      <c r="AK87" s="5">
        <v>46041.482766203706</v>
      </c>
      <c r="AO87" t="s">
        <v>195</v>
      </c>
      <c r="AP87">
        <v>0</v>
      </c>
      <c r="AR87" t="s">
        <v>195</v>
      </c>
      <c r="AS87" t="s">
        <v>195</v>
      </c>
      <c r="AT87">
        <v>4340</v>
      </c>
      <c r="AU87" t="s">
        <v>51</v>
      </c>
    </row>
    <row r="88" spans="1:47" x14ac:dyDescent="0.25">
      <c r="A88" t="s">
        <v>78</v>
      </c>
      <c r="B88" s="1">
        <v>38463</v>
      </c>
      <c r="C88" t="s">
        <v>48</v>
      </c>
      <c r="D88" t="s">
        <v>49</v>
      </c>
      <c r="E88" s="2">
        <v>46042</v>
      </c>
      <c r="F88" t="s">
        <v>223</v>
      </c>
      <c r="G88" t="s">
        <v>59</v>
      </c>
      <c r="H88" s="3">
        <v>3708</v>
      </c>
      <c r="I88" s="3">
        <v>3708</v>
      </c>
      <c r="J88">
        <v>0</v>
      </c>
      <c r="K88" s="3">
        <v>3708</v>
      </c>
      <c r="L88">
        <v>691.2</v>
      </c>
      <c r="M88">
        <v>324.86</v>
      </c>
      <c r="N88" t="s">
        <v>50</v>
      </c>
      <c r="O88" t="s">
        <v>194</v>
      </c>
      <c r="P88" t="s">
        <v>194</v>
      </c>
      <c r="Q88" t="s">
        <v>194</v>
      </c>
      <c r="R88" t="s">
        <v>195</v>
      </c>
      <c r="S88" t="s">
        <v>195</v>
      </c>
      <c r="T88" t="s">
        <v>51</v>
      </c>
      <c r="U88">
        <v>126</v>
      </c>
      <c r="V88" t="s">
        <v>52</v>
      </c>
      <c r="W88" t="s">
        <v>77</v>
      </c>
      <c r="X88" s="4">
        <v>0</v>
      </c>
      <c r="Y88" t="s">
        <v>54</v>
      </c>
      <c r="Z88">
        <v>0</v>
      </c>
      <c r="AA88">
        <v>0</v>
      </c>
      <c r="AB88">
        <v>0</v>
      </c>
      <c r="AC88">
        <v>0</v>
      </c>
      <c r="AD88">
        <v>691.2</v>
      </c>
      <c r="AE88" s="3">
        <v>1200</v>
      </c>
      <c r="AF88" t="s">
        <v>195</v>
      </c>
      <c r="AG88" t="s">
        <v>55</v>
      </c>
      <c r="AI88" t="s">
        <v>65</v>
      </c>
      <c r="AJ88" t="s">
        <v>75</v>
      </c>
      <c r="AK88" s="5">
        <v>46042.607210648152</v>
      </c>
      <c r="AO88" t="s">
        <v>195</v>
      </c>
      <c r="AP88">
        <v>0</v>
      </c>
      <c r="AR88" t="s">
        <v>195</v>
      </c>
      <c r="AS88" t="s">
        <v>195</v>
      </c>
      <c r="AT88">
        <v>7472</v>
      </c>
      <c r="AU88" t="s">
        <v>51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85</v>
      </c>
      <c r="G89" t="s">
        <v>86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>
        <v>609.30999999999995</v>
      </c>
      <c r="N89" t="s">
        <v>50</v>
      </c>
      <c r="O89" t="s">
        <v>194</v>
      </c>
      <c r="P89" t="s">
        <v>194</v>
      </c>
      <c r="Q89" t="s">
        <v>194</v>
      </c>
      <c r="R89" t="s">
        <v>195</v>
      </c>
      <c r="S89" t="s">
        <v>195</v>
      </c>
      <c r="T89" t="s">
        <v>51</v>
      </c>
      <c r="U89">
        <v>126</v>
      </c>
      <c r="V89" t="s">
        <v>52</v>
      </c>
      <c r="W89" t="s">
        <v>200</v>
      </c>
      <c r="X89" s="4">
        <v>0</v>
      </c>
      <c r="Y89" t="s">
        <v>54</v>
      </c>
      <c r="Z89" s="3">
        <v>1118</v>
      </c>
      <c r="AA89">
        <v>0</v>
      </c>
      <c r="AB89">
        <v>0</v>
      </c>
      <c r="AC89">
        <v>0</v>
      </c>
      <c r="AD89">
        <v>0</v>
      </c>
      <c r="AE89" s="3">
        <v>2000</v>
      </c>
      <c r="AF89" t="s">
        <v>195</v>
      </c>
      <c r="AG89" t="s">
        <v>55</v>
      </c>
      <c r="AH89" t="s">
        <v>88</v>
      </c>
      <c r="AI89" t="s">
        <v>75</v>
      </c>
      <c r="AJ89" t="s">
        <v>75</v>
      </c>
      <c r="AK89" s="5">
        <v>46042.608483796299</v>
      </c>
      <c r="AO89" t="s">
        <v>195</v>
      </c>
      <c r="AP89">
        <v>0</v>
      </c>
      <c r="AR89" t="s">
        <v>195</v>
      </c>
      <c r="AS89" t="s">
        <v>195</v>
      </c>
      <c r="AT89">
        <v>4089</v>
      </c>
      <c r="AU89" t="s">
        <v>51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144</v>
      </c>
      <c r="G90" t="s">
        <v>73</v>
      </c>
      <c r="H90" s="3">
        <v>2239.1999999999998</v>
      </c>
      <c r="I90" s="3">
        <v>2239.1999999999998</v>
      </c>
      <c r="J90">
        <v>0</v>
      </c>
      <c r="K90" s="3">
        <v>2575.08</v>
      </c>
      <c r="L90">
        <v>466.56</v>
      </c>
      <c r="M90">
        <v>171.23</v>
      </c>
      <c r="N90" t="s">
        <v>83</v>
      </c>
      <c r="O90" t="s">
        <v>194</v>
      </c>
      <c r="P90" t="s">
        <v>194</v>
      </c>
      <c r="Q90" t="s">
        <v>194</v>
      </c>
      <c r="R90" t="s">
        <v>195</v>
      </c>
      <c r="S90" t="s">
        <v>195</v>
      </c>
      <c r="T90" t="s">
        <v>51</v>
      </c>
      <c r="U90">
        <v>145</v>
      </c>
      <c r="V90" t="s">
        <v>100</v>
      </c>
      <c r="W90" t="s">
        <v>71</v>
      </c>
      <c r="X90" s="4">
        <v>0</v>
      </c>
      <c r="Y90" t="s">
        <v>57</v>
      </c>
    </row>
    <row r="91" spans="1:47" x14ac:dyDescent="0.25">
      <c r="A91" t="s">
        <v>58</v>
      </c>
      <c r="B91">
        <v>466.56</v>
      </c>
      <c r="C91">
        <v>0</v>
      </c>
      <c r="D91">
        <v>0</v>
      </c>
      <c r="E91">
        <v>0</v>
      </c>
      <c r="F91">
        <v>0</v>
      </c>
      <c r="G91">
        <v>720</v>
      </c>
      <c r="H91" t="s">
        <v>195</v>
      </c>
      <c r="I91" t="s">
        <v>55</v>
      </c>
      <c r="J91" t="s">
        <v>101</v>
      </c>
      <c r="K91" t="s">
        <v>65</v>
      </c>
      <c r="L91" t="s">
        <v>65</v>
      </c>
      <c r="M91" s="5">
        <v>46042.694409722222</v>
      </c>
      <c r="Q91" t="s">
        <v>195</v>
      </c>
      <c r="R91">
        <v>0</v>
      </c>
      <c r="T91" t="s">
        <v>195</v>
      </c>
      <c r="U91" t="s">
        <v>195</v>
      </c>
      <c r="V91">
        <v>7814</v>
      </c>
      <c r="W91" t="s">
        <v>51</v>
      </c>
    </row>
    <row r="92" spans="1:47" x14ac:dyDescent="0.25">
      <c r="A92" t="s">
        <v>78</v>
      </c>
      <c r="B92" s="1">
        <v>38466</v>
      </c>
      <c r="C92" t="s">
        <v>48</v>
      </c>
      <c r="D92" t="s">
        <v>49</v>
      </c>
      <c r="E92" s="2">
        <v>46043</v>
      </c>
      <c r="F92" t="s">
        <v>217</v>
      </c>
      <c r="G92" t="s">
        <v>218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194</v>
      </c>
      <c r="P92" t="s">
        <v>194</v>
      </c>
      <c r="Q92" t="s">
        <v>194</v>
      </c>
      <c r="R92" t="s">
        <v>195</v>
      </c>
      <c r="S92" t="s">
        <v>195</v>
      </c>
      <c r="T92" t="s">
        <v>51</v>
      </c>
      <c r="U92">
        <v>126</v>
      </c>
      <c r="V92" t="s">
        <v>52</v>
      </c>
      <c r="W92">
        <v>0</v>
      </c>
      <c r="X92" s="4">
        <v>0</v>
      </c>
      <c r="Y92" t="s">
        <v>57</v>
      </c>
    </row>
    <row r="93" spans="1:47" x14ac:dyDescent="0.25">
      <c r="A93" t="s">
        <v>58</v>
      </c>
      <c r="B93" s="3">
        <v>4892</v>
      </c>
      <c r="C93">
        <v>0</v>
      </c>
      <c r="D93">
        <v>0</v>
      </c>
      <c r="E93">
        <v>0</v>
      </c>
      <c r="F93">
        <v>0</v>
      </c>
      <c r="G93" s="3">
        <v>3000</v>
      </c>
      <c r="H93" t="s">
        <v>195</v>
      </c>
      <c r="I93" t="s">
        <v>55</v>
      </c>
      <c r="J93" t="s">
        <v>107</v>
      </c>
      <c r="K93" t="s">
        <v>75</v>
      </c>
      <c r="L93" t="s">
        <v>75</v>
      </c>
      <c r="M93" s="5">
        <v>46043.400405092594</v>
      </c>
      <c r="Q93" t="s">
        <v>195</v>
      </c>
      <c r="R93">
        <v>0</v>
      </c>
      <c r="T93" t="s">
        <v>195</v>
      </c>
      <c r="U93" t="s">
        <v>195</v>
      </c>
      <c r="V93">
        <v>8571</v>
      </c>
      <c r="W93" t="s">
        <v>51</v>
      </c>
    </row>
    <row r="94" spans="1:47" x14ac:dyDescent="0.25">
      <c r="A94" t="s">
        <v>78</v>
      </c>
      <c r="B94" s="1">
        <v>38469</v>
      </c>
      <c r="C94" t="s">
        <v>48</v>
      </c>
      <c r="D94" t="s">
        <v>49</v>
      </c>
      <c r="E94" s="2">
        <v>46044</v>
      </c>
      <c r="F94" t="s">
        <v>145</v>
      </c>
      <c r="G94" t="s">
        <v>146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207</v>
      </c>
      <c r="O94" t="s">
        <v>194</v>
      </c>
      <c r="P94" t="s">
        <v>194</v>
      </c>
      <c r="Q94" t="s">
        <v>194</v>
      </c>
      <c r="R94" t="s">
        <v>195</v>
      </c>
      <c r="S94" t="s">
        <v>195</v>
      </c>
      <c r="T94" t="s">
        <v>51</v>
      </c>
      <c r="U94">
        <v>167</v>
      </c>
      <c r="V94" t="s">
        <v>79</v>
      </c>
      <c r="W94" t="s">
        <v>95</v>
      </c>
      <c r="X94" s="4">
        <v>0</v>
      </c>
      <c r="Y94" t="s">
        <v>54</v>
      </c>
      <c r="Z94" s="3">
        <v>2707.8</v>
      </c>
      <c r="AA94">
        <v>0</v>
      </c>
      <c r="AB94">
        <v>0</v>
      </c>
      <c r="AC94">
        <v>0</v>
      </c>
      <c r="AD94">
        <v>0</v>
      </c>
      <c r="AE94" s="3">
        <v>1250</v>
      </c>
      <c r="AF94" t="s">
        <v>195</v>
      </c>
      <c r="AG94" t="s">
        <v>55</v>
      </c>
      <c r="AI94" t="s">
        <v>65</v>
      </c>
      <c r="AJ94" t="s">
        <v>65</v>
      </c>
      <c r="AK94" s="5">
        <v>46044.595682870371</v>
      </c>
      <c r="AO94" t="s">
        <v>195</v>
      </c>
      <c r="AP94">
        <v>0</v>
      </c>
      <c r="AR94" t="s">
        <v>195</v>
      </c>
      <c r="AS94" t="s">
        <v>195</v>
      </c>
      <c r="AT94">
        <v>8561</v>
      </c>
      <c r="AU94" t="s">
        <v>51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224</v>
      </c>
      <c r="G95" t="s">
        <v>225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>
        <v>382.6</v>
      </c>
      <c r="N95" t="s">
        <v>50</v>
      </c>
      <c r="O95" t="s">
        <v>194</v>
      </c>
      <c r="P95" t="s">
        <v>194</v>
      </c>
      <c r="Q95" t="s">
        <v>194</v>
      </c>
      <c r="R95" t="s">
        <v>195</v>
      </c>
      <c r="S95" t="s">
        <v>195</v>
      </c>
      <c r="T95" t="s">
        <v>51</v>
      </c>
      <c r="U95">
        <v>126</v>
      </c>
      <c r="V95" t="s">
        <v>52</v>
      </c>
      <c r="W95" t="s">
        <v>87</v>
      </c>
      <c r="X95" s="4">
        <v>0</v>
      </c>
      <c r="Y95" t="s">
        <v>57</v>
      </c>
    </row>
    <row r="96" spans="1:47" x14ac:dyDescent="0.25">
      <c r="A96" t="s">
        <v>58</v>
      </c>
      <c r="B96">
        <v>0</v>
      </c>
      <c r="C96">
        <v>0</v>
      </c>
      <c r="D96">
        <v>0</v>
      </c>
      <c r="E96">
        <v>0</v>
      </c>
      <c r="F96" s="3">
        <v>1234.2</v>
      </c>
      <c r="G96" s="3">
        <v>2200</v>
      </c>
      <c r="H96" t="s">
        <v>195</v>
      </c>
      <c r="I96" t="s">
        <v>55</v>
      </c>
      <c r="J96" t="s">
        <v>226</v>
      </c>
      <c r="K96" t="s">
        <v>56</v>
      </c>
      <c r="L96" t="s">
        <v>56</v>
      </c>
      <c r="M96" s="5">
        <v>46044.665081018517</v>
      </c>
      <c r="Q96" t="s">
        <v>195</v>
      </c>
      <c r="R96">
        <v>0</v>
      </c>
      <c r="T96" t="s">
        <v>195</v>
      </c>
      <c r="U96" t="s">
        <v>195</v>
      </c>
      <c r="V96">
        <v>8595</v>
      </c>
      <c r="W96" t="s">
        <v>51</v>
      </c>
      <c r="X96" s="4"/>
    </row>
    <row r="97" spans="1:47" x14ac:dyDescent="0.25">
      <c r="A97" t="s">
        <v>47</v>
      </c>
      <c r="B97" s="1">
        <v>38471</v>
      </c>
      <c r="C97" t="s">
        <v>48</v>
      </c>
      <c r="D97" t="s">
        <v>49</v>
      </c>
      <c r="E97" s="2">
        <v>46044</v>
      </c>
      <c r="F97" t="s">
        <v>198</v>
      </c>
      <c r="G97" t="s">
        <v>128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>
        <v>711.5</v>
      </c>
      <c r="N97" t="s">
        <v>125</v>
      </c>
      <c r="O97" t="s">
        <v>194</v>
      </c>
      <c r="P97" t="s">
        <v>194</v>
      </c>
      <c r="Q97" t="s">
        <v>194</v>
      </c>
      <c r="R97" t="s">
        <v>195</v>
      </c>
      <c r="S97" t="s">
        <v>195</v>
      </c>
      <c r="T97" t="s">
        <v>51</v>
      </c>
      <c r="U97">
        <v>43</v>
      </c>
      <c r="W97" t="s">
        <v>64</v>
      </c>
      <c r="X97" s="4">
        <v>0</v>
      </c>
      <c r="Y97" t="s">
        <v>54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195</v>
      </c>
      <c r="AG97" t="s">
        <v>55</v>
      </c>
      <c r="AI97" t="s">
        <v>65</v>
      </c>
      <c r="AJ97" t="s">
        <v>65</v>
      </c>
      <c r="AK97" s="5">
        <v>46044.708749999998</v>
      </c>
      <c r="AO97" t="s">
        <v>195</v>
      </c>
      <c r="AP97">
        <v>0</v>
      </c>
      <c r="AR97" t="s">
        <v>195</v>
      </c>
      <c r="AS97" t="s">
        <v>195</v>
      </c>
      <c r="AT97">
        <v>8469</v>
      </c>
      <c r="AU97" t="s">
        <v>51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147</v>
      </c>
      <c r="G98" t="s">
        <v>137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66</v>
      </c>
      <c r="O98" t="s">
        <v>194</v>
      </c>
      <c r="P98" t="s">
        <v>194</v>
      </c>
      <c r="Q98" t="s">
        <v>194</v>
      </c>
      <c r="R98" t="s">
        <v>195</v>
      </c>
      <c r="S98" t="s">
        <v>195</v>
      </c>
      <c r="T98" t="s">
        <v>51</v>
      </c>
      <c r="U98">
        <v>83</v>
      </c>
      <c r="W98" t="s">
        <v>148</v>
      </c>
      <c r="X98" s="4">
        <v>0</v>
      </c>
      <c r="Y98" t="s">
        <v>54</v>
      </c>
      <c r="Z98">
        <v>0</v>
      </c>
      <c r="AA98">
        <v>0</v>
      </c>
      <c r="AB98">
        <v>294.5</v>
      </c>
      <c r="AC98">
        <v>0</v>
      </c>
      <c r="AD98" s="3">
        <v>9613</v>
      </c>
      <c r="AE98" s="3">
        <v>11500</v>
      </c>
      <c r="AF98" t="s">
        <v>195</v>
      </c>
      <c r="AG98" t="s">
        <v>55</v>
      </c>
      <c r="AI98" t="s">
        <v>68</v>
      </c>
      <c r="AJ98" t="s">
        <v>65</v>
      </c>
      <c r="AK98" s="5">
        <v>46045.324247685188</v>
      </c>
      <c r="AO98" t="s">
        <v>195</v>
      </c>
      <c r="AP98">
        <v>0</v>
      </c>
      <c r="AR98" t="s">
        <v>195</v>
      </c>
      <c r="AS98" t="s">
        <v>195</v>
      </c>
      <c r="AT98">
        <v>4386</v>
      </c>
      <c r="AU98" t="s">
        <v>51</v>
      </c>
    </row>
    <row r="99" spans="1:47" x14ac:dyDescent="0.25">
      <c r="A99" t="s">
        <v>69</v>
      </c>
      <c r="B99" s="1">
        <v>38473</v>
      </c>
      <c r="C99" t="s">
        <v>48</v>
      </c>
      <c r="D99" t="s">
        <v>49</v>
      </c>
      <c r="E99" s="2">
        <v>46045</v>
      </c>
      <c r="F99" t="s">
        <v>142</v>
      </c>
      <c r="G99" t="s">
        <v>143</v>
      </c>
      <c r="H99" s="3">
        <v>4264.2</v>
      </c>
      <c r="I99" s="3">
        <v>4264.2</v>
      </c>
      <c r="J99">
        <v>0</v>
      </c>
      <c r="K99" s="3">
        <v>4264.2</v>
      </c>
      <c r="L99">
        <v>735.54</v>
      </c>
      <c r="M99">
        <v>345.7</v>
      </c>
      <c r="N99" t="s">
        <v>66</v>
      </c>
      <c r="O99" t="s">
        <v>194</v>
      </c>
      <c r="P99" t="s">
        <v>194</v>
      </c>
      <c r="Q99" t="s">
        <v>194</v>
      </c>
      <c r="R99" t="s">
        <v>195</v>
      </c>
      <c r="S99" t="s">
        <v>195</v>
      </c>
      <c r="T99" t="s">
        <v>51</v>
      </c>
      <c r="U99">
        <v>83</v>
      </c>
      <c r="W99" t="s">
        <v>64</v>
      </c>
      <c r="X99" s="4">
        <v>0</v>
      </c>
      <c r="Y99" t="s">
        <v>54</v>
      </c>
      <c r="Z99">
        <v>0</v>
      </c>
      <c r="AA99">
        <v>0</v>
      </c>
      <c r="AB99">
        <v>0</v>
      </c>
      <c r="AC99">
        <v>0</v>
      </c>
      <c r="AD99">
        <v>735.54</v>
      </c>
      <c r="AE99">
        <v>460</v>
      </c>
      <c r="AF99" t="s">
        <v>195</v>
      </c>
      <c r="AG99" t="s">
        <v>55</v>
      </c>
      <c r="AH99" t="s">
        <v>82</v>
      </c>
      <c r="AI99" t="s">
        <v>68</v>
      </c>
      <c r="AJ99" t="s">
        <v>65</v>
      </c>
      <c r="AK99" s="5">
        <v>46045.480324074073</v>
      </c>
      <c r="AO99" t="s">
        <v>195</v>
      </c>
      <c r="AP99">
        <v>0</v>
      </c>
      <c r="AR99" t="s">
        <v>195</v>
      </c>
      <c r="AS99" t="s">
        <v>195</v>
      </c>
      <c r="AT99">
        <v>3465</v>
      </c>
      <c r="AU99" t="s">
        <v>51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t="s">
        <v>80</v>
      </c>
      <c r="G100" t="s">
        <v>76</v>
      </c>
      <c r="H100" s="3">
        <v>2288.9</v>
      </c>
      <c r="I100" s="3">
        <v>2288.9</v>
      </c>
      <c r="J100">
        <v>0</v>
      </c>
      <c r="K100" s="3">
        <v>2632.24</v>
      </c>
      <c r="L100">
        <v>400.65</v>
      </c>
      <c r="M100">
        <v>217.92</v>
      </c>
      <c r="N100" t="s">
        <v>70</v>
      </c>
      <c r="O100" t="s">
        <v>194</v>
      </c>
      <c r="P100" t="s">
        <v>194</v>
      </c>
      <c r="Q100" t="s">
        <v>194</v>
      </c>
      <c r="R100" t="s">
        <v>195</v>
      </c>
      <c r="S100" t="s">
        <v>195</v>
      </c>
      <c r="T100" t="s">
        <v>51</v>
      </c>
      <c r="U100">
        <v>9</v>
      </c>
      <c r="V100" t="s">
        <v>63</v>
      </c>
      <c r="W100" t="s">
        <v>81</v>
      </c>
      <c r="X100" s="4">
        <v>0</v>
      </c>
      <c r="Y100" t="s">
        <v>54</v>
      </c>
      <c r="Z100">
        <v>59.85</v>
      </c>
      <c r="AA100">
        <v>0</v>
      </c>
      <c r="AB100">
        <v>340.8</v>
      </c>
      <c r="AC100">
        <v>0</v>
      </c>
      <c r="AD100">
        <v>0</v>
      </c>
      <c r="AE100">
        <v>80</v>
      </c>
      <c r="AF100" t="s">
        <v>195</v>
      </c>
      <c r="AG100" t="s">
        <v>55</v>
      </c>
      <c r="AH100" t="s">
        <v>82</v>
      </c>
      <c r="AI100" t="s">
        <v>65</v>
      </c>
      <c r="AJ100" t="s">
        <v>65</v>
      </c>
      <c r="AK100" s="5">
        <v>46045.474953703706</v>
      </c>
      <c r="AO100" t="s">
        <v>195</v>
      </c>
      <c r="AP100">
        <v>0</v>
      </c>
      <c r="AR100" t="s">
        <v>195</v>
      </c>
      <c r="AS100" t="s">
        <v>195</v>
      </c>
      <c r="AT100">
        <v>161</v>
      </c>
      <c r="AU100" t="s">
        <v>51</v>
      </c>
    </row>
    <row r="101" spans="1:47" x14ac:dyDescent="0.25">
      <c r="A101" t="s">
        <v>78</v>
      </c>
      <c r="B101" s="1">
        <v>38475</v>
      </c>
      <c r="C101" t="s">
        <v>48</v>
      </c>
      <c r="D101" t="s">
        <v>49</v>
      </c>
      <c r="E101" s="2">
        <v>46048</v>
      </c>
      <c r="F101" t="s">
        <v>149</v>
      </c>
      <c r="G101" t="s">
        <v>59</v>
      </c>
      <c r="H101">
        <v>225</v>
      </c>
      <c r="I101">
        <v>225</v>
      </c>
      <c r="J101">
        <v>0</v>
      </c>
      <c r="K101">
        <v>225</v>
      </c>
      <c r="L101">
        <v>82.5</v>
      </c>
      <c r="M101">
        <v>23.93</v>
      </c>
      <c r="N101" t="s">
        <v>50</v>
      </c>
      <c r="O101" t="s">
        <v>194</v>
      </c>
      <c r="P101" t="s">
        <v>194</v>
      </c>
      <c r="Q101" t="s">
        <v>194</v>
      </c>
      <c r="R101" t="s">
        <v>195</v>
      </c>
      <c r="S101" t="s">
        <v>195</v>
      </c>
      <c r="T101" t="s">
        <v>51</v>
      </c>
      <c r="U101">
        <v>126</v>
      </c>
      <c r="V101" t="s">
        <v>52</v>
      </c>
      <c r="W101" t="s">
        <v>150</v>
      </c>
      <c r="X101" s="4">
        <v>0</v>
      </c>
      <c r="Y101" t="s">
        <v>54</v>
      </c>
      <c r="Z101">
        <v>82.5</v>
      </c>
      <c r="AA101">
        <v>0</v>
      </c>
      <c r="AB101">
        <v>0</v>
      </c>
      <c r="AC101">
        <v>0</v>
      </c>
      <c r="AD101">
        <v>0</v>
      </c>
      <c r="AE101" s="3">
        <v>2500</v>
      </c>
      <c r="AF101" t="s">
        <v>195</v>
      </c>
      <c r="AG101" t="s">
        <v>55</v>
      </c>
      <c r="AH101" t="s">
        <v>104</v>
      </c>
      <c r="AI101" t="s">
        <v>56</v>
      </c>
      <c r="AJ101" t="s">
        <v>56</v>
      </c>
      <c r="AK101" s="5">
        <v>46048.431967592594</v>
      </c>
      <c r="AO101" t="s">
        <v>195</v>
      </c>
      <c r="AP101">
        <v>0</v>
      </c>
      <c r="AR101" t="s">
        <v>195</v>
      </c>
      <c r="AS101" t="s">
        <v>195</v>
      </c>
      <c r="AT101">
        <v>5486</v>
      </c>
      <c r="AU101" t="s">
        <v>51</v>
      </c>
    </row>
    <row r="102" spans="1:47" x14ac:dyDescent="0.25">
      <c r="A102" t="s">
        <v>78</v>
      </c>
      <c r="B102" s="1">
        <v>38476</v>
      </c>
      <c r="C102" t="s">
        <v>48</v>
      </c>
      <c r="D102" t="s">
        <v>49</v>
      </c>
      <c r="E102" s="2">
        <v>46048</v>
      </c>
      <c r="F102" t="s">
        <v>105</v>
      </c>
      <c r="G102" t="s">
        <v>61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>
        <v>925.75</v>
      </c>
      <c r="N102" t="s">
        <v>50</v>
      </c>
      <c r="O102" t="s">
        <v>194</v>
      </c>
      <c r="P102" t="s">
        <v>194</v>
      </c>
      <c r="Q102" t="s">
        <v>194</v>
      </c>
      <c r="R102" t="s">
        <v>195</v>
      </c>
      <c r="S102" t="s">
        <v>195</v>
      </c>
      <c r="T102" t="s">
        <v>51</v>
      </c>
      <c r="U102">
        <v>126</v>
      </c>
      <c r="V102" t="s">
        <v>52</v>
      </c>
      <c r="W102" t="s">
        <v>103</v>
      </c>
      <c r="X102" s="4">
        <v>0</v>
      </c>
      <c r="Y102" t="s">
        <v>54</v>
      </c>
      <c r="Z102">
        <v>0</v>
      </c>
      <c r="AA102">
        <v>0</v>
      </c>
      <c r="AB102" s="3">
        <v>1610</v>
      </c>
      <c r="AC102">
        <v>0</v>
      </c>
      <c r="AD102">
        <v>0</v>
      </c>
      <c r="AE102" s="3">
        <v>2000</v>
      </c>
      <c r="AF102" t="s">
        <v>195</v>
      </c>
      <c r="AG102" t="s">
        <v>55</v>
      </c>
      <c r="AI102" t="s">
        <v>56</v>
      </c>
      <c r="AJ102" t="s">
        <v>56</v>
      </c>
      <c r="AK102" s="5">
        <v>46048.455706018518</v>
      </c>
      <c r="AO102" t="s">
        <v>195</v>
      </c>
      <c r="AP102">
        <v>0</v>
      </c>
      <c r="AR102" t="s">
        <v>195</v>
      </c>
      <c r="AS102" t="s">
        <v>195</v>
      </c>
      <c r="AT102">
        <v>322</v>
      </c>
      <c r="AU102" t="s">
        <v>51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93</v>
      </c>
      <c r="G103" t="s">
        <v>94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194</v>
      </c>
      <c r="P103" t="s">
        <v>194</v>
      </c>
      <c r="Q103" t="s">
        <v>194</v>
      </c>
      <c r="R103" t="s">
        <v>195</v>
      </c>
      <c r="S103" t="s">
        <v>195</v>
      </c>
      <c r="T103" t="s">
        <v>51</v>
      </c>
      <c r="U103">
        <v>126</v>
      </c>
      <c r="V103" t="s">
        <v>52</v>
      </c>
      <c r="W103" t="s">
        <v>126</v>
      </c>
      <c r="X103" s="4">
        <v>0</v>
      </c>
      <c r="Y103" t="s">
        <v>57</v>
      </c>
    </row>
    <row r="104" spans="1:47" x14ac:dyDescent="0.25">
      <c r="A104" t="s">
        <v>58</v>
      </c>
      <c r="B104" s="3">
        <v>2713.2</v>
      </c>
      <c r="C104">
        <v>0</v>
      </c>
      <c r="D104">
        <v>0</v>
      </c>
      <c r="E104">
        <v>0</v>
      </c>
      <c r="F104">
        <v>122</v>
      </c>
      <c r="G104" s="3">
        <v>3200</v>
      </c>
      <c r="H104" t="s">
        <v>195</v>
      </c>
      <c r="I104" t="s">
        <v>55</v>
      </c>
      <c r="K104" t="s">
        <v>56</v>
      </c>
      <c r="L104" t="s">
        <v>56</v>
      </c>
      <c r="M104" s="5">
        <v>46048.487233796295</v>
      </c>
      <c r="Q104" t="s">
        <v>195</v>
      </c>
      <c r="R104">
        <v>0</v>
      </c>
      <c r="T104" t="s">
        <v>195</v>
      </c>
      <c r="U104" t="s">
        <v>195</v>
      </c>
      <c r="V104">
        <v>6379</v>
      </c>
      <c r="W104" t="s">
        <v>51</v>
      </c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90</v>
      </c>
      <c r="G105" t="s">
        <v>91</v>
      </c>
      <c r="H105" s="3">
        <v>1648</v>
      </c>
      <c r="I105" s="3">
        <v>1648</v>
      </c>
      <c r="J105">
        <v>0</v>
      </c>
      <c r="K105" s="3">
        <v>1895.2</v>
      </c>
      <c r="L105">
        <v>256.60000000000002</v>
      </c>
      <c r="M105">
        <v>147.55000000000001</v>
      </c>
      <c r="N105" t="s">
        <v>66</v>
      </c>
      <c r="O105" t="s">
        <v>194</v>
      </c>
      <c r="P105" t="s">
        <v>194</v>
      </c>
      <c r="Q105" t="s">
        <v>194</v>
      </c>
      <c r="R105" t="s">
        <v>195</v>
      </c>
      <c r="S105" t="s">
        <v>195</v>
      </c>
      <c r="T105" t="s">
        <v>51</v>
      </c>
      <c r="U105">
        <v>83</v>
      </c>
      <c r="W105" t="s">
        <v>71</v>
      </c>
      <c r="X105" s="4">
        <v>0</v>
      </c>
      <c r="Y105" t="s">
        <v>54</v>
      </c>
      <c r="Z105">
        <v>0</v>
      </c>
      <c r="AA105">
        <v>0</v>
      </c>
      <c r="AB105">
        <v>256.60000000000002</v>
      </c>
      <c r="AC105">
        <v>0</v>
      </c>
      <c r="AD105">
        <v>0</v>
      </c>
      <c r="AE105">
        <v>200</v>
      </c>
      <c r="AF105" t="s">
        <v>195</v>
      </c>
      <c r="AG105" t="s">
        <v>55</v>
      </c>
      <c r="AI105" t="s">
        <v>68</v>
      </c>
      <c r="AJ105" t="s">
        <v>65</v>
      </c>
      <c r="AK105" s="5">
        <v>46048.551793981482</v>
      </c>
      <c r="AO105" t="s">
        <v>195</v>
      </c>
      <c r="AP105">
        <v>0</v>
      </c>
      <c r="AR105" t="s">
        <v>195</v>
      </c>
      <c r="AS105" t="s">
        <v>195</v>
      </c>
      <c r="AT105">
        <v>4900</v>
      </c>
      <c r="AU105" t="s">
        <v>51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90</v>
      </c>
      <c r="G106" t="s">
        <v>91</v>
      </c>
      <c r="H106" s="3">
        <v>1648</v>
      </c>
      <c r="I106" s="3">
        <v>1648</v>
      </c>
      <c r="J106">
        <v>0</v>
      </c>
      <c r="K106" s="3">
        <v>1895.2</v>
      </c>
      <c r="L106">
        <v>256.60000000000002</v>
      </c>
      <c r="M106">
        <v>147.55000000000001</v>
      </c>
      <c r="N106" t="s">
        <v>66</v>
      </c>
      <c r="O106" t="s">
        <v>194</v>
      </c>
      <c r="P106" t="s">
        <v>194</v>
      </c>
      <c r="Q106" t="s">
        <v>194</v>
      </c>
      <c r="R106" t="s">
        <v>195</v>
      </c>
      <c r="S106" t="s">
        <v>195</v>
      </c>
      <c r="T106" t="s">
        <v>51</v>
      </c>
      <c r="U106">
        <v>83</v>
      </c>
      <c r="W106" t="s">
        <v>71</v>
      </c>
      <c r="X106" s="4">
        <v>0</v>
      </c>
      <c r="Y106" t="s">
        <v>54</v>
      </c>
      <c r="Z106">
        <v>0</v>
      </c>
      <c r="AA106">
        <v>0</v>
      </c>
      <c r="AB106">
        <v>256.60000000000002</v>
      </c>
      <c r="AC106">
        <v>0</v>
      </c>
      <c r="AD106">
        <v>0</v>
      </c>
      <c r="AE106">
        <v>200</v>
      </c>
      <c r="AF106" t="s">
        <v>195</v>
      </c>
      <c r="AG106" t="s">
        <v>55</v>
      </c>
      <c r="AI106" t="s">
        <v>68</v>
      </c>
      <c r="AJ106" t="s">
        <v>65</v>
      </c>
      <c r="AK106" s="5">
        <v>46048.551932870374</v>
      </c>
      <c r="AO106" t="s">
        <v>195</v>
      </c>
      <c r="AP106">
        <v>0</v>
      </c>
      <c r="AR106" t="s">
        <v>195</v>
      </c>
      <c r="AS106" t="s">
        <v>195</v>
      </c>
      <c r="AT106">
        <v>4900</v>
      </c>
      <c r="AU106" t="s">
        <v>51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227</v>
      </c>
      <c r="G107" t="s">
        <v>218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>
        <v>420.03</v>
      </c>
      <c r="N107" t="s">
        <v>207</v>
      </c>
      <c r="O107" t="s">
        <v>194</v>
      </c>
      <c r="P107" t="s">
        <v>194</v>
      </c>
      <c r="Q107" t="s">
        <v>194</v>
      </c>
      <c r="R107" t="s">
        <v>195</v>
      </c>
      <c r="S107" t="s">
        <v>195</v>
      </c>
      <c r="T107" t="s">
        <v>51</v>
      </c>
      <c r="U107">
        <v>167</v>
      </c>
      <c r="V107" t="s">
        <v>79</v>
      </c>
      <c r="W107" t="s">
        <v>77</v>
      </c>
      <c r="X107" s="4">
        <v>0</v>
      </c>
      <c r="Y107" t="s">
        <v>57</v>
      </c>
    </row>
    <row r="108" spans="1:47" x14ac:dyDescent="0.25">
      <c r="A108" t="s">
        <v>58</v>
      </c>
      <c r="B108" s="3">
        <v>1144.5</v>
      </c>
      <c r="C108">
        <v>0</v>
      </c>
      <c r="D108">
        <v>0</v>
      </c>
      <c r="E108">
        <v>0</v>
      </c>
      <c r="F108">
        <v>0</v>
      </c>
      <c r="G108" s="3">
        <v>1501</v>
      </c>
      <c r="H108" t="s">
        <v>195</v>
      </c>
      <c r="I108" t="s">
        <v>55</v>
      </c>
      <c r="K108" t="s">
        <v>65</v>
      </c>
      <c r="L108" t="s">
        <v>65</v>
      </c>
      <c r="M108" s="5">
        <v>46049.55667824074</v>
      </c>
      <c r="Q108" t="s">
        <v>195</v>
      </c>
      <c r="R108">
        <v>0</v>
      </c>
      <c r="T108" t="s">
        <v>195</v>
      </c>
      <c r="U108" t="s">
        <v>195</v>
      </c>
      <c r="V108">
        <v>8587</v>
      </c>
      <c r="W108" t="s">
        <v>51</v>
      </c>
      <c r="X108" s="4"/>
    </row>
    <row r="109" spans="1:47" x14ac:dyDescent="0.25">
      <c r="A109" t="s">
        <v>78</v>
      </c>
      <c r="B109" s="1">
        <v>38481</v>
      </c>
      <c r="C109" t="s">
        <v>48</v>
      </c>
      <c r="D109" t="s">
        <v>49</v>
      </c>
      <c r="E109" s="2">
        <v>46049</v>
      </c>
      <c r="F109" t="s">
        <v>228</v>
      </c>
      <c r="G109" t="s">
        <v>151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>
        <v>760.84</v>
      </c>
      <c r="N109" t="s">
        <v>83</v>
      </c>
      <c r="O109" t="s">
        <v>194</v>
      </c>
      <c r="P109" t="s">
        <v>194</v>
      </c>
      <c r="Q109" t="s">
        <v>194</v>
      </c>
      <c r="R109" t="s">
        <v>195</v>
      </c>
      <c r="S109" t="s">
        <v>195</v>
      </c>
      <c r="T109" t="s">
        <v>51</v>
      </c>
      <c r="U109">
        <v>145</v>
      </c>
      <c r="V109" t="s">
        <v>79</v>
      </c>
      <c r="W109" t="s">
        <v>103</v>
      </c>
      <c r="X109" s="4">
        <v>0</v>
      </c>
      <c r="Y109" t="s">
        <v>54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195</v>
      </c>
      <c r="AG109" t="s">
        <v>55</v>
      </c>
      <c r="AI109" t="s">
        <v>65</v>
      </c>
      <c r="AJ109" t="s">
        <v>65</v>
      </c>
      <c r="AK109" s="5">
        <v>46049.616388888891</v>
      </c>
      <c r="AO109" t="s">
        <v>195</v>
      </c>
      <c r="AP109">
        <v>0</v>
      </c>
      <c r="AR109" t="s">
        <v>195</v>
      </c>
      <c r="AS109" t="s">
        <v>195</v>
      </c>
      <c r="AT109">
        <v>554</v>
      </c>
      <c r="AU109" t="s">
        <v>51</v>
      </c>
    </row>
    <row r="110" spans="1:47" x14ac:dyDescent="0.25">
      <c r="A110" t="s">
        <v>78</v>
      </c>
      <c r="B110" s="1">
        <v>38482</v>
      </c>
      <c r="C110" t="s">
        <v>48</v>
      </c>
      <c r="D110" t="s">
        <v>49</v>
      </c>
      <c r="E110" s="2">
        <v>46049</v>
      </c>
      <c r="F110" t="s">
        <v>228</v>
      </c>
      <c r="G110" t="s">
        <v>151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>
        <v>760.84</v>
      </c>
      <c r="N110" t="s">
        <v>83</v>
      </c>
      <c r="O110" t="s">
        <v>194</v>
      </c>
      <c r="P110" t="s">
        <v>194</v>
      </c>
      <c r="Q110" t="s">
        <v>194</v>
      </c>
      <c r="R110" t="s">
        <v>195</v>
      </c>
      <c r="S110" t="s">
        <v>195</v>
      </c>
      <c r="T110" t="s">
        <v>51</v>
      </c>
      <c r="U110">
        <v>145</v>
      </c>
      <c r="V110" t="s">
        <v>79</v>
      </c>
      <c r="W110" t="s">
        <v>103</v>
      </c>
      <c r="X110" s="4">
        <v>0</v>
      </c>
      <c r="Y110" t="s">
        <v>54</v>
      </c>
      <c r="Z110">
        <v>0</v>
      </c>
      <c r="AA110">
        <v>0</v>
      </c>
      <c r="AB110">
        <v>0</v>
      </c>
      <c r="AC110">
        <v>0</v>
      </c>
      <c r="AD110" s="3">
        <v>1618.8</v>
      </c>
      <c r="AE110" s="3">
        <v>1200</v>
      </c>
      <c r="AF110" t="s">
        <v>195</v>
      </c>
      <c r="AG110" t="s">
        <v>55</v>
      </c>
      <c r="AI110" t="s">
        <v>65</v>
      </c>
      <c r="AJ110" t="s">
        <v>65</v>
      </c>
      <c r="AK110" s="5">
        <v>46049.616527777776</v>
      </c>
      <c r="AO110" t="s">
        <v>195</v>
      </c>
      <c r="AP110">
        <v>0</v>
      </c>
      <c r="AR110" t="s">
        <v>195</v>
      </c>
      <c r="AS110" t="s">
        <v>195</v>
      </c>
      <c r="AT110">
        <v>554</v>
      </c>
      <c r="AU110" t="s">
        <v>51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80</v>
      </c>
      <c r="G111" t="s">
        <v>76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70</v>
      </c>
      <c r="O111" t="s">
        <v>194</v>
      </c>
      <c r="P111" t="s">
        <v>194</v>
      </c>
      <c r="Q111" t="s">
        <v>194</v>
      </c>
      <c r="R111" t="s">
        <v>195</v>
      </c>
      <c r="S111" t="s">
        <v>195</v>
      </c>
      <c r="T111" t="s">
        <v>51</v>
      </c>
      <c r="U111">
        <v>9</v>
      </c>
      <c r="V111" t="s">
        <v>63</v>
      </c>
      <c r="W111" t="s">
        <v>81</v>
      </c>
      <c r="X111" s="4">
        <v>0</v>
      </c>
      <c r="Y111" t="s">
        <v>54</v>
      </c>
      <c r="Z111" s="3">
        <v>2507</v>
      </c>
      <c r="AA111">
        <v>0</v>
      </c>
      <c r="AB111" s="3">
        <v>2691</v>
      </c>
      <c r="AC111">
        <v>0</v>
      </c>
      <c r="AD111">
        <v>0</v>
      </c>
      <c r="AE111" s="3">
        <v>5000</v>
      </c>
      <c r="AF111" t="s">
        <v>195</v>
      </c>
      <c r="AG111" t="s">
        <v>55</v>
      </c>
      <c r="AH111" t="s">
        <v>82</v>
      </c>
      <c r="AI111" t="s">
        <v>75</v>
      </c>
      <c r="AJ111" t="s">
        <v>75</v>
      </c>
      <c r="AK111" s="5">
        <v>46049.618715277778</v>
      </c>
      <c r="AO111" t="s">
        <v>195</v>
      </c>
      <c r="AP111">
        <v>0</v>
      </c>
      <c r="AR111" t="s">
        <v>195</v>
      </c>
      <c r="AS111" t="s">
        <v>195</v>
      </c>
      <c r="AT111">
        <v>161</v>
      </c>
      <c r="AU111" t="s">
        <v>51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229</v>
      </c>
      <c r="G112" t="s">
        <v>59</v>
      </c>
      <c r="H112" s="3">
        <v>5586</v>
      </c>
      <c r="I112" s="3">
        <v>5586</v>
      </c>
      <c r="J112">
        <v>0</v>
      </c>
      <c r="K112" s="3">
        <v>6423.9</v>
      </c>
      <c r="L112">
        <v>550.20000000000005</v>
      </c>
      <c r="M112">
        <v>330.12</v>
      </c>
      <c r="N112" t="s">
        <v>50</v>
      </c>
      <c r="O112" t="s">
        <v>194</v>
      </c>
      <c r="P112" t="s">
        <v>194</v>
      </c>
      <c r="Q112" t="s">
        <v>194</v>
      </c>
      <c r="R112" t="s">
        <v>195</v>
      </c>
      <c r="S112" t="s">
        <v>195</v>
      </c>
      <c r="T112" t="s">
        <v>51</v>
      </c>
      <c r="U112">
        <v>126</v>
      </c>
      <c r="V112" t="s">
        <v>52</v>
      </c>
      <c r="W112" t="s">
        <v>200</v>
      </c>
      <c r="X112" s="4">
        <v>0</v>
      </c>
      <c r="Y112" t="s">
        <v>57</v>
      </c>
    </row>
    <row r="113" spans="1:47" x14ac:dyDescent="0.25">
      <c r="A113" t="s">
        <v>58</v>
      </c>
      <c r="B113">
        <v>0</v>
      </c>
      <c r="C113">
        <v>0</v>
      </c>
      <c r="D113">
        <v>550.20000000000005</v>
      </c>
      <c r="E113">
        <v>0</v>
      </c>
      <c r="F113">
        <v>0</v>
      </c>
      <c r="G113">
        <v>300</v>
      </c>
      <c r="H113" t="s">
        <v>195</v>
      </c>
      <c r="I113" t="s">
        <v>55</v>
      </c>
      <c r="J113" t="s">
        <v>104</v>
      </c>
      <c r="K113" t="s">
        <v>56</v>
      </c>
      <c r="L113" t="s">
        <v>56</v>
      </c>
      <c r="M113" s="5">
        <v>46050.412604166668</v>
      </c>
      <c r="Q113" t="s">
        <v>195</v>
      </c>
      <c r="R113">
        <v>0</v>
      </c>
      <c r="T113" t="s">
        <v>195</v>
      </c>
      <c r="U113" t="s">
        <v>195</v>
      </c>
      <c r="V113">
        <v>5328</v>
      </c>
      <c r="W113" t="s">
        <v>51</v>
      </c>
    </row>
    <row r="114" spans="1:47" x14ac:dyDescent="0.25">
      <c r="A114" t="s">
        <v>78</v>
      </c>
      <c r="B114" s="1">
        <v>38485</v>
      </c>
      <c r="C114" t="s">
        <v>48</v>
      </c>
      <c r="D114" t="s">
        <v>49</v>
      </c>
      <c r="E114" s="2">
        <v>46050</v>
      </c>
      <c r="F114" t="s">
        <v>230</v>
      </c>
      <c r="G114" t="s">
        <v>59</v>
      </c>
      <c r="H114">
        <v>870</v>
      </c>
      <c r="I114">
        <v>870</v>
      </c>
      <c r="J114">
        <v>0</v>
      </c>
      <c r="K114">
        <v>870</v>
      </c>
      <c r="L114">
        <v>175</v>
      </c>
      <c r="M114">
        <v>50.75</v>
      </c>
      <c r="N114" t="s">
        <v>50</v>
      </c>
      <c r="O114" t="s">
        <v>194</v>
      </c>
      <c r="P114" t="s">
        <v>194</v>
      </c>
      <c r="Q114" t="s">
        <v>194</v>
      </c>
      <c r="R114" t="s">
        <v>195</v>
      </c>
      <c r="S114" t="s">
        <v>195</v>
      </c>
      <c r="T114" t="s">
        <v>51</v>
      </c>
      <c r="U114">
        <v>126</v>
      </c>
      <c r="V114" t="s">
        <v>52</v>
      </c>
      <c r="W114" t="s">
        <v>64</v>
      </c>
      <c r="X114" s="4">
        <v>0</v>
      </c>
      <c r="Y114" t="s">
        <v>57</v>
      </c>
    </row>
    <row r="115" spans="1:47" x14ac:dyDescent="0.25">
      <c r="A115" t="s">
        <v>58</v>
      </c>
      <c r="B115">
        <v>175</v>
      </c>
      <c r="C115">
        <v>0</v>
      </c>
      <c r="D115">
        <v>0</v>
      </c>
      <c r="E115">
        <v>0</v>
      </c>
      <c r="F115">
        <v>0</v>
      </c>
      <c r="G115" s="3">
        <v>1000</v>
      </c>
      <c r="H115" t="s">
        <v>195</v>
      </c>
      <c r="I115" t="s">
        <v>55</v>
      </c>
      <c r="K115" t="s">
        <v>56</v>
      </c>
      <c r="L115" t="s">
        <v>65</v>
      </c>
      <c r="M115" s="5">
        <v>46050.464699074073</v>
      </c>
      <c r="Q115" t="s">
        <v>195</v>
      </c>
      <c r="R115">
        <v>0</v>
      </c>
      <c r="T115" t="s">
        <v>195</v>
      </c>
      <c r="U115" t="s">
        <v>195</v>
      </c>
      <c r="V115">
        <v>7228</v>
      </c>
      <c r="W115" t="s">
        <v>51</v>
      </c>
      <c r="X115" s="4"/>
    </row>
    <row r="116" spans="1:47" x14ac:dyDescent="0.25">
      <c r="A116" t="s">
        <v>78</v>
      </c>
      <c r="B116" s="1">
        <v>38486</v>
      </c>
      <c r="C116" t="s">
        <v>48</v>
      </c>
      <c r="D116" t="s">
        <v>49</v>
      </c>
      <c r="E116" s="2">
        <v>46050</v>
      </c>
      <c r="F116" t="s">
        <v>149</v>
      </c>
      <c r="G116" t="s">
        <v>59</v>
      </c>
      <c r="H116">
        <v>900</v>
      </c>
      <c r="I116">
        <v>900</v>
      </c>
      <c r="J116">
        <v>0</v>
      </c>
      <c r="K116">
        <v>900</v>
      </c>
      <c r="L116">
        <v>241</v>
      </c>
      <c r="M116">
        <v>69.89</v>
      </c>
      <c r="N116" t="s">
        <v>50</v>
      </c>
      <c r="O116" t="s">
        <v>194</v>
      </c>
      <c r="P116" t="s">
        <v>194</v>
      </c>
      <c r="Q116" t="s">
        <v>194</v>
      </c>
      <c r="R116" t="s">
        <v>195</v>
      </c>
      <c r="S116" t="s">
        <v>195</v>
      </c>
      <c r="T116" t="s">
        <v>51</v>
      </c>
      <c r="U116">
        <v>126</v>
      </c>
      <c r="V116" t="s">
        <v>52</v>
      </c>
      <c r="W116" t="s">
        <v>103</v>
      </c>
      <c r="X116" s="4">
        <v>0</v>
      </c>
      <c r="Y116" t="s">
        <v>54</v>
      </c>
      <c r="Z116">
        <v>241</v>
      </c>
      <c r="AA116">
        <v>0</v>
      </c>
      <c r="AB116">
        <v>0</v>
      </c>
      <c r="AC116">
        <v>0</v>
      </c>
      <c r="AD116">
        <v>0</v>
      </c>
      <c r="AE116" s="3">
        <v>1000</v>
      </c>
      <c r="AF116" t="s">
        <v>195</v>
      </c>
      <c r="AG116" t="s">
        <v>55</v>
      </c>
      <c r="AH116" t="s">
        <v>104</v>
      </c>
      <c r="AI116" t="s">
        <v>56</v>
      </c>
      <c r="AJ116" t="s">
        <v>56</v>
      </c>
      <c r="AK116" s="5">
        <v>46050.450312499997</v>
      </c>
      <c r="AO116" t="s">
        <v>195</v>
      </c>
      <c r="AP116">
        <v>0</v>
      </c>
      <c r="AR116" t="s">
        <v>195</v>
      </c>
      <c r="AS116" t="s">
        <v>195</v>
      </c>
      <c r="AT116">
        <v>5486</v>
      </c>
      <c r="AU116" t="s">
        <v>51</v>
      </c>
    </row>
    <row r="117" spans="1:47" x14ac:dyDescent="0.25">
      <c r="A117" t="s">
        <v>78</v>
      </c>
      <c r="B117" s="1">
        <v>38487</v>
      </c>
      <c r="C117" t="s">
        <v>48</v>
      </c>
      <c r="D117" t="s">
        <v>49</v>
      </c>
      <c r="E117" s="2">
        <v>46050</v>
      </c>
      <c r="F117" t="s">
        <v>152</v>
      </c>
      <c r="G117" t="s">
        <v>61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194</v>
      </c>
      <c r="P117" t="s">
        <v>194</v>
      </c>
      <c r="Q117" t="s">
        <v>194</v>
      </c>
      <c r="R117" t="s">
        <v>195</v>
      </c>
      <c r="S117" t="s">
        <v>195</v>
      </c>
      <c r="T117" t="s">
        <v>51</v>
      </c>
      <c r="U117">
        <v>126</v>
      </c>
      <c r="V117" t="s">
        <v>52</v>
      </c>
      <c r="W117" t="s">
        <v>109</v>
      </c>
      <c r="X117" s="4">
        <v>0</v>
      </c>
      <c r="Y117" t="s">
        <v>57</v>
      </c>
    </row>
    <row r="118" spans="1:47" x14ac:dyDescent="0.25">
      <c r="A118" t="s">
        <v>58</v>
      </c>
      <c r="B118">
        <v>0</v>
      </c>
      <c r="C118">
        <v>0</v>
      </c>
      <c r="D118">
        <v>468</v>
      </c>
      <c r="E118">
        <v>0</v>
      </c>
      <c r="F118" s="3">
        <v>2460</v>
      </c>
      <c r="G118" s="3">
        <v>6000</v>
      </c>
      <c r="H118" t="s">
        <v>195</v>
      </c>
      <c r="I118" t="s">
        <v>55</v>
      </c>
      <c r="J118" t="s">
        <v>67</v>
      </c>
      <c r="K118" t="s">
        <v>56</v>
      </c>
      <c r="L118" t="s">
        <v>56</v>
      </c>
      <c r="M118" s="5">
        <v>46050.45449074074</v>
      </c>
      <c r="Q118" t="s">
        <v>195</v>
      </c>
      <c r="R118">
        <v>0</v>
      </c>
      <c r="T118" t="s">
        <v>195</v>
      </c>
      <c r="U118" t="s">
        <v>195</v>
      </c>
      <c r="V118">
        <v>8105</v>
      </c>
      <c r="W118" t="s">
        <v>51</v>
      </c>
      <c r="X118" s="4"/>
    </row>
    <row r="119" spans="1:47" x14ac:dyDescent="0.25">
      <c r="A119" t="s">
        <v>78</v>
      </c>
      <c r="B119" s="1">
        <v>38488</v>
      </c>
      <c r="C119" t="s">
        <v>48</v>
      </c>
      <c r="D119" t="s">
        <v>49</v>
      </c>
      <c r="E119" s="2">
        <v>46050</v>
      </c>
      <c r="F119" t="s">
        <v>152</v>
      </c>
      <c r="G119" t="s">
        <v>61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194</v>
      </c>
      <c r="P119" t="s">
        <v>194</v>
      </c>
      <c r="Q119" t="s">
        <v>194</v>
      </c>
      <c r="R119" t="s">
        <v>195</v>
      </c>
      <c r="S119" t="s">
        <v>195</v>
      </c>
      <c r="T119" t="s">
        <v>51</v>
      </c>
      <c r="U119">
        <v>126</v>
      </c>
      <c r="V119" t="s">
        <v>52</v>
      </c>
      <c r="W119" t="s">
        <v>109</v>
      </c>
      <c r="X119" s="4">
        <v>0</v>
      </c>
      <c r="Y119" t="s">
        <v>57</v>
      </c>
    </row>
    <row r="120" spans="1:47" x14ac:dyDescent="0.25">
      <c r="A120" t="s">
        <v>58</v>
      </c>
      <c r="B120">
        <v>666</v>
      </c>
      <c r="C120">
        <v>0</v>
      </c>
      <c r="D120">
        <v>0</v>
      </c>
      <c r="E120">
        <v>0</v>
      </c>
      <c r="F120" s="3">
        <v>2355</v>
      </c>
      <c r="G120" s="3">
        <v>7000</v>
      </c>
      <c r="H120" t="s">
        <v>195</v>
      </c>
      <c r="I120" t="s">
        <v>55</v>
      </c>
      <c r="J120" t="s">
        <v>67</v>
      </c>
      <c r="K120" t="s">
        <v>56</v>
      </c>
      <c r="L120" t="s">
        <v>56</v>
      </c>
      <c r="M120" s="5">
        <v>46050.460289351853</v>
      </c>
      <c r="Q120" t="s">
        <v>195</v>
      </c>
      <c r="R120">
        <v>0</v>
      </c>
      <c r="T120" t="s">
        <v>195</v>
      </c>
      <c r="U120" t="s">
        <v>195</v>
      </c>
      <c r="V120">
        <v>8105</v>
      </c>
      <c r="W120" t="s">
        <v>51</v>
      </c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231</v>
      </c>
      <c r="G121" t="s">
        <v>232</v>
      </c>
      <c r="H121" s="3">
        <v>7092</v>
      </c>
      <c r="I121" s="3">
        <v>7092</v>
      </c>
      <c r="J121">
        <v>0</v>
      </c>
      <c r="K121" s="3">
        <v>8155.8</v>
      </c>
      <c r="L121">
        <v>605.4</v>
      </c>
      <c r="M121">
        <v>386.25</v>
      </c>
      <c r="N121" t="s">
        <v>207</v>
      </c>
      <c r="O121" t="s">
        <v>194</v>
      </c>
      <c r="P121" t="s">
        <v>194</v>
      </c>
      <c r="Q121" t="s">
        <v>194</v>
      </c>
      <c r="R121" t="s">
        <v>195</v>
      </c>
      <c r="S121" t="s">
        <v>195</v>
      </c>
      <c r="T121" t="s">
        <v>51</v>
      </c>
      <c r="U121">
        <v>167</v>
      </c>
      <c r="V121" t="s">
        <v>79</v>
      </c>
      <c r="W121" t="s">
        <v>53</v>
      </c>
      <c r="X121" s="4">
        <v>0</v>
      </c>
      <c r="Y121" t="s">
        <v>57</v>
      </c>
    </row>
    <row r="122" spans="1:47" x14ac:dyDescent="0.25">
      <c r="A122" t="s">
        <v>58</v>
      </c>
      <c r="B122">
        <v>0</v>
      </c>
      <c r="C122">
        <v>0</v>
      </c>
      <c r="D122">
        <v>605.4</v>
      </c>
      <c r="E122">
        <v>0</v>
      </c>
      <c r="F122">
        <v>0</v>
      </c>
      <c r="G122">
        <v>375</v>
      </c>
      <c r="H122" t="s">
        <v>195</v>
      </c>
      <c r="I122" t="s">
        <v>55</v>
      </c>
      <c r="K122" t="s">
        <v>65</v>
      </c>
      <c r="L122" t="s">
        <v>65</v>
      </c>
      <c r="M122" s="5">
        <v>46051.318055555559</v>
      </c>
      <c r="Q122" t="s">
        <v>195</v>
      </c>
      <c r="R122">
        <v>0</v>
      </c>
      <c r="T122" t="s">
        <v>195</v>
      </c>
      <c r="U122" t="s">
        <v>195</v>
      </c>
      <c r="V122">
        <v>5904</v>
      </c>
      <c r="W122" t="s">
        <v>51</v>
      </c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233</v>
      </c>
      <c r="G123" t="s">
        <v>61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>
        <v>476.44</v>
      </c>
      <c r="N123" t="s">
        <v>70</v>
      </c>
      <c r="O123" t="s">
        <v>194</v>
      </c>
      <c r="P123" t="s">
        <v>194</v>
      </c>
      <c r="Q123" t="s">
        <v>194</v>
      </c>
      <c r="R123" t="s">
        <v>195</v>
      </c>
      <c r="S123" t="s">
        <v>195</v>
      </c>
      <c r="T123" t="s">
        <v>51</v>
      </c>
      <c r="U123">
        <v>9</v>
      </c>
      <c r="V123" t="s">
        <v>63</v>
      </c>
      <c r="W123" t="s">
        <v>77</v>
      </c>
      <c r="X123" s="4">
        <v>0</v>
      </c>
      <c r="Y123" t="s">
        <v>54</v>
      </c>
      <c r="Z123">
        <v>0</v>
      </c>
      <c r="AA123" s="3">
        <v>1033.5</v>
      </c>
      <c r="AB123">
        <v>0</v>
      </c>
      <c r="AC123">
        <v>0</v>
      </c>
      <c r="AD123">
        <v>0</v>
      </c>
      <c r="AE123" s="3">
        <v>1300</v>
      </c>
      <c r="AF123" t="s">
        <v>195</v>
      </c>
      <c r="AG123" t="s">
        <v>55</v>
      </c>
      <c r="AI123" t="s">
        <v>65</v>
      </c>
      <c r="AJ123" t="s">
        <v>65</v>
      </c>
      <c r="AK123" s="5">
        <v>46051.317708333336</v>
      </c>
      <c r="AO123" t="s">
        <v>195</v>
      </c>
      <c r="AP123">
        <v>0</v>
      </c>
      <c r="AR123" t="s">
        <v>195</v>
      </c>
      <c r="AS123" t="s">
        <v>195</v>
      </c>
      <c r="AT123">
        <v>3723</v>
      </c>
      <c r="AU123" t="s">
        <v>51</v>
      </c>
    </row>
    <row r="124" spans="1:47" x14ac:dyDescent="0.25">
      <c r="A124" t="s">
        <v>78</v>
      </c>
      <c r="B124" s="1">
        <v>38492</v>
      </c>
      <c r="C124" t="s">
        <v>48</v>
      </c>
      <c r="D124" t="s">
        <v>49</v>
      </c>
      <c r="E124" s="2">
        <v>46051</v>
      </c>
      <c r="F124" t="s">
        <v>149</v>
      </c>
      <c r="G124" t="s">
        <v>59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>
        <v>748.7</v>
      </c>
      <c r="N124" t="s">
        <v>50</v>
      </c>
      <c r="O124" t="s">
        <v>194</v>
      </c>
      <c r="P124" t="s">
        <v>194</v>
      </c>
      <c r="Q124" t="s">
        <v>194</v>
      </c>
      <c r="R124" t="s">
        <v>195</v>
      </c>
      <c r="S124" t="s">
        <v>195</v>
      </c>
      <c r="T124" t="s">
        <v>51</v>
      </c>
      <c r="U124">
        <v>126</v>
      </c>
      <c r="V124" t="s">
        <v>52</v>
      </c>
      <c r="W124" t="s">
        <v>98</v>
      </c>
      <c r="X124" s="4">
        <v>0</v>
      </c>
      <c r="Y124" t="s">
        <v>54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195</v>
      </c>
      <c r="AG124" t="s">
        <v>55</v>
      </c>
      <c r="AH124" t="s">
        <v>104</v>
      </c>
      <c r="AI124" t="s">
        <v>56</v>
      </c>
      <c r="AJ124" t="s">
        <v>56</v>
      </c>
      <c r="AK124" s="5">
        <v>46051.685995370368</v>
      </c>
      <c r="AO124" t="s">
        <v>195</v>
      </c>
      <c r="AP124">
        <v>0</v>
      </c>
      <c r="AR124" t="s">
        <v>195</v>
      </c>
      <c r="AS124" t="s">
        <v>195</v>
      </c>
      <c r="AT124">
        <v>5486</v>
      </c>
      <c r="AU124" t="s">
        <v>51</v>
      </c>
    </row>
    <row r="125" spans="1:47" x14ac:dyDescent="0.25">
      <c r="A125" t="s">
        <v>78</v>
      </c>
      <c r="B125" s="1">
        <v>38493</v>
      </c>
      <c r="C125" t="s">
        <v>48</v>
      </c>
      <c r="D125" t="s">
        <v>49</v>
      </c>
      <c r="E125" s="2">
        <v>46051</v>
      </c>
      <c r="F125" t="s">
        <v>234</v>
      </c>
      <c r="G125" t="s">
        <v>128</v>
      </c>
      <c r="H125" s="3">
        <v>2288</v>
      </c>
      <c r="I125" s="3">
        <v>2288</v>
      </c>
      <c r="J125">
        <v>0</v>
      </c>
      <c r="K125" s="3">
        <v>2288</v>
      </c>
      <c r="L125">
        <v>329.6</v>
      </c>
      <c r="M125">
        <v>210.28</v>
      </c>
      <c r="N125" t="s">
        <v>50</v>
      </c>
      <c r="O125" t="s">
        <v>194</v>
      </c>
      <c r="P125" t="s">
        <v>194</v>
      </c>
      <c r="Q125" t="s">
        <v>194</v>
      </c>
      <c r="R125" t="s">
        <v>195</v>
      </c>
      <c r="S125" t="s">
        <v>195</v>
      </c>
      <c r="T125" t="s">
        <v>51</v>
      </c>
      <c r="U125">
        <v>126</v>
      </c>
      <c r="V125" t="s">
        <v>52</v>
      </c>
      <c r="W125" t="s">
        <v>89</v>
      </c>
      <c r="X125" s="4">
        <v>0</v>
      </c>
      <c r="Y125" t="s">
        <v>57</v>
      </c>
    </row>
    <row r="126" spans="1:47" x14ac:dyDescent="0.25">
      <c r="A126" t="s">
        <v>58</v>
      </c>
      <c r="B126">
        <v>0</v>
      </c>
      <c r="C126">
        <v>0</v>
      </c>
      <c r="D126">
        <v>329.6</v>
      </c>
      <c r="E126">
        <v>0</v>
      </c>
      <c r="F126">
        <v>0</v>
      </c>
      <c r="G126">
        <v>800</v>
      </c>
      <c r="H126" t="s">
        <v>195</v>
      </c>
      <c r="I126" t="s">
        <v>55</v>
      </c>
      <c r="K126" t="s">
        <v>56</v>
      </c>
      <c r="L126" t="s">
        <v>56</v>
      </c>
      <c r="M126" s="5">
        <v>46051.468425925923</v>
      </c>
      <c r="Q126" t="s">
        <v>195</v>
      </c>
      <c r="R126">
        <v>0</v>
      </c>
      <c r="T126" t="s">
        <v>195</v>
      </c>
      <c r="U126" t="s">
        <v>195</v>
      </c>
      <c r="V126">
        <v>7429</v>
      </c>
      <c r="W126" t="s">
        <v>51</v>
      </c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235</v>
      </c>
      <c r="G127" t="s">
        <v>61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>
        <v>419.45</v>
      </c>
      <c r="N127" t="s">
        <v>66</v>
      </c>
      <c r="O127" t="s">
        <v>194</v>
      </c>
      <c r="P127" t="s">
        <v>194</v>
      </c>
      <c r="Q127" t="s">
        <v>194</v>
      </c>
      <c r="R127" t="s">
        <v>195</v>
      </c>
      <c r="S127" t="s">
        <v>195</v>
      </c>
      <c r="T127" t="s">
        <v>51</v>
      </c>
      <c r="U127">
        <v>83</v>
      </c>
      <c r="V127" t="s">
        <v>92</v>
      </c>
      <c r="W127" t="s">
        <v>77</v>
      </c>
      <c r="X127" s="4">
        <v>0</v>
      </c>
      <c r="Y127" t="s">
        <v>57</v>
      </c>
    </row>
    <row r="128" spans="1:47" x14ac:dyDescent="0.25">
      <c r="A128" t="s">
        <v>58</v>
      </c>
      <c r="B128" s="3">
        <v>1290.5999999999999</v>
      </c>
      <c r="C128">
        <v>0</v>
      </c>
      <c r="D128">
        <v>0</v>
      </c>
      <c r="E128">
        <v>0</v>
      </c>
      <c r="F128">
        <v>0</v>
      </c>
      <c r="G128" s="3">
        <v>1200</v>
      </c>
      <c r="H128" t="s">
        <v>195</v>
      </c>
      <c r="I128" t="s">
        <v>55</v>
      </c>
      <c r="K128" t="s">
        <v>68</v>
      </c>
      <c r="L128" t="s">
        <v>65</v>
      </c>
      <c r="M128" s="5">
        <v>46051.603935185187</v>
      </c>
      <c r="Q128" t="s">
        <v>195</v>
      </c>
      <c r="R128">
        <v>0</v>
      </c>
      <c r="T128" t="s">
        <v>195</v>
      </c>
      <c r="U128" t="s">
        <v>195</v>
      </c>
      <c r="V128">
        <v>4126</v>
      </c>
      <c r="W128" t="s">
        <v>51</v>
      </c>
    </row>
    <row r="129" spans="1:47" x14ac:dyDescent="0.25">
      <c r="A129" t="s">
        <v>78</v>
      </c>
      <c r="B129" s="1">
        <v>38495</v>
      </c>
      <c r="C129" t="s">
        <v>48</v>
      </c>
      <c r="D129" t="s">
        <v>49</v>
      </c>
      <c r="E129" s="2">
        <v>46051</v>
      </c>
      <c r="F129" t="s">
        <v>236</v>
      </c>
      <c r="G129" t="s">
        <v>91</v>
      </c>
      <c r="H129" s="3">
        <v>3820</v>
      </c>
      <c r="I129" s="3">
        <v>3820</v>
      </c>
      <c r="J129">
        <v>0</v>
      </c>
      <c r="K129" s="3">
        <v>3820</v>
      </c>
      <c r="L129">
        <v>690.5</v>
      </c>
      <c r="M129">
        <v>303.3</v>
      </c>
      <c r="N129" t="s">
        <v>50</v>
      </c>
      <c r="O129" t="s">
        <v>194</v>
      </c>
      <c r="P129" t="s">
        <v>194</v>
      </c>
      <c r="Q129" t="s">
        <v>194</v>
      </c>
      <c r="R129" t="s">
        <v>195</v>
      </c>
      <c r="S129" t="s">
        <v>195</v>
      </c>
      <c r="T129" t="s">
        <v>51</v>
      </c>
      <c r="U129">
        <v>126</v>
      </c>
      <c r="V129" t="s">
        <v>52</v>
      </c>
      <c r="W129" t="s">
        <v>64</v>
      </c>
      <c r="X129" s="4">
        <v>0</v>
      </c>
      <c r="Y129" t="s">
        <v>153</v>
      </c>
      <c r="Z129">
        <v>118</v>
      </c>
      <c r="AA129">
        <v>0</v>
      </c>
      <c r="AB129">
        <v>0</v>
      </c>
      <c r="AC129">
        <v>0</v>
      </c>
      <c r="AD129">
        <v>572.5</v>
      </c>
      <c r="AE129" s="3">
        <v>1500</v>
      </c>
      <c r="AF129" t="s">
        <v>195</v>
      </c>
      <c r="AG129" t="s">
        <v>55</v>
      </c>
      <c r="AI129" t="s">
        <v>56</v>
      </c>
      <c r="AJ129" t="s">
        <v>56</v>
      </c>
      <c r="AK129" s="5">
        <v>46051.548159722224</v>
      </c>
      <c r="AO129" t="s">
        <v>195</v>
      </c>
      <c r="AP129">
        <v>0</v>
      </c>
      <c r="AR129" t="s">
        <v>195</v>
      </c>
      <c r="AS129" t="s">
        <v>195</v>
      </c>
      <c r="AT129">
        <v>4075</v>
      </c>
      <c r="AU129" t="s">
        <v>51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237</v>
      </c>
      <c r="G130" t="s">
        <v>232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>
        <v>954.78</v>
      </c>
      <c r="N130" t="s">
        <v>66</v>
      </c>
      <c r="O130" t="s">
        <v>194</v>
      </c>
      <c r="P130" t="s">
        <v>194</v>
      </c>
      <c r="Q130" t="s">
        <v>194</v>
      </c>
      <c r="R130" t="s">
        <v>195</v>
      </c>
      <c r="S130" t="s">
        <v>195</v>
      </c>
      <c r="T130" t="s">
        <v>51</v>
      </c>
      <c r="U130">
        <v>83</v>
      </c>
      <c r="V130" t="s">
        <v>238</v>
      </c>
      <c r="W130" t="s">
        <v>109</v>
      </c>
      <c r="X130" s="4">
        <v>0</v>
      </c>
      <c r="Y130" t="s">
        <v>57</v>
      </c>
    </row>
    <row r="131" spans="1:47" x14ac:dyDescent="0.25">
      <c r="A131" t="s">
        <v>58</v>
      </c>
      <c r="B131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195</v>
      </c>
      <c r="I131" t="s">
        <v>55</v>
      </c>
      <c r="K131" t="s">
        <v>68</v>
      </c>
      <c r="L131" t="s">
        <v>65</v>
      </c>
      <c r="M131" s="5">
        <v>46052.339131944442</v>
      </c>
      <c r="Q131" t="s">
        <v>195</v>
      </c>
      <c r="R131">
        <v>0</v>
      </c>
      <c r="T131" t="s">
        <v>195</v>
      </c>
      <c r="U131" t="s">
        <v>195</v>
      </c>
      <c r="V131">
        <v>7023</v>
      </c>
      <c r="W131" t="s">
        <v>51</v>
      </c>
    </row>
    <row r="132" spans="1:47" x14ac:dyDescent="0.25">
      <c r="A132" t="s">
        <v>69</v>
      </c>
      <c r="B132" s="1">
        <v>38497</v>
      </c>
      <c r="C132" t="s">
        <v>48</v>
      </c>
      <c r="D132" t="s">
        <v>49</v>
      </c>
      <c r="E132" s="2">
        <v>46051</v>
      </c>
      <c r="F132" t="s">
        <v>239</v>
      </c>
      <c r="G132" t="s">
        <v>61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>
        <v>328.41</v>
      </c>
      <c r="N132" t="s">
        <v>66</v>
      </c>
      <c r="O132" t="s">
        <v>194</v>
      </c>
      <c r="P132" t="s">
        <v>194</v>
      </c>
      <c r="Q132" t="s">
        <v>194</v>
      </c>
      <c r="R132" t="s">
        <v>195</v>
      </c>
      <c r="S132" t="s">
        <v>195</v>
      </c>
      <c r="T132" t="s">
        <v>51</v>
      </c>
      <c r="U132">
        <v>83</v>
      </c>
      <c r="V132" t="s">
        <v>92</v>
      </c>
      <c r="W132" t="s">
        <v>240</v>
      </c>
      <c r="X132" s="4">
        <v>0</v>
      </c>
      <c r="Y132" t="s">
        <v>57</v>
      </c>
    </row>
    <row r="133" spans="1:47" x14ac:dyDescent="0.25">
      <c r="A133" t="s">
        <v>58</v>
      </c>
      <c r="B133">
        <v>0</v>
      </c>
      <c r="C133">
        <v>0</v>
      </c>
      <c r="D133">
        <v>571.14</v>
      </c>
      <c r="E133">
        <v>0</v>
      </c>
      <c r="F133">
        <v>0</v>
      </c>
      <c r="G133">
        <v>380</v>
      </c>
      <c r="H133" t="s">
        <v>195</v>
      </c>
      <c r="I133" t="s">
        <v>55</v>
      </c>
      <c r="K133" t="s">
        <v>68</v>
      </c>
      <c r="L133" t="s">
        <v>65</v>
      </c>
      <c r="M133" s="5">
        <v>46051.687615740739</v>
      </c>
      <c r="Q133" t="s">
        <v>195</v>
      </c>
      <c r="R133">
        <v>0</v>
      </c>
      <c r="T133" t="s">
        <v>195</v>
      </c>
      <c r="U133" t="s">
        <v>195</v>
      </c>
      <c r="V133">
        <v>8443</v>
      </c>
      <c r="W133" t="s">
        <v>51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129</v>
      </c>
      <c r="G134" t="s">
        <v>128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>
        <v>921.11</v>
      </c>
      <c r="N134" t="s">
        <v>50</v>
      </c>
      <c r="O134" t="s">
        <v>194</v>
      </c>
      <c r="P134" t="s">
        <v>194</v>
      </c>
      <c r="Q134" t="s">
        <v>194</v>
      </c>
      <c r="R134" t="s">
        <v>195</v>
      </c>
      <c r="S134" t="s">
        <v>195</v>
      </c>
      <c r="T134" t="s">
        <v>51</v>
      </c>
      <c r="U134">
        <v>126</v>
      </c>
      <c r="V134" t="s">
        <v>52</v>
      </c>
      <c r="W134" t="s">
        <v>53</v>
      </c>
      <c r="X134" s="4">
        <v>0</v>
      </c>
      <c r="Y134" t="s">
        <v>57</v>
      </c>
    </row>
    <row r="135" spans="1:47" x14ac:dyDescent="0.25">
      <c r="A135" t="s">
        <v>58</v>
      </c>
      <c r="B135">
        <v>142.19999999999999</v>
      </c>
      <c r="C135">
        <v>0</v>
      </c>
      <c r="D135" s="3">
        <v>1354.6</v>
      </c>
      <c r="E135">
        <v>0</v>
      </c>
      <c r="F135">
        <v>0</v>
      </c>
      <c r="G135" s="3">
        <v>2000</v>
      </c>
      <c r="H135" t="s">
        <v>195</v>
      </c>
      <c r="I135" t="s">
        <v>55</v>
      </c>
      <c r="J135" t="s">
        <v>130</v>
      </c>
      <c r="K135" t="s">
        <v>56</v>
      </c>
      <c r="L135" t="s">
        <v>56</v>
      </c>
      <c r="M135" s="5">
        <v>46051.691655092596</v>
      </c>
      <c r="Q135" t="s">
        <v>195</v>
      </c>
      <c r="R135">
        <v>0</v>
      </c>
      <c r="T135" t="s">
        <v>195</v>
      </c>
      <c r="U135" t="s">
        <v>195</v>
      </c>
      <c r="V135">
        <v>7006</v>
      </c>
      <c r="W135" t="s">
        <v>51</v>
      </c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193</v>
      </c>
      <c r="G136" t="s">
        <v>128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>
        <v>401.54</v>
      </c>
      <c r="N136" t="s">
        <v>50</v>
      </c>
      <c r="O136" t="s">
        <v>194</v>
      </c>
      <c r="P136" t="s">
        <v>194</v>
      </c>
      <c r="Q136" t="s">
        <v>194</v>
      </c>
      <c r="R136" t="s">
        <v>195</v>
      </c>
      <c r="S136" t="s">
        <v>195</v>
      </c>
      <c r="T136" t="s">
        <v>51</v>
      </c>
      <c r="U136">
        <v>126</v>
      </c>
      <c r="V136" t="s">
        <v>52</v>
      </c>
      <c r="W136" t="s">
        <v>53</v>
      </c>
      <c r="X136" s="4">
        <v>0</v>
      </c>
      <c r="Y136" t="s">
        <v>54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195</v>
      </c>
      <c r="AG136" t="s">
        <v>55</v>
      </c>
      <c r="AI136" t="s">
        <v>56</v>
      </c>
      <c r="AJ136" t="s">
        <v>56</v>
      </c>
      <c r="AK136" s="5">
        <v>46051.677627314813</v>
      </c>
      <c r="AO136" t="s">
        <v>195</v>
      </c>
      <c r="AP136">
        <v>0</v>
      </c>
      <c r="AR136" t="s">
        <v>195</v>
      </c>
      <c r="AS136" t="s">
        <v>195</v>
      </c>
      <c r="AT136">
        <v>6611</v>
      </c>
      <c r="AU136" t="s">
        <v>51</v>
      </c>
    </row>
    <row r="137" spans="1:47" x14ac:dyDescent="0.25">
      <c r="A137" t="s">
        <v>47</v>
      </c>
      <c r="B137" s="1">
        <v>38500</v>
      </c>
      <c r="C137" t="s">
        <v>48</v>
      </c>
      <c r="D137" t="s">
        <v>49</v>
      </c>
      <c r="E137" s="2">
        <v>46052</v>
      </c>
      <c r="F137" t="s">
        <v>123</v>
      </c>
      <c r="G137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125</v>
      </c>
      <c r="O137" t="s">
        <v>194</v>
      </c>
      <c r="P137" t="s">
        <v>194</v>
      </c>
      <c r="Q137" t="s">
        <v>194</v>
      </c>
      <c r="R137" t="s">
        <v>195</v>
      </c>
      <c r="S137" t="s">
        <v>195</v>
      </c>
      <c r="T137" t="s">
        <v>51</v>
      </c>
      <c r="U137">
        <v>43</v>
      </c>
      <c r="W137" t="s">
        <v>64</v>
      </c>
      <c r="X137" s="4">
        <v>0</v>
      </c>
      <c r="Y137" t="s">
        <v>54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195</v>
      </c>
      <c r="AG137" t="s">
        <v>55</v>
      </c>
      <c r="AI137" t="s">
        <v>65</v>
      </c>
      <c r="AJ137" t="s">
        <v>65</v>
      </c>
      <c r="AK137" s="5">
        <v>46052.438414351855</v>
      </c>
      <c r="AO137" t="s">
        <v>195</v>
      </c>
      <c r="AP137">
        <v>0</v>
      </c>
      <c r="AR137" t="s">
        <v>195</v>
      </c>
      <c r="AS137" t="s">
        <v>195</v>
      </c>
      <c r="AT137">
        <v>4694</v>
      </c>
      <c r="AU137" t="s">
        <v>51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136</v>
      </c>
      <c r="G138" t="s">
        <v>137</v>
      </c>
      <c r="H138" s="3">
        <v>2690</v>
      </c>
      <c r="I138" s="3">
        <v>2690</v>
      </c>
      <c r="J138">
        <v>0</v>
      </c>
      <c r="K138" s="3">
        <v>2690</v>
      </c>
      <c r="L138">
        <v>339</v>
      </c>
      <c r="M138">
        <v>216.28</v>
      </c>
      <c r="N138" t="s">
        <v>70</v>
      </c>
      <c r="O138" t="s">
        <v>194</v>
      </c>
      <c r="P138" t="s">
        <v>194</v>
      </c>
      <c r="Q138" t="s">
        <v>194</v>
      </c>
      <c r="R138" t="s">
        <v>195</v>
      </c>
      <c r="S138" t="s">
        <v>195</v>
      </c>
      <c r="T138" t="s">
        <v>51</v>
      </c>
      <c r="U138">
        <v>9</v>
      </c>
      <c r="V138" t="s">
        <v>52</v>
      </c>
      <c r="W138" t="s">
        <v>138</v>
      </c>
      <c r="X138" s="4">
        <v>0</v>
      </c>
      <c r="Y138" t="s">
        <v>54</v>
      </c>
      <c r="Z138">
        <v>0</v>
      </c>
      <c r="AA138">
        <v>0</v>
      </c>
      <c r="AB138">
        <v>339</v>
      </c>
      <c r="AC138">
        <v>0</v>
      </c>
      <c r="AD138">
        <v>0</v>
      </c>
      <c r="AE138" s="3">
        <v>1000</v>
      </c>
      <c r="AF138" t="s">
        <v>195</v>
      </c>
      <c r="AG138" t="s">
        <v>55</v>
      </c>
      <c r="AI138" t="s">
        <v>75</v>
      </c>
      <c r="AJ138" t="s">
        <v>75</v>
      </c>
      <c r="AK138" s="5">
        <v>46052.445231481484</v>
      </c>
      <c r="AO138" t="s">
        <v>195</v>
      </c>
      <c r="AP138">
        <v>0</v>
      </c>
      <c r="AR138" t="s">
        <v>195</v>
      </c>
      <c r="AS138" t="s">
        <v>195</v>
      </c>
      <c r="AT138">
        <v>3124</v>
      </c>
      <c r="AU138" t="s">
        <v>51</v>
      </c>
    </row>
    <row r="139" spans="1:47" x14ac:dyDescent="0.25">
      <c r="A139" t="s">
        <v>69</v>
      </c>
      <c r="B139" s="1">
        <v>38503</v>
      </c>
      <c r="C139" t="s">
        <v>48</v>
      </c>
      <c r="D139" t="s">
        <v>49</v>
      </c>
      <c r="E139" s="2">
        <v>46052</v>
      </c>
      <c r="F139" t="s">
        <v>241</v>
      </c>
      <c r="G139" t="s">
        <v>202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70</v>
      </c>
      <c r="O139" t="s">
        <v>194</v>
      </c>
      <c r="P139" t="s">
        <v>194</v>
      </c>
      <c r="Q139" t="s">
        <v>194</v>
      </c>
      <c r="R139" t="s">
        <v>195</v>
      </c>
      <c r="S139" t="s">
        <v>195</v>
      </c>
      <c r="T139" t="s">
        <v>51</v>
      </c>
      <c r="U139">
        <v>9</v>
      </c>
      <c r="W139" t="s">
        <v>154</v>
      </c>
      <c r="X139" s="4">
        <v>0</v>
      </c>
      <c r="Y139" t="s">
        <v>57</v>
      </c>
    </row>
    <row r="140" spans="1:47" x14ac:dyDescent="0.25">
      <c r="A140" t="s">
        <v>58</v>
      </c>
      <c r="B140">
        <v>0</v>
      </c>
      <c r="C140" s="3">
        <v>5213.1000000000004</v>
      </c>
      <c r="D140">
        <v>0</v>
      </c>
      <c r="E140">
        <v>0</v>
      </c>
      <c r="F140">
        <v>0</v>
      </c>
      <c r="G140" s="3">
        <v>2300</v>
      </c>
      <c r="H140" t="s">
        <v>195</v>
      </c>
      <c r="I140" t="s">
        <v>55</v>
      </c>
      <c r="K140" t="s">
        <v>75</v>
      </c>
      <c r="L140" t="s">
        <v>75</v>
      </c>
      <c r="M140" s="5">
        <v>46052.518252314818</v>
      </c>
      <c r="Q140" t="s">
        <v>195</v>
      </c>
      <c r="R140">
        <v>0</v>
      </c>
      <c r="T140" t="s">
        <v>195</v>
      </c>
      <c r="U140" t="s">
        <v>195</v>
      </c>
      <c r="V140">
        <v>8856</v>
      </c>
      <c r="W140" t="s">
        <v>51</v>
      </c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85</v>
      </c>
      <c r="G141" t="s">
        <v>86</v>
      </c>
      <c r="H141">
        <v>870</v>
      </c>
      <c r="I141">
        <v>870</v>
      </c>
      <c r="J141">
        <v>0</v>
      </c>
      <c r="K141">
        <v>870</v>
      </c>
      <c r="L141">
        <v>143.4</v>
      </c>
      <c r="M141">
        <v>55.93</v>
      </c>
      <c r="N141" t="s">
        <v>50</v>
      </c>
      <c r="O141" t="s">
        <v>194</v>
      </c>
      <c r="P141" t="s">
        <v>194</v>
      </c>
      <c r="Q141" t="s">
        <v>194</v>
      </c>
      <c r="R141" t="s">
        <v>195</v>
      </c>
      <c r="S141" t="s">
        <v>195</v>
      </c>
      <c r="T141" t="s">
        <v>51</v>
      </c>
      <c r="U141">
        <v>126</v>
      </c>
      <c r="V141" t="s">
        <v>52</v>
      </c>
      <c r="W141" t="s">
        <v>200</v>
      </c>
      <c r="X141" s="4">
        <v>0</v>
      </c>
      <c r="Y141" t="s">
        <v>54</v>
      </c>
      <c r="Z141">
        <v>143.4</v>
      </c>
      <c r="AA141">
        <v>0</v>
      </c>
      <c r="AB141">
        <v>0</v>
      </c>
      <c r="AC141">
        <v>0</v>
      </c>
      <c r="AD141">
        <v>0</v>
      </c>
      <c r="AE141">
        <v>600</v>
      </c>
      <c r="AF141" t="s">
        <v>195</v>
      </c>
      <c r="AG141" t="s">
        <v>55</v>
      </c>
      <c r="AH141" t="s">
        <v>88</v>
      </c>
      <c r="AI141" t="s">
        <v>56</v>
      </c>
      <c r="AJ141" t="s">
        <v>56</v>
      </c>
      <c r="AK141" s="5">
        <v>46055.343298611115</v>
      </c>
      <c r="AO141" t="s">
        <v>195</v>
      </c>
      <c r="AP141">
        <v>0</v>
      </c>
      <c r="AR141" t="s">
        <v>195</v>
      </c>
      <c r="AS141" t="s">
        <v>195</v>
      </c>
      <c r="AT141">
        <v>4089</v>
      </c>
      <c r="AU141" t="s">
        <v>51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84</v>
      </c>
      <c r="G142" t="s">
        <v>61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194</v>
      </c>
      <c r="P142" t="s">
        <v>194</v>
      </c>
      <c r="Q142" t="s">
        <v>194</v>
      </c>
      <c r="R142" t="s">
        <v>195</v>
      </c>
      <c r="S142" t="s">
        <v>195</v>
      </c>
      <c r="T142" t="s">
        <v>51</v>
      </c>
      <c r="U142">
        <v>126</v>
      </c>
      <c r="V142" t="s">
        <v>52</v>
      </c>
      <c r="W142" t="s">
        <v>77</v>
      </c>
      <c r="X142" s="4">
        <v>0</v>
      </c>
      <c r="Y142" t="s">
        <v>54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195</v>
      </c>
      <c r="AG142" t="s">
        <v>55</v>
      </c>
      <c r="AI142" t="s">
        <v>56</v>
      </c>
      <c r="AJ142" t="s">
        <v>56</v>
      </c>
      <c r="AK142" s="5">
        <v>46055.483912037038</v>
      </c>
      <c r="AO142" t="s">
        <v>195</v>
      </c>
      <c r="AP142">
        <v>0</v>
      </c>
      <c r="AR142" t="s">
        <v>195</v>
      </c>
      <c r="AS142" t="s">
        <v>195</v>
      </c>
      <c r="AT142">
        <v>1877</v>
      </c>
      <c r="AU142" t="s">
        <v>51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84</v>
      </c>
      <c r="G143" t="s">
        <v>61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>
        <v>907.92</v>
      </c>
      <c r="N143" t="s">
        <v>50</v>
      </c>
      <c r="O143" t="s">
        <v>194</v>
      </c>
      <c r="P143" t="s">
        <v>194</v>
      </c>
      <c r="Q143" t="s">
        <v>194</v>
      </c>
      <c r="R143" t="s">
        <v>195</v>
      </c>
      <c r="S143" t="s">
        <v>195</v>
      </c>
      <c r="T143" t="s">
        <v>51</v>
      </c>
      <c r="U143">
        <v>126</v>
      </c>
      <c r="V143" t="s">
        <v>52</v>
      </c>
      <c r="W143" t="s">
        <v>77</v>
      </c>
      <c r="X143" s="4">
        <v>0</v>
      </c>
      <c r="Y143" t="s">
        <v>54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195</v>
      </c>
      <c r="AG143" t="s">
        <v>55</v>
      </c>
      <c r="AI143" t="s">
        <v>56</v>
      </c>
      <c r="AJ143" t="s">
        <v>56</v>
      </c>
      <c r="AK143" s="5">
        <v>46055.489907407406</v>
      </c>
      <c r="AO143" t="s">
        <v>195</v>
      </c>
      <c r="AP143">
        <v>0</v>
      </c>
      <c r="AR143" t="s">
        <v>195</v>
      </c>
      <c r="AS143" t="s">
        <v>195</v>
      </c>
      <c r="AT143">
        <v>1877</v>
      </c>
      <c r="AU143" t="s">
        <v>51</v>
      </c>
    </row>
    <row r="144" spans="1:47" x14ac:dyDescent="0.25">
      <c r="A144" t="s">
        <v>78</v>
      </c>
      <c r="B144" s="1">
        <v>38507</v>
      </c>
      <c r="C144" t="s">
        <v>48</v>
      </c>
      <c r="D144" t="s">
        <v>49</v>
      </c>
      <c r="E144" s="2">
        <v>46055</v>
      </c>
      <c r="F144" t="s">
        <v>242</v>
      </c>
      <c r="G144" t="s">
        <v>59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>
        <v>364.15</v>
      </c>
      <c r="N144" t="s">
        <v>50</v>
      </c>
      <c r="O144" t="s">
        <v>194</v>
      </c>
      <c r="P144" t="s">
        <v>194</v>
      </c>
      <c r="Q144" t="s">
        <v>194</v>
      </c>
      <c r="R144" t="s">
        <v>195</v>
      </c>
      <c r="S144" t="s">
        <v>195</v>
      </c>
      <c r="T144" t="s">
        <v>51</v>
      </c>
      <c r="U144">
        <v>126</v>
      </c>
      <c r="V144" t="s">
        <v>52</v>
      </c>
      <c r="W144" t="s">
        <v>64</v>
      </c>
      <c r="X144" s="4">
        <v>0</v>
      </c>
      <c r="Y144" t="s">
        <v>57</v>
      </c>
    </row>
    <row r="145" spans="1:47" x14ac:dyDescent="0.25">
      <c r="A145" t="s">
        <v>58</v>
      </c>
      <c r="B145" s="3">
        <v>1240.83</v>
      </c>
      <c r="C145">
        <v>0</v>
      </c>
      <c r="D145">
        <v>0</v>
      </c>
      <c r="E145">
        <v>0</v>
      </c>
      <c r="F145">
        <v>0</v>
      </c>
      <c r="G145" s="3">
        <v>3175</v>
      </c>
      <c r="H145" t="s">
        <v>195</v>
      </c>
      <c r="I145" t="s">
        <v>55</v>
      </c>
      <c r="K145" t="s">
        <v>56</v>
      </c>
      <c r="L145" t="s">
        <v>56</v>
      </c>
      <c r="M145" s="5">
        <v>46056.375428240739</v>
      </c>
      <c r="Q145" t="s">
        <v>195</v>
      </c>
      <c r="R145">
        <v>0</v>
      </c>
      <c r="T145" t="s">
        <v>195</v>
      </c>
      <c r="U145" t="s">
        <v>195</v>
      </c>
      <c r="V145">
        <v>8454</v>
      </c>
      <c r="W145" t="s">
        <v>51</v>
      </c>
    </row>
    <row r="146" spans="1:47" x14ac:dyDescent="0.25">
      <c r="A146" t="s">
        <v>78</v>
      </c>
      <c r="B146" s="1">
        <v>38508</v>
      </c>
      <c r="C146" t="s">
        <v>48</v>
      </c>
      <c r="D146" t="s">
        <v>49</v>
      </c>
      <c r="E146" s="2">
        <v>46056</v>
      </c>
      <c r="F146" t="s">
        <v>243</v>
      </c>
      <c r="G146" t="s">
        <v>218</v>
      </c>
      <c r="H146" s="3">
        <v>1704</v>
      </c>
      <c r="I146" s="3">
        <v>1704</v>
      </c>
      <c r="J146">
        <v>0</v>
      </c>
      <c r="K146" s="3">
        <v>1704</v>
      </c>
      <c r="L146">
        <v>215.4</v>
      </c>
      <c r="M146">
        <v>128.16</v>
      </c>
      <c r="N146" t="s">
        <v>50</v>
      </c>
      <c r="O146" t="s">
        <v>194</v>
      </c>
      <c r="P146" t="s">
        <v>194</v>
      </c>
      <c r="Q146" t="s">
        <v>194</v>
      </c>
      <c r="R146" t="s">
        <v>195</v>
      </c>
      <c r="S146" t="s">
        <v>195</v>
      </c>
      <c r="T146" t="s">
        <v>51</v>
      </c>
      <c r="U146">
        <v>126</v>
      </c>
      <c r="V146" t="s">
        <v>52</v>
      </c>
      <c r="W146" t="s">
        <v>89</v>
      </c>
      <c r="X146" s="4">
        <v>0</v>
      </c>
      <c r="Y146" t="s">
        <v>57</v>
      </c>
    </row>
    <row r="147" spans="1:47" x14ac:dyDescent="0.25">
      <c r="A147" t="s">
        <v>58</v>
      </c>
      <c r="B147">
        <v>0</v>
      </c>
      <c r="C147">
        <v>0</v>
      </c>
      <c r="D147">
        <v>215.4</v>
      </c>
      <c r="E147">
        <v>0</v>
      </c>
      <c r="F147">
        <v>0</v>
      </c>
      <c r="G147">
        <v>600</v>
      </c>
      <c r="H147" t="s">
        <v>195</v>
      </c>
      <c r="I147" t="s">
        <v>55</v>
      </c>
      <c r="K147" t="s">
        <v>56</v>
      </c>
      <c r="L147" t="s">
        <v>56</v>
      </c>
      <c r="M147" s="5">
        <v>46056.394178240742</v>
      </c>
      <c r="Q147" t="s">
        <v>195</v>
      </c>
      <c r="R147">
        <v>0</v>
      </c>
      <c r="T147" t="s">
        <v>195</v>
      </c>
      <c r="U147" t="s">
        <v>195</v>
      </c>
      <c r="V147">
        <v>7986</v>
      </c>
      <c r="W147" t="s">
        <v>51</v>
      </c>
    </row>
    <row r="148" spans="1:47" x14ac:dyDescent="0.25">
      <c r="A148" t="s">
        <v>78</v>
      </c>
      <c r="B148" s="1">
        <v>38509</v>
      </c>
      <c r="C148" t="s">
        <v>48</v>
      </c>
      <c r="D148" t="s">
        <v>49</v>
      </c>
      <c r="E148" s="2">
        <v>46056</v>
      </c>
      <c r="F148" t="s">
        <v>242</v>
      </c>
      <c r="G148" t="s">
        <v>59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>
        <v>364.15</v>
      </c>
      <c r="N148" t="s">
        <v>50</v>
      </c>
      <c r="O148" t="s">
        <v>194</v>
      </c>
      <c r="P148" t="s">
        <v>194</v>
      </c>
      <c r="Q148" t="s">
        <v>194</v>
      </c>
      <c r="R148" t="s">
        <v>195</v>
      </c>
      <c r="S148" t="s">
        <v>195</v>
      </c>
      <c r="T148" t="s">
        <v>51</v>
      </c>
      <c r="U148">
        <v>126</v>
      </c>
      <c r="V148" t="s">
        <v>52</v>
      </c>
      <c r="W148" t="s">
        <v>64</v>
      </c>
      <c r="X148" s="4">
        <v>0</v>
      </c>
      <c r="Y148" t="s">
        <v>57</v>
      </c>
    </row>
    <row r="149" spans="1:47" x14ac:dyDescent="0.25">
      <c r="A149" t="s">
        <v>58</v>
      </c>
      <c r="B149" s="3">
        <v>1240.83</v>
      </c>
      <c r="C149">
        <v>0</v>
      </c>
      <c r="D149">
        <v>0</v>
      </c>
      <c r="E149">
        <v>0</v>
      </c>
      <c r="F149">
        <v>0</v>
      </c>
      <c r="G149" s="3">
        <v>3175</v>
      </c>
      <c r="H149" t="s">
        <v>195</v>
      </c>
      <c r="I149" t="s">
        <v>55</v>
      </c>
      <c r="K149" t="s">
        <v>56</v>
      </c>
      <c r="L149" t="s">
        <v>56</v>
      </c>
      <c r="M149" s="5">
        <v>46056.411585648151</v>
      </c>
      <c r="Q149" t="s">
        <v>195</v>
      </c>
      <c r="R149">
        <v>0</v>
      </c>
      <c r="T149" t="s">
        <v>195</v>
      </c>
      <c r="U149" t="s">
        <v>195</v>
      </c>
      <c r="V149">
        <v>8454</v>
      </c>
      <c r="W149" t="s">
        <v>51</v>
      </c>
    </row>
    <row r="150" spans="1:47" x14ac:dyDescent="0.25">
      <c r="A150" t="s">
        <v>78</v>
      </c>
      <c r="B150" s="1">
        <v>38510</v>
      </c>
      <c r="C150" t="s">
        <v>48</v>
      </c>
      <c r="D150" t="s">
        <v>49</v>
      </c>
      <c r="E150" s="2">
        <v>46056</v>
      </c>
      <c r="F150" t="s">
        <v>244</v>
      </c>
      <c r="G150" t="s">
        <v>245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>
        <v>448.5</v>
      </c>
      <c r="N150" t="s">
        <v>66</v>
      </c>
      <c r="O150" t="s">
        <v>194</v>
      </c>
      <c r="P150" t="s">
        <v>194</v>
      </c>
      <c r="Q150" t="s">
        <v>194</v>
      </c>
      <c r="R150" t="s">
        <v>195</v>
      </c>
      <c r="S150" t="s">
        <v>195</v>
      </c>
      <c r="T150" t="s">
        <v>51</v>
      </c>
      <c r="U150">
        <v>83</v>
      </c>
      <c r="V150" t="s">
        <v>92</v>
      </c>
      <c r="W150" t="s">
        <v>109</v>
      </c>
      <c r="X150" s="4">
        <v>0</v>
      </c>
      <c r="Y150" t="s">
        <v>57</v>
      </c>
    </row>
    <row r="151" spans="1:47" x14ac:dyDescent="0.25">
      <c r="A151" t="s">
        <v>58</v>
      </c>
      <c r="B151" s="3">
        <v>1380</v>
      </c>
      <c r="C151">
        <v>0</v>
      </c>
      <c r="D151">
        <v>0</v>
      </c>
      <c r="E151">
        <v>0</v>
      </c>
      <c r="F151">
        <v>0</v>
      </c>
      <c r="G151" s="3">
        <v>3000</v>
      </c>
      <c r="H151" t="s">
        <v>195</v>
      </c>
      <c r="I151" t="s">
        <v>55</v>
      </c>
      <c r="K151" t="s">
        <v>68</v>
      </c>
      <c r="L151" t="s">
        <v>65</v>
      </c>
      <c r="M151" s="5">
        <v>46056.637974537036</v>
      </c>
      <c r="Q151" t="s">
        <v>195</v>
      </c>
      <c r="R151">
        <v>0</v>
      </c>
      <c r="T151" t="s">
        <v>195</v>
      </c>
      <c r="U151" t="s">
        <v>195</v>
      </c>
      <c r="V151">
        <v>5908</v>
      </c>
      <c r="W151" t="s">
        <v>51</v>
      </c>
    </row>
    <row r="152" spans="1:47" x14ac:dyDescent="0.25">
      <c r="A152" t="s">
        <v>78</v>
      </c>
      <c r="B152" s="1">
        <v>38511</v>
      </c>
      <c r="C152" t="s">
        <v>48</v>
      </c>
      <c r="D152" t="s">
        <v>49</v>
      </c>
      <c r="E152" s="2">
        <v>46056</v>
      </c>
      <c r="F152" t="s">
        <v>246</v>
      </c>
      <c r="G152" t="s">
        <v>247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83</v>
      </c>
      <c r="O152" t="s">
        <v>194</v>
      </c>
      <c r="P152" t="s">
        <v>194</v>
      </c>
      <c r="Q152" t="s">
        <v>194</v>
      </c>
      <c r="R152" t="s">
        <v>195</v>
      </c>
      <c r="S152" t="s">
        <v>195</v>
      </c>
      <c r="T152" t="s">
        <v>51</v>
      </c>
      <c r="U152">
        <v>145</v>
      </c>
      <c r="V152" t="s">
        <v>75</v>
      </c>
      <c r="W152" t="s">
        <v>95</v>
      </c>
      <c r="X152" s="4">
        <v>0</v>
      </c>
      <c r="Y152" t="s">
        <v>54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195</v>
      </c>
      <c r="AG152" t="s">
        <v>55</v>
      </c>
      <c r="AH152" t="s">
        <v>67</v>
      </c>
      <c r="AI152" t="s">
        <v>65</v>
      </c>
      <c r="AJ152" t="s">
        <v>75</v>
      </c>
      <c r="AK152" s="5">
        <v>46056.690995370373</v>
      </c>
      <c r="AO152" t="s">
        <v>195</v>
      </c>
      <c r="AP152">
        <v>0</v>
      </c>
      <c r="AR152" t="s">
        <v>195</v>
      </c>
      <c r="AS152" t="s">
        <v>195</v>
      </c>
      <c r="AT152">
        <v>8600</v>
      </c>
      <c r="AU152" t="s">
        <v>51</v>
      </c>
    </row>
    <row r="153" spans="1:47" x14ac:dyDescent="0.25">
      <c r="A153" t="s">
        <v>47</v>
      </c>
      <c r="B153" s="1">
        <v>38512</v>
      </c>
      <c r="C153" t="s">
        <v>48</v>
      </c>
      <c r="D153" t="s">
        <v>49</v>
      </c>
      <c r="E153" s="2">
        <v>46056</v>
      </c>
      <c r="F153" t="s">
        <v>248</v>
      </c>
      <c r="G153" t="s">
        <v>61</v>
      </c>
      <c r="H153" s="3">
        <v>4845.8999999999996</v>
      </c>
      <c r="I153" s="3">
        <v>4845.8999999999996</v>
      </c>
      <c r="J153">
        <v>0</v>
      </c>
      <c r="K153" s="3">
        <v>5572.78</v>
      </c>
      <c r="L153">
        <v>922.55</v>
      </c>
      <c r="M153">
        <v>295.60000000000002</v>
      </c>
      <c r="N153" t="s">
        <v>66</v>
      </c>
      <c r="O153" t="s">
        <v>194</v>
      </c>
      <c r="P153" t="s">
        <v>194</v>
      </c>
      <c r="Q153" t="s">
        <v>194</v>
      </c>
      <c r="R153" t="s">
        <v>195</v>
      </c>
      <c r="S153" t="s">
        <v>195</v>
      </c>
      <c r="T153" t="s">
        <v>51</v>
      </c>
      <c r="U153">
        <v>83</v>
      </c>
      <c r="W153" t="s">
        <v>106</v>
      </c>
      <c r="X153" s="4">
        <v>0</v>
      </c>
      <c r="Y153" t="s">
        <v>57</v>
      </c>
    </row>
    <row r="154" spans="1:47" x14ac:dyDescent="0.25">
      <c r="A154" t="s">
        <v>58</v>
      </c>
      <c r="B154">
        <v>922.55</v>
      </c>
      <c r="C154">
        <v>0</v>
      </c>
      <c r="D154">
        <v>0</v>
      </c>
      <c r="E154">
        <v>0</v>
      </c>
      <c r="F154">
        <v>0</v>
      </c>
      <c r="G154" s="3">
        <v>1030</v>
      </c>
      <c r="H154" t="s">
        <v>195</v>
      </c>
      <c r="I154" t="s">
        <v>55</v>
      </c>
      <c r="K154" t="s">
        <v>68</v>
      </c>
      <c r="L154" t="s">
        <v>65</v>
      </c>
      <c r="M154" s="5">
        <v>46056.636597222219</v>
      </c>
      <c r="Q154" t="s">
        <v>195</v>
      </c>
      <c r="R154">
        <v>0</v>
      </c>
      <c r="T154" t="s">
        <v>195</v>
      </c>
      <c r="U154" t="s">
        <v>195</v>
      </c>
      <c r="V154">
        <v>7361</v>
      </c>
      <c r="W154" t="s">
        <v>51</v>
      </c>
    </row>
    <row r="155" spans="1:47" x14ac:dyDescent="0.25">
      <c r="A155" t="s">
        <v>78</v>
      </c>
      <c r="B155" s="1">
        <v>38514</v>
      </c>
      <c r="C155" t="s">
        <v>48</v>
      </c>
      <c r="D155" t="s">
        <v>49</v>
      </c>
      <c r="E155" s="2">
        <v>46057</v>
      </c>
      <c r="F155" t="s">
        <v>113</v>
      </c>
      <c r="G155" t="s">
        <v>73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>
        <v>653.74</v>
      </c>
      <c r="N155" t="s">
        <v>50</v>
      </c>
      <c r="O155" t="s">
        <v>194</v>
      </c>
      <c r="P155" t="s">
        <v>194</v>
      </c>
      <c r="Q155" t="s">
        <v>194</v>
      </c>
      <c r="R155" t="s">
        <v>195</v>
      </c>
      <c r="S155" t="s">
        <v>195</v>
      </c>
      <c r="T155" t="s">
        <v>51</v>
      </c>
      <c r="U155">
        <v>126</v>
      </c>
      <c r="V155" t="s">
        <v>52</v>
      </c>
      <c r="W155" t="s">
        <v>74</v>
      </c>
      <c r="X155" s="4">
        <v>0</v>
      </c>
      <c r="Y155" t="s">
        <v>57</v>
      </c>
    </row>
    <row r="156" spans="1:47" x14ac:dyDescent="0.25">
      <c r="A156" t="s">
        <v>58</v>
      </c>
      <c r="B156">
        <v>0</v>
      </c>
      <c r="C156">
        <v>0</v>
      </c>
      <c r="D156">
        <v>0</v>
      </c>
      <c r="E156">
        <v>0</v>
      </c>
      <c r="F156" s="3">
        <v>1257.2</v>
      </c>
      <c r="G156" s="3">
        <v>3600</v>
      </c>
      <c r="H156" t="s">
        <v>195</v>
      </c>
      <c r="I156" t="s">
        <v>55</v>
      </c>
      <c r="K156" t="s">
        <v>56</v>
      </c>
      <c r="L156" t="s">
        <v>56</v>
      </c>
      <c r="M156" s="5">
        <v>46057.402233796296</v>
      </c>
      <c r="Q156" t="s">
        <v>195</v>
      </c>
      <c r="R156">
        <v>0</v>
      </c>
      <c r="T156" t="s">
        <v>195</v>
      </c>
      <c r="U156" t="s">
        <v>195</v>
      </c>
      <c r="V156">
        <v>8070</v>
      </c>
      <c r="W156" t="s">
        <v>51</v>
      </c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102</v>
      </c>
      <c r="G157" t="s">
        <v>59</v>
      </c>
      <c r="H157" s="3">
        <v>1389.4</v>
      </c>
      <c r="I157" s="3">
        <v>1389.4</v>
      </c>
      <c r="J157">
        <v>0</v>
      </c>
      <c r="K157" s="3">
        <v>1597.81</v>
      </c>
      <c r="L157">
        <v>150.12</v>
      </c>
      <c r="M157">
        <v>112.29</v>
      </c>
      <c r="N157" t="s">
        <v>70</v>
      </c>
      <c r="O157" t="s">
        <v>194</v>
      </c>
      <c r="P157" t="s">
        <v>194</v>
      </c>
      <c r="Q157" t="s">
        <v>194</v>
      </c>
      <c r="R157" t="s">
        <v>195</v>
      </c>
      <c r="S157" t="s">
        <v>195</v>
      </c>
      <c r="T157" t="s">
        <v>51</v>
      </c>
      <c r="U157">
        <v>9</v>
      </c>
      <c r="V157" t="s">
        <v>63</v>
      </c>
      <c r="W157" t="s">
        <v>53</v>
      </c>
      <c r="X157" s="4">
        <v>0</v>
      </c>
      <c r="Y157" t="s">
        <v>54</v>
      </c>
      <c r="Z157">
        <v>0</v>
      </c>
      <c r="AA157">
        <v>0</v>
      </c>
      <c r="AB157">
        <v>150.12</v>
      </c>
      <c r="AC157">
        <v>0</v>
      </c>
      <c r="AD157">
        <v>0</v>
      </c>
      <c r="AE157">
        <v>40</v>
      </c>
      <c r="AF157" t="s">
        <v>195</v>
      </c>
      <c r="AG157" t="s">
        <v>55</v>
      </c>
      <c r="AI157" t="s">
        <v>65</v>
      </c>
      <c r="AJ157" t="s">
        <v>65</v>
      </c>
      <c r="AK157" s="5">
        <v>46057.414085648146</v>
      </c>
      <c r="AO157" t="s">
        <v>195</v>
      </c>
      <c r="AP157">
        <v>0</v>
      </c>
      <c r="AR157" t="s">
        <v>195</v>
      </c>
      <c r="AS157" t="s">
        <v>195</v>
      </c>
      <c r="AT157">
        <v>1009</v>
      </c>
      <c r="AU157" t="s">
        <v>51</v>
      </c>
    </row>
    <row r="158" spans="1:47" x14ac:dyDescent="0.25">
      <c r="A158" t="s">
        <v>78</v>
      </c>
      <c r="B158" s="1">
        <v>38516</v>
      </c>
      <c r="C158" t="s">
        <v>48</v>
      </c>
      <c r="D158" t="s">
        <v>49</v>
      </c>
      <c r="E158" s="2">
        <v>46057</v>
      </c>
      <c r="F158" t="s">
        <v>110</v>
      </c>
      <c r="G158" t="s">
        <v>59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>
        <v>319.3</v>
      </c>
      <c r="N158" t="s">
        <v>50</v>
      </c>
      <c r="O158" t="s">
        <v>194</v>
      </c>
      <c r="P158" t="s">
        <v>194</v>
      </c>
      <c r="Q158" t="s">
        <v>194</v>
      </c>
      <c r="R158" t="s">
        <v>195</v>
      </c>
      <c r="S158" t="s">
        <v>195</v>
      </c>
      <c r="T158" t="s">
        <v>51</v>
      </c>
      <c r="U158">
        <v>126</v>
      </c>
      <c r="V158" t="s">
        <v>52</v>
      </c>
      <c r="W158" t="s">
        <v>77</v>
      </c>
      <c r="X158" s="4">
        <v>0</v>
      </c>
      <c r="Y158" t="s">
        <v>54</v>
      </c>
      <c r="Z158" s="3">
        <v>1060</v>
      </c>
      <c r="AA158">
        <v>0</v>
      </c>
      <c r="AB158">
        <v>0</v>
      </c>
      <c r="AC158">
        <v>0</v>
      </c>
      <c r="AD158">
        <v>0</v>
      </c>
      <c r="AE158" s="3">
        <v>25000</v>
      </c>
      <c r="AF158" t="s">
        <v>195</v>
      </c>
      <c r="AG158" t="s">
        <v>55</v>
      </c>
      <c r="AH158" t="s">
        <v>104</v>
      </c>
      <c r="AI158" t="s">
        <v>56</v>
      </c>
      <c r="AJ158" t="s">
        <v>56</v>
      </c>
      <c r="AK158" s="5">
        <v>46057.417604166665</v>
      </c>
      <c r="AO158" t="s">
        <v>195</v>
      </c>
      <c r="AP158">
        <v>0</v>
      </c>
      <c r="AR158" t="s">
        <v>195</v>
      </c>
      <c r="AS158" t="s">
        <v>195</v>
      </c>
      <c r="AT158">
        <v>4759</v>
      </c>
      <c r="AU158" t="s">
        <v>51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102</v>
      </c>
      <c r="G159" t="s">
        <v>59</v>
      </c>
      <c r="H159" s="3">
        <v>2165.1999999999998</v>
      </c>
      <c r="I159" s="3">
        <v>2165.1999999999998</v>
      </c>
      <c r="J159">
        <v>0</v>
      </c>
      <c r="K159" s="3">
        <v>2489.98</v>
      </c>
      <c r="L159">
        <v>210.16</v>
      </c>
      <c r="M159">
        <v>157.19999999999999</v>
      </c>
      <c r="N159" t="s">
        <v>70</v>
      </c>
      <c r="O159" t="s">
        <v>194</v>
      </c>
      <c r="P159" t="s">
        <v>194</v>
      </c>
      <c r="Q159" t="s">
        <v>194</v>
      </c>
      <c r="R159" t="s">
        <v>195</v>
      </c>
      <c r="S159" t="s">
        <v>195</v>
      </c>
      <c r="T159" t="s">
        <v>51</v>
      </c>
      <c r="U159">
        <v>9</v>
      </c>
      <c r="V159" t="s">
        <v>63</v>
      </c>
      <c r="W159" t="s">
        <v>53</v>
      </c>
      <c r="X159" s="4">
        <v>0</v>
      </c>
      <c r="Y159" t="s">
        <v>54</v>
      </c>
      <c r="Z159">
        <v>0</v>
      </c>
      <c r="AA159">
        <v>0</v>
      </c>
      <c r="AB159">
        <v>210.16</v>
      </c>
      <c r="AC159">
        <v>0</v>
      </c>
      <c r="AD159">
        <v>0</v>
      </c>
      <c r="AE159">
        <v>60</v>
      </c>
      <c r="AF159" t="s">
        <v>195</v>
      </c>
      <c r="AG159" t="s">
        <v>55</v>
      </c>
      <c r="AI159" t="s">
        <v>65</v>
      </c>
      <c r="AJ159" t="s">
        <v>65</v>
      </c>
      <c r="AK159" s="5">
        <v>46057.419872685183</v>
      </c>
      <c r="AO159" t="s">
        <v>195</v>
      </c>
      <c r="AP159">
        <v>0</v>
      </c>
      <c r="AR159" t="s">
        <v>195</v>
      </c>
      <c r="AS159" t="s">
        <v>195</v>
      </c>
      <c r="AT159">
        <v>1009</v>
      </c>
      <c r="AU159" t="s">
        <v>51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102</v>
      </c>
      <c r="G160" t="s">
        <v>59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>
        <v>351.59</v>
      </c>
      <c r="N160" t="s">
        <v>70</v>
      </c>
      <c r="O160" t="s">
        <v>194</v>
      </c>
      <c r="P160" t="s">
        <v>194</v>
      </c>
      <c r="Q160" t="s">
        <v>194</v>
      </c>
      <c r="R160" t="s">
        <v>195</v>
      </c>
      <c r="S160" t="s">
        <v>195</v>
      </c>
      <c r="T160" t="s">
        <v>51</v>
      </c>
      <c r="U160">
        <v>9</v>
      </c>
      <c r="V160" t="s">
        <v>63</v>
      </c>
      <c r="W160" t="s">
        <v>53</v>
      </c>
      <c r="X160" s="4">
        <v>0</v>
      </c>
      <c r="Y160" t="s">
        <v>54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195</v>
      </c>
      <c r="AG160" t="s">
        <v>55</v>
      </c>
      <c r="AI160" t="s">
        <v>65</v>
      </c>
      <c r="AJ160" t="s">
        <v>65</v>
      </c>
      <c r="AK160" s="5">
        <v>46057.421446759261</v>
      </c>
      <c r="AO160" t="s">
        <v>195</v>
      </c>
      <c r="AP160">
        <v>0</v>
      </c>
      <c r="AR160" t="s">
        <v>195</v>
      </c>
      <c r="AS160" t="s">
        <v>195</v>
      </c>
      <c r="AT160">
        <v>1009</v>
      </c>
      <c r="AU160" t="s">
        <v>51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102</v>
      </c>
      <c r="G161" t="s">
        <v>59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>
        <v>175.93</v>
      </c>
      <c r="N161" t="s">
        <v>70</v>
      </c>
      <c r="O161" t="s">
        <v>194</v>
      </c>
      <c r="P161" t="s">
        <v>194</v>
      </c>
      <c r="Q161" t="s">
        <v>194</v>
      </c>
      <c r="R161" t="s">
        <v>195</v>
      </c>
      <c r="S161" t="s">
        <v>195</v>
      </c>
      <c r="T161" t="s">
        <v>51</v>
      </c>
      <c r="U161">
        <v>9</v>
      </c>
      <c r="V161" t="s">
        <v>63</v>
      </c>
      <c r="W161" t="s">
        <v>53</v>
      </c>
      <c r="X161" s="4">
        <v>0</v>
      </c>
      <c r="Y161" t="s">
        <v>54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195</v>
      </c>
      <c r="AG161" t="s">
        <v>55</v>
      </c>
      <c r="AI161" t="s">
        <v>65</v>
      </c>
      <c r="AJ161" t="s">
        <v>65</v>
      </c>
      <c r="AK161" s="5">
        <v>46057.424016203702</v>
      </c>
      <c r="AO161" t="s">
        <v>195</v>
      </c>
      <c r="AP161">
        <v>0</v>
      </c>
      <c r="AR161" t="s">
        <v>195</v>
      </c>
      <c r="AS161" t="s">
        <v>195</v>
      </c>
      <c r="AT161">
        <v>1009</v>
      </c>
      <c r="AU161" t="s">
        <v>51</v>
      </c>
    </row>
    <row r="162" spans="1:47" x14ac:dyDescent="0.25">
      <c r="A162" t="s">
        <v>78</v>
      </c>
      <c r="B162" s="1">
        <v>38521</v>
      </c>
      <c r="C162" t="s">
        <v>48</v>
      </c>
      <c r="D162" t="s">
        <v>49</v>
      </c>
      <c r="E162" s="2">
        <v>46057</v>
      </c>
      <c r="F162" t="s">
        <v>249</v>
      </c>
      <c r="G162" t="s">
        <v>61</v>
      </c>
      <c r="H162" s="3">
        <v>4709</v>
      </c>
      <c r="I162" s="3">
        <v>4709</v>
      </c>
      <c r="J162">
        <v>0</v>
      </c>
      <c r="K162" s="3">
        <v>4709</v>
      </c>
      <c r="L162">
        <v>969</v>
      </c>
      <c r="M162">
        <v>377.91</v>
      </c>
      <c r="N162" t="s">
        <v>70</v>
      </c>
      <c r="O162" t="s">
        <v>194</v>
      </c>
      <c r="P162" t="s">
        <v>194</v>
      </c>
      <c r="Q162" t="s">
        <v>194</v>
      </c>
      <c r="R162" t="s">
        <v>195</v>
      </c>
      <c r="S162" t="s">
        <v>195</v>
      </c>
      <c r="T162" t="s">
        <v>51</v>
      </c>
      <c r="U162">
        <v>9</v>
      </c>
      <c r="V162" t="s">
        <v>63</v>
      </c>
      <c r="W162" t="s">
        <v>103</v>
      </c>
      <c r="X162" s="4">
        <v>0</v>
      </c>
      <c r="Y162" t="s">
        <v>54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195</v>
      </c>
      <c r="AG162" t="s">
        <v>55</v>
      </c>
      <c r="AI162" t="s">
        <v>65</v>
      </c>
      <c r="AJ162" t="s">
        <v>65</v>
      </c>
      <c r="AK162" s="5">
        <v>46057.615706018521</v>
      </c>
      <c r="AO162" t="s">
        <v>195</v>
      </c>
      <c r="AP162">
        <v>0</v>
      </c>
      <c r="AR162" t="s">
        <v>195</v>
      </c>
      <c r="AS162" t="s">
        <v>195</v>
      </c>
      <c r="AT162">
        <v>3508</v>
      </c>
      <c r="AU162" t="s">
        <v>51</v>
      </c>
    </row>
    <row r="163" spans="1:47" x14ac:dyDescent="0.25">
      <c r="A163" t="s">
        <v>47</v>
      </c>
      <c r="B163" s="1">
        <v>38523</v>
      </c>
      <c r="C163" t="s">
        <v>48</v>
      </c>
      <c r="D163" t="s">
        <v>49</v>
      </c>
      <c r="E163" s="2">
        <v>46057</v>
      </c>
      <c r="F163" t="s">
        <v>250</v>
      </c>
      <c r="G163" t="s">
        <v>245</v>
      </c>
      <c r="H163" s="3">
        <v>4020</v>
      </c>
      <c r="I163" s="3">
        <v>4020</v>
      </c>
      <c r="J163">
        <v>0</v>
      </c>
      <c r="K163" s="3">
        <v>4623</v>
      </c>
      <c r="L163">
        <v>732</v>
      </c>
      <c r="M163">
        <v>212.28</v>
      </c>
      <c r="N163" t="s">
        <v>70</v>
      </c>
      <c r="O163" t="s">
        <v>194</v>
      </c>
      <c r="P163" t="s">
        <v>194</v>
      </c>
      <c r="Q163" t="s">
        <v>194</v>
      </c>
      <c r="R163" t="s">
        <v>195</v>
      </c>
      <c r="S163" t="s">
        <v>195</v>
      </c>
      <c r="T163" t="s">
        <v>51</v>
      </c>
      <c r="U163">
        <v>9</v>
      </c>
      <c r="V163" t="s">
        <v>63</v>
      </c>
      <c r="W163" t="s">
        <v>89</v>
      </c>
      <c r="X163" s="4">
        <v>0</v>
      </c>
      <c r="Y163" t="s">
        <v>54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195</v>
      </c>
      <c r="AG163" t="s">
        <v>55</v>
      </c>
      <c r="AI163" t="s">
        <v>65</v>
      </c>
      <c r="AJ163" t="s">
        <v>65</v>
      </c>
      <c r="AK163" s="5">
        <v>46057.694733796299</v>
      </c>
      <c r="AO163" t="s">
        <v>195</v>
      </c>
      <c r="AP163">
        <v>0</v>
      </c>
      <c r="AR163" t="s">
        <v>195</v>
      </c>
      <c r="AS163" t="s">
        <v>195</v>
      </c>
      <c r="AT163">
        <v>6401</v>
      </c>
      <c r="AU163" t="s">
        <v>51</v>
      </c>
    </row>
    <row r="164" spans="1:47" x14ac:dyDescent="0.25">
      <c r="A164" t="s">
        <v>78</v>
      </c>
      <c r="B164" s="1">
        <v>38524</v>
      </c>
      <c r="C164" t="s">
        <v>48</v>
      </c>
      <c r="D164" t="s">
        <v>49</v>
      </c>
      <c r="E164" s="2">
        <v>46057</v>
      </c>
      <c r="F164" t="s">
        <v>97</v>
      </c>
      <c r="G164" t="s">
        <v>76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>
        <v>303.05</v>
      </c>
      <c r="N164" t="s">
        <v>83</v>
      </c>
      <c r="O164" t="s">
        <v>194</v>
      </c>
      <c r="P164" t="s">
        <v>194</v>
      </c>
      <c r="Q164" t="s">
        <v>194</v>
      </c>
      <c r="R164" t="s">
        <v>195</v>
      </c>
      <c r="S164" t="s">
        <v>195</v>
      </c>
      <c r="T164" t="s">
        <v>51</v>
      </c>
      <c r="U164">
        <v>145</v>
      </c>
      <c r="W164" t="s">
        <v>98</v>
      </c>
      <c r="X164" s="4">
        <v>0</v>
      </c>
      <c r="Y164" t="s">
        <v>57</v>
      </c>
    </row>
    <row r="165" spans="1:47" x14ac:dyDescent="0.25">
      <c r="A165" t="s">
        <v>58</v>
      </c>
      <c r="B165" s="3">
        <v>1045</v>
      </c>
      <c r="C165">
        <v>0</v>
      </c>
      <c r="D165">
        <v>0</v>
      </c>
      <c r="E165">
        <v>0</v>
      </c>
      <c r="F165">
        <v>0</v>
      </c>
      <c r="G165" s="3">
        <v>2200</v>
      </c>
      <c r="H165" t="s">
        <v>195</v>
      </c>
      <c r="I165" t="s">
        <v>55</v>
      </c>
      <c r="J165" t="s">
        <v>99</v>
      </c>
      <c r="K165" t="s">
        <v>65</v>
      </c>
      <c r="L165" t="s">
        <v>65</v>
      </c>
      <c r="M165" s="5">
        <v>46057.728310185186</v>
      </c>
      <c r="Q165" t="s">
        <v>195</v>
      </c>
      <c r="R165">
        <v>0</v>
      </c>
      <c r="T165" t="s">
        <v>195</v>
      </c>
      <c r="U165" t="s">
        <v>195</v>
      </c>
      <c r="V165">
        <v>8241</v>
      </c>
      <c r="W165" t="s">
        <v>51</v>
      </c>
    </row>
    <row r="166" spans="1:47" x14ac:dyDescent="0.25">
      <c r="A166" t="s">
        <v>78</v>
      </c>
      <c r="B166" s="1">
        <v>38525</v>
      </c>
      <c r="C166" t="s">
        <v>48</v>
      </c>
      <c r="D166" t="s">
        <v>49</v>
      </c>
      <c r="E166" s="2">
        <v>46058</v>
      </c>
      <c r="F166" t="s">
        <v>105</v>
      </c>
      <c r="G166" t="s">
        <v>61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194</v>
      </c>
      <c r="P166" t="s">
        <v>194</v>
      </c>
      <c r="Q166" t="s">
        <v>194</v>
      </c>
      <c r="R166" t="s">
        <v>195</v>
      </c>
      <c r="S166" t="s">
        <v>195</v>
      </c>
      <c r="T166" t="s">
        <v>51</v>
      </c>
      <c r="U166">
        <v>126</v>
      </c>
      <c r="V166" t="s">
        <v>52</v>
      </c>
      <c r="W166" t="s">
        <v>103</v>
      </c>
      <c r="X166" s="4">
        <v>0</v>
      </c>
      <c r="Y166" t="s">
        <v>54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195</v>
      </c>
      <c r="AG166" t="s">
        <v>55</v>
      </c>
      <c r="AI166" t="s">
        <v>56</v>
      </c>
      <c r="AJ166" t="s">
        <v>56</v>
      </c>
      <c r="AK166" s="5">
        <v>46058.450324074074</v>
      </c>
      <c r="AO166" t="s">
        <v>195</v>
      </c>
      <c r="AP166">
        <v>0</v>
      </c>
      <c r="AR166" t="s">
        <v>195</v>
      </c>
      <c r="AS166" t="s">
        <v>195</v>
      </c>
      <c r="AT166">
        <v>322</v>
      </c>
      <c r="AU166" t="s">
        <v>51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t="s">
        <v>85</v>
      </c>
      <c r="G167" t="s">
        <v>86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>
        <v>700.52</v>
      </c>
      <c r="N167" t="s">
        <v>50</v>
      </c>
      <c r="O167" t="s">
        <v>194</v>
      </c>
      <c r="P167" t="s">
        <v>194</v>
      </c>
      <c r="Q167" t="s">
        <v>194</v>
      </c>
      <c r="R167" t="s">
        <v>195</v>
      </c>
      <c r="S167" t="s">
        <v>195</v>
      </c>
      <c r="T167" t="s">
        <v>51</v>
      </c>
      <c r="U167">
        <v>126</v>
      </c>
      <c r="V167" t="s">
        <v>52</v>
      </c>
      <c r="W167" t="s">
        <v>200</v>
      </c>
      <c r="X167" s="4">
        <v>0</v>
      </c>
      <c r="Y167" t="s">
        <v>54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195</v>
      </c>
      <c r="AG167" t="s">
        <v>55</v>
      </c>
      <c r="AH167" t="s">
        <v>88</v>
      </c>
      <c r="AI167" t="s">
        <v>75</v>
      </c>
      <c r="AJ167" t="s">
        <v>75</v>
      </c>
      <c r="AK167" s="5">
        <v>46059.494930555556</v>
      </c>
      <c r="AO167" t="s">
        <v>195</v>
      </c>
      <c r="AP167">
        <v>0</v>
      </c>
      <c r="AR167" t="s">
        <v>195</v>
      </c>
      <c r="AS167" t="s">
        <v>195</v>
      </c>
      <c r="AT167">
        <v>4089</v>
      </c>
      <c r="AU167" t="s">
        <v>51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80</v>
      </c>
      <c r="G168" t="s">
        <v>76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70</v>
      </c>
      <c r="O168" t="s">
        <v>194</v>
      </c>
      <c r="P168" t="s">
        <v>194</v>
      </c>
      <c r="Q168" t="s">
        <v>194</v>
      </c>
      <c r="R168" t="s">
        <v>195</v>
      </c>
      <c r="S168" t="s">
        <v>195</v>
      </c>
      <c r="T168" t="s">
        <v>51</v>
      </c>
      <c r="U168">
        <v>9</v>
      </c>
      <c r="V168" t="s">
        <v>63</v>
      </c>
      <c r="W168" t="s">
        <v>81</v>
      </c>
      <c r="X168" s="4">
        <v>0</v>
      </c>
      <c r="Y168" t="s">
        <v>54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195</v>
      </c>
      <c r="AG168" t="s">
        <v>55</v>
      </c>
      <c r="AH168" t="s">
        <v>82</v>
      </c>
      <c r="AI168" t="s">
        <v>75</v>
      </c>
      <c r="AJ168" t="s">
        <v>75</v>
      </c>
      <c r="AK168" s="5">
        <v>46059.544537037036</v>
      </c>
      <c r="AO168" t="s">
        <v>195</v>
      </c>
      <c r="AP168">
        <v>0</v>
      </c>
      <c r="AR168" t="s">
        <v>195</v>
      </c>
      <c r="AS168" t="s">
        <v>195</v>
      </c>
      <c r="AT168">
        <v>161</v>
      </c>
      <c r="AU168" t="s">
        <v>51</v>
      </c>
    </row>
    <row r="169" spans="1:47" x14ac:dyDescent="0.25">
      <c r="A169" t="s">
        <v>47</v>
      </c>
      <c r="B169" s="1">
        <v>38528</v>
      </c>
      <c r="C169" t="s">
        <v>48</v>
      </c>
      <c r="D169" t="s">
        <v>49</v>
      </c>
      <c r="E169" s="2">
        <v>46059</v>
      </c>
      <c r="F169" t="s">
        <v>93</v>
      </c>
      <c r="G169" t="s">
        <v>94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>
        <v>897.31</v>
      </c>
      <c r="N169" t="s">
        <v>50</v>
      </c>
      <c r="O169" t="s">
        <v>194</v>
      </c>
      <c r="P169" t="s">
        <v>194</v>
      </c>
      <c r="Q169" t="s">
        <v>194</v>
      </c>
      <c r="R169" t="s">
        <v>195</v>
      </c>
      <c r="S169" t="s">
        <v>195</v>
      </c>
      <c r="T169" t="s">
        <v>51</v>
      </c>
      <c r="U169">
        <v>126</v>
      </c>
      <c r="V169" t="s">
        <v>52</v>
      </c>
      <c r="W169" t="s">
        <v>200</v>
      </c>
      <c r="X169" s="4">
        <v>0</v>
      </c>
      <c r="Y169" t="s">
        <v>57</v>
      </c>
    </row>
    <row r="170" spans="1:47" x14ac:dyDescent="0.25">
      <c r="A170" t="s">
        <v>58</v>
      </c>
      <c r="B170" s="3">
        <v>2102.36</v>
      </c>
      <c r="C170">
        <v>0</v>
      </c>
      <c r="D170">
        <v>0</v>
      </c>
      <c r="E170">
        <v>0</v>
      </c>
      <c r="F170">
        <v>292.8</v>
      </c>
      <c r="G170" s="3">
        <v>3820</v>
      </c>
      <c r="H170" t="s">
        <v>195</v>
      </c>
      <c r="I170" t="s">
        <v>55</v>
      </c>
      <c r="K170" t="s">
        <v>56</v>
      </c>
      <c r="L170" t="s">
        <v>56</v>
      </c>
      <c r="M170" s="5">
        <v>46059.583055555559</v>
      </c>
      <c r="Q170" t="s">
        <v>195</v>
      </c>
      <c r="R170">
        <v>0</v>
      </c>
      <c r="T170" t="s">
        <v>195</v>
      </c>
      <c r="U170" t="s">
        <v>195</v>
      </c>
      <c r="V170">
        <v>6379</v>
      </c>
      <c r="W170" t="s">
        <v>51</v>
      </c>
    </row>
    <row r="171" spans="1:47" x14ac:dyDescent="0.25">
      <c r="A171" t="s">
        <v>78</v>
      </c>
      <c r="B171" s="1">
        <v>38530</v>
      </c>
      <c r="C171" t="s">
        <v>48</v>
      </c>
      <c r="D171" t="s">
        <v>49</v>
      </c>
      <c r="E171" s="2">
        <v>46059</v>
      </c>
      <c r="F171" t="s">
        <v>251</v>
      </c>
      <c r="G171" t="s">
        <v>91</v>
      </c>
      <c r="H171" s="3">
        <v>1569</v>
      </c>
      <c r="I171" s="3">
        <v>1569</v>
      </c>
      <c r="J171">
        <v>0</v>
      </c>
      <c r="K171" s="3">
        <v>1569</v>
      </c>
      <c r="L171">
        <v>297.89999999999998</v>
      </c>
      <c r="M171">
        <v>96.82</v>
      </c>
      <c r="N171" t="s">
        <v>50</v>
      </c>
      <c r="O171" t="s">
        <v>194</v>
      </c>
      <c r="P171" t="s">
        <v>194</v>
      </c>
      <c r="Q171" t="s">
        <v>194</v>
      </c>
      <c r="R171" t="s">
        <v>195</v>
      </c>
      <c r="S171" t="s">
        <v>195</v>
      </c>
      <c r="T171" t="s">
        <v>51</v>
      </c>
      <c r="U171">
        <v>126</v>
      </c>
      <c r="V171" t="s">
        <v>52</v>
      </c>
      <c r="W171" t="s">
        <v>77</v>
      </c>
      <c r="X171" s="4">
        <v>0</v>
      </c>
      <c r="Y171" t="s">
        <v>57</v>
      </c>
    </row>
    <row r="172" spans="1:47" x14ac:dyDescent="0.25">
      <c r="A172" t="s">
        <v>58</v>
      </c>
      <c r="B172">
        <v>297.89999999999998</v>
      </c>
      <c r="C172">
        <v>0</v>
      </c>
      <c r="D172">
        <v>0</v>
      </c>
      <c r="E172">
        <v>0</v>
      </c>
      <c r="F172">
        <v>0</v>
      </c>
      <c r="G172">
        <v>700</v>
      </c>
      <c r="H172" t="s">
        <v>195</v>
      </c>
      <c r="I172" t="s">
        <v>55</v>
      </c>
      <c r="K172" t="s">
        <v>56</v>
      </c>
      <c r="L172" t="s">
        <v>56</v>
      </c>
      <c r="M172" s="5">
        <v>46059.62740740741</v>
      </c>
      <c r="Q172" t="s">
        <v>195</v>
      </c>
      <c r="R172">
        <v>0</v>
      </c>
      <c r="T172" t="s">
        <v>195</v>
      </c>
      <c r="U172" t="s">
        <v>195</v>
      </c>
      <c r="V172">
        <v>8501</v>
      </c>
      <c r="W172" t="s">
        <v>51</v>
      </c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60</v>
      </c>
      <c r="G173" t="s">
        <v>61</v>
      </c>
      <c r="H173" s="3">
        <v>3220</v>
      </c>
      <c r="I173" s="3">
        <v>3220</v>
      </c>
      <c r="J173">
        <v>0</v>
      </c>
      <c r="K173" s="3">
        <v>3703</v>
      </c>
      <c r="L173">
        <v>516</v>
      </c>
      <c r="M173">
        <v>242.52</v>
      </c>
      <c r="N173" t="s">
        <v>62</v>
      </c>
      <c r="O173" t="s">
        <v>194</v>
      </c>
      <c r="P173" t="s">
        <v>194</v>
      </c>
      <c r="Q173" t="s">
        <v>194</v>
      </c>
      <c r="R173" t="s">
        <v>195</v>
      </c>
      <c r="S173" t="s">
        <v>195</v>
      </c>
      <c r="T173" t="s">
        <v>51</v>
      </c>
      <c r="U173">
        <v>76</v>
      </c>
      <c r="V173" t="s">
        <v>63</v>
      </c>
      <c r="W173" t="s">
        <v>64</v>
      </c>
      <c r="X173" s="4">
        <v>0</v>
      </c>
      <c r="Y173" t="s">
        <v>57</v>
      </c>
    </row>
    <row r="174" spans="1:47" x14ac:dyDescent="0.25">
      <c r="A174" t="s">
        <v>58</v>
      </c>
      <c r="B174">
        <v>0</v>
      </c>
      <c r="C174">
        <v>0</v>
      </c>
      <c r="D174">
        <v>0</v>
      </c>
      <c r="E174">
        <v>0</v>
      </c>
      <c r="F174">
        <v>516</v>
      </c>
      <c r="G174">
        <v>400</v>
      </c>
      <c r="H174" t="s">
        <v>195</v>
      </c>
      <c r="I174" t="s">
        <v>55</v>
      </c>
      <c r="K174" t="s">
        <v>65</v>
      </c>
      <c r="L174" t="s">
        <v>65</v>
      </c>
      <c r="M174" s="5">
        <v>46062.387812499997</v>
      </c>
      <c r="Q174" t="s">
        <v>195</v>
      </c>
      <c r="R174">
        <v>0</v>
      </c>
      <c r="T174" t="s">
        <v>195</v>
      </c>
      <c r="U174" t="s">
        <v>195</v>
      </c>
      <c r="V174">
        <v>139</v>
      </c>
      <c r="W174" t="s">
        <v>51</v>
      </c>
    </row>
    <row r="175" spans="1:47" x14ac:dyDescent="0.25">
      <c r="A175" t="s">
        <v>78</v>
      </c>
      <c r="B175" s="1">
        <v>38532</v>
      </c>
      <c r="C175" t="s">
        <v>48</v>
      </c>
      <c r="D175" t="s">
        <v>49</v>
      </c>
      <c r="E175" s="2">
        <v>46062</v>
      </c>
      <c r="F175" t="s">
        <v>252</v>
      </c>
      <c r="G175" t="s">
        <v>76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>
        <v>790.23</v>
      </c>
      <c r="N175" t="s">
        <v>253</v>
      </c>
      <c r="O175" t="s">
        <v>194</v>
      </c>
      <c r="P175" t="s">
        <v>194</v>
      </c>
      <c r="Q175" t="s">
        <v>194</v>
      </c>
      <c r="R175" t="s">
        <v>195</v>
      </c>
      <c r="S175" t="s">
        <v>195</v>
      </c>
      <c r="T175" t="s">
        <v>51</v>
      </c>
      <c r="U175">
        <v>138</v>
      </c>
      <c r="V175" t="s">
        <v>100</v>
      </c>
      <c r="W175" t="s">
        <v>64</v>
      </c>
      <c r="X175" s="4">
        <v>0</v>
      </c>
      <c r="Y175" t="s">
        <v>57</v>
      </c>
    </row>
    <row r="176" spans="1:47" x14ac:dyDescent="0.25">
      <c r="A176" t="s">
        <v>58</v>
      </c>
      <c r="B176">
        <v>0</v>
      </c>
      <c r="C176">
        <v>0</v>
      </c>
      <c r="D176">
        <v>259</v>
      </c>
      <c r="E176">
        <v>0</v>
      </c>
      <c r="F176">
        <v>988.4</v>
      </c>
      <c r="G176" s="3">
        <v>3400</v>
      </c>
      <c r="H176" t="s">
        <v>195</v>
      </c>
      <c r="I176" t="s">
        <v>55</v>
      </c>
      <c r="J176" t="s">
        <v>99</v>
      </c>
      <c r="K176" t="s">
        <v>75</v>
      </c>
      <c r="L176" t="s">
        <v>75</v>
      </c>
      <c r="M176" s="5">
        <v>46062.607604166667</v>
      </c>
      <c r="Q176" t="s">
        <v>195</v>
      </c>
      <c r="R176">
        <v>0</v>
      </c>
      <c r="T176" t="s">
        <v>195</v>
      </c>
      <c r="U176" t="s">
        <v>195</v>
      </c>
      <c r="V176">
        <v>2162</v>
      </c>
      <c r="W176" t="s">
        <v>51</v>
      </c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254</v>
      </c>
      <c r="G177" t="s">
        <v>61</v>
      </c>
      <c r="H177">
        <v>240</v>
      </c>
      <c r="I177">
        <v>240</v>
      </c>
      <c r="J177">
        <v>0</v>
      </c>
      <c r="K177">
        <v>276</v>
      </c>
      <c r="L177">
        <v>68.400000000000006</v>
      </c>
      <c r="M177">
        <v>19.84</v>
      </c>
      <c r="N177" t="s">
        <v>66</v>
      </c>
      <c r="O177" t="s">
        <v>194</v>
      </c>
      <c r="P177" t="s">
        <v>194</v>
      </c>
      <c r="Q177" t="s">
        <v>194</v>
      </c>
      <c r="R177" t="s">
        <v>195</v>
      </c>
      <c r="S177" t="s">
        <v>195</v>
      </c>
      <c r="T177" t="s">
        <v>51</v>
      </c>
      <c r="U177">
        <v>83</v>
      </c>
      <c r="W177" t="s">
        <v>240</v>
      </c>
      <c r="X177" s="4">
        <v>0</v>
      </c>
      <c r="Y177" t="s">
        <v>57</v>
      </c>
    </row>
    <row r="178" spans="1:47" x14ac:dyDescent="0.25">
      <c r="A178" t="s">
        <v>58</v>
      </c>
      <c r="B178">
        <v>68.400000000000006</v>
      </c>
      <c r="C178">
        <v>0</v>
      </c>
      <c r="D178">
        <v>0</v>
      </c>
      <c r="E178">
        <v>0</v>
      </c>
      <c r="F178">
        <v>0</v>
      </c>
      <c r="G178">
        <v>60</v>
      </c>
      <c r="H178" t="s">
        <v>195</v>
      </c>
      <c r="I178" t="s">
        <v>55</v>
      </c>
      <c r="K178" t="s">
        <v>68</v>
      </c>
      <c r="L178" t="s">
        <v>65</v>
      </c>
      <c r="M178" s="5">
        <v>46062.663541666669</v>
      </c>
      <c r="Q178" t="s">
        <v>195</v>
      </c>
      <c r="R178">
        <v>0</v>
      </c>
      <c r="T178" t="s">
        <v>195</v>
      </c>
      <c r="U178" t="s">
        <v>195</v>
      </c>
      <c r="V178">
        <v>8858</v>
      </c>
      <c r="W178" t="s">
        <v>51</v>
      </c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85</v>
      </c>
      <c r="G179" t="s">
        <v>86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>
        <v>609.30999999999995</v>
      </c>
      <c r="N179" t="s">
        <v>50</v>
      </c>
      <c r="O179" t="s">
        <v>194</v>
      </c>
      <c r="P179" t="s">
        <v>194</v>
      </c>
      <c r="Q179" t="s">
        <v>194</v>
      </c>
      <c r="R179" t="s">
        <v>195</v>
      </c>
      <c r="S179" t="s">
        <v>195</v>
      </c>
      <c r="T179" t="s">
        <v>51</v>
      </c>
      <c r="U179">
        <v>126</v>
      </c>
      <c r="V179" t="s">
        <v>52</v>
      </c>
      <c r="W179" t="s">
        <v>200</v>
      </c>
      <c r="X179" s="4">
        <v>0</v>
      </c>
      <c r="Y179" t="s">
        <v>54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195</v>
      </c>
      <c r="AG179" t="s">
        <v>55</v>
      </c>
      <c r="AH179" t="s">
        <v>88</v>
      </c>
      <c r="AI179" t="s">
        <v>75</v>
      </c>
      <c r="AJ179" t="s">
        <v>75</v>
      </c>
      <c r="AK179" s="5">
        <v>46062.690451388888</v>
      </c>
      <c r="AO179" t="s">
        <v>195</v>
      </c>
      <c r="AP179">
        <v>0</v>
      </c>
      <c r="AR179" t="s">
        <v>195</v>
      </c>
      <c r="AS179" t="s">
        <v>195</v>
      </c>
      <c r="AT179">
        <v>4089</v>
      </c>
      <c r="AU179" t="s">
        <v>51</v>
      </c>
    </row>
    <row r="180" spans="1:47" x14ac:dyDescent="0.25">
      <c r="A180" t="s">
        <v>47</v>
      </c>
      <c r="B180" s="1">
        <v>38536</v>
      </c>
      <c r="C180" t="s">
        <v>48</v>
      </c>
      <c r="D180" t="s">
        <v>49</v>
      </c>
      <c r="E180" s="2">
        <v>46062</v>
      </c>
      <c r="F180" t="s">
        <v>80</v>
      </c>
      <c r="G180" t="s">
        <v>76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>
        <v>499.74</v>
      </c>
      <c r="N180" t="s">
        <v>70</v>
      </c>
      <c r="O180" t="s">
        <v>194</v>
      </c>
      <c r="P180" t="s">
        <v>194</v>
      </c>
      <c r="Q180" t="s">
        <v>194</v>
      </c>
      <c r="R180" t="s">
        <v>195</v>
      </c>
      <c r="S180" t="s">
        <v>195</v>
      </c>
      <c r="T180" t="s">
        <v>51</v>
      </c>
      <c r="U180">
        <v>9</v>
      </c>
      <c r="V180" t="s">
        <v>63</v>
      </c>
      <c r="W180" t="s">
        <v>81</v>
      </c>
      <c r="X180" s="4">
        <v>0</v>
      </c>
      <c r="Y180" t="s">
        <v>54</v>
      </c>
      <c r="Z180" s="3">
        <v>1578</v>
      </c>
      <c r="AA180">
        <v>0</v>
      </c>
      <c r="AB180">
        <v>0</v>
      </c>
      <c r="AC180">
        <v>0</v>
      </c>
      <c r="AD180">
        <v>0</v>
      </c>
      <c r="AE180" s="3">
        <v>5000</v>
      </c>
      <c r="AF180" t="s">
        <v>195</v>
      </c>
      <c r="AG180" t="s">
        <v>55</v>
      </c>
      <c r="AH180" t="s">
        <v>82</v>
      </c>
      <c r="AI180" t="s">
        <v>75</v>
      </c>
      <c r="AJ180" t="s">
        <v>75</v>
      </c>
      <c r="AK180" s="5">
        <v>46062.736458333333</v>
      </c>
      <c r="AO180" t="s">
        <v>195</v>
      </c>
      <c r="AP180">
        <v>0</v>
      </c>
      <c r="AR180" t="s">
        <v>195</v>
      </c>
      <c r="AS180" t="s">
        <v>195</v>
      </c>
      <c r="AT180">
        <v>161</v>
      </c>
      <c r="AU180" t="s">
        <v>51</v>
      </c>
    </row>
    <row r="181" spans="1:47" x14ac:dyDescent="0.25">
      <c r="A181" t="s">
        <v>78</v>
      </c>
      <c r="B181" s="1">
        <v>38537</v>
      </c>
      <c r="C181" t="s">
        <v>48</v>
      </c>
      <c r="D181" t="s">
        <v>49</v>
      </c>
      <c r="E181" s="2">
        <v>46063</v>
      </c>
      <c r="F181" t="s">
        <v>219</v>
      </c>
      <c r="G181" t="s">
        <v>59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70</v>
      </c>
      <c r="O181" t="s">
        <v>194</v>
      </c>
      <c r="P181" t="s">
        <v>194</v>
      </c>
      <c r="Q181" t="s">
        <v>194</v>
      </c>
      <c r="R181" t="s">
        <v>195</v>
      </c>
      <c r="S181" t="s">
        <v>195</v>
      </c>
      <c r="T181" t="s">
        <v>51</v>
      </c>
      <c r="U181">
        <v>9</v>
      </c>
      <c r="V181" t="s">
        <v>100</v>
      </c>
      <c r="W181" t="s">
        <v>220</v>
      </c>
      <c r="X181" s="4">
        <v>0</v>
      </c>
      <c r="Y181" t="s">
        <v>54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195</v>
      </c>
      <c r="AG181" t="s">
        <v>55</v>
      </c>
      <c r="AI181" t="s">
        <v>65</v>
      </c>
      <c r="AJ181" t="s">
        <v>65</v>
      </c>
      <c r="AK181" s="5">
        <v>46063.376909722225</v>
      </c>
      <c r="AO181" t="s">
        <v>195</v>
      </c>
      <c r="AP181">
        <v>0</v>
      </c>
      <c r="AR181" t="s">
        <v>195</v>
      </c>
      <c r="AS181" t="s">
        <v>195</v>
      </c>
      <c r="AT181">
        <v>1301</v>
      </c>
      <c r="AU181" t="s">
        <v>51</v>
      </c>
    </row>
    <row r="182" spans="1:47" x14ac:dyDescent="0.25">
      <c r="A182" t="s">
        <v>78</v>
      </c>
      <c r="B182" s="1">
        <v>38538</v>
      </c>
      <c r="C182" t="s">
        <v>48</v>
      </c>
      <c r="D182" t="s">
        <v>49</v>
      </c>
      <c r="E182" s="2">
        <v>46063</v>
      </c>
      <c r="F182" t="s">
        <v>219</v>
      </c>
      <c r="G182" t="s">
        <v>59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70</v>
      </c>
      <c r="O182" t="s">
        <v>194</v>
      </c>
      <c r="P182" t="s">
        <v>194</v>
      </c>
      <c r="Q182" t="s">
        <v>194</v>
      </c>
      <c r="R182" t="s">
        <v>195</v>
      </c>
      <c r="S182" t="s">
        <v>195</v>
      </c>
      <c r="T182" t="s">
        <v>51</v>
      </c>
      <c r="U182">
        <v>9</v>
      </c>
      <c r="V182" t="s">
        <v>100</v>
      </c>
      <c r="W182" t="s">
        <v>220</v>
      </c>
      <c r="X182" s="4">
        <v>0</v>
      </c>
      <c r="Y182" t="s">
        <v>54</v>
      </c>
      <c r="Z182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195</v>
      </c>
      <c r="AG182" t="s">
        <v>55</v>
      </c>
      <c r="AI182" t="s">
        <v>65</v>
      </c>
      <c r="AJ182" t="s">
        <v>65</v>
      </c>
      <c r="AK182" s="5">
        <v>46063.376122685186</v>
      </c>
      <c r="AO182" t="s">
        <v>195</v>
      </c>
      <c r="AP182">
        <v>0</v>
      </c>
      <c r="AR182" t="s">
        <v>195</v>
      </c>
      <c r="AS182" t="s">
        <v>195</v>
      </c>
      <c r="AT182">
        <v>1301</v>
      </c>
      <c r="AU182" t="s">
        <v>51</v>
      </c>
    </row>
    <row r="183" spans="1:47" x14ac:dyDescent="0.25">
      <c r="A183" t="s">
        <v>78</v>
      </c>
      <c r="B183" s="1">
        <v>38540</v>
      </c>
      <c r="C183" t="s">
        <v>48</v>
      </c>
      <c r="D183" t="s">
        <v>49</v>
      </c>
      <c r="E183" s="2">
        <v>46063</v>
      </c>
      <c r="F183" t="s">
        <v>255</v>
      </c>
      <c r="G183" t="s">
        <v>256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>
        <v>358.8</v>
      </c>
      <c r="N183" t="s">
        <v>50</v>
      </c>
      <c r="O183" t="s">
        <v>194</v>
      </c>
      <c r="P183" t="s">
        <v>194</v>
      </c>
      <c r="Q183" t="s">
        <v>194</v>
      </c>
      <c r="R183" t="s">
        <v>195</v>
      </c>
      <c r="S183" t="s">
        <v>195</v>
      </c>
      <c r="T183" t="s">
        <v>51</v>
      </c>
      <c r="U183">
        <v>126</v>
      </c>
      <c r="V183" t="s">
        <v>52</v>
      </c>
      <c r="W183" t="s">
        <v>77</v>
      </c>
      <c r="X183" s="4">
        <v>0</v>
      </c>
      <c r="Y183" t="s">
        <v>54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195</v>
      </c>
      <c r="AG183" t="s">
        <v>55</v>
      </c>
      <c r="AI183" t="s">
        <v>56</v>
      </c>
      <c r="AJ183" t="s">
        <v>56</v>
      </c>
      <c r="AK183" s="5">
        <v>46063.562696759262</v>
      </c>
      <c r="AO183" t="s">
        <v>195</v>
      </c>
      <c r="AP183">
        <v>0</v>
      </c>
      <c r="AR183" t="s">
        <v>195</v>
      </c>
      <c r="AS183" t="s">
        <v>195</v>
      </c>
      <c r="AT183">
        <v>5478</v>
      </c>
      <c r="AU183" t="s">
        <v>51</v>
      </c>
    </row>
    <row r="184" spans="1:47" x14ac:dyDescent="0.25">
      <c r="A184" t="s">
        <v>78</v>
      </c>
      <c r="B184" s="1">
        <v>38542</v>
      </c>
      <c r="C184" t="s">
        <v>48</v>
      </c>
      <c r="D184" t="s">
        <v>49</v>
      </c>
      <c r="E184" s="2">
        <v>46063</v>
      </c>
      <c r="F184" t="s">
        <v>118</v>
      </c>
      <c r="G184" t="s">
        <v>76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>
        <v>929.04</v>
      </c>
      <c r="N184" t="s">
        <v>50</v>
      </c>
      <c r="O184" t="s">
        <v>194</v>
      </c>
      <c r="P184" t="s">
        <v>194</v>
      </c>
      <c r="Q184" t="s">
        <v>194</v>
      </c>
      <c r="R184" t="s">
        <v>195</v>
      </c>
      <c r="S184" t="s">
        <v>195</v>
      </c>
      <c r="T184" t="s">
        <v>51</v>
      </c>
      <c r="U184">
        <v>126</v>
      </c>
      <c r="V184" t="s">
        <v>52</v>
      </c>
      <c r="W184" t="s">
        <v>64</v>
      </c>
      <c r="X184" s="4">
        <v>0</v>
      </c>
      <c r="Y184" t="s">
        <v>54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195</v>
      </c>
      <c r="AG184" t="s">
        <v>55</v>
      </c>
      <c r="AI184" t="s">
        <v>65</v>
      </c>
      <c r="AJ184" t="s">
        <v>65</v>
      </c>
      <c r="AK184" s="5">
        <v>46063.71638888889</v>
      </c>
      <c r="AO184" t="s">
        <v>195</v>
      </c>
      <c r="AP184">
        <v>0</v>
      </c>
      <c r="AR184" t="s">
        <v>195</v>
      </c>
      <c r="AS184" t="s">
        <v>195</v>
      </c>
      <c r="AT184">
        <v>5117</v>
      </c>
      <c r="AU184" t="s">
        <v>51</v>
      </c>
    </row>
    <row r="185" spans="1:47" x14ac:dyDescent="0.25">
      <c r="A185" t="s">
        <v>96</v>
      </c>
      <c r="B185" s="1">
        <v>38543</v>
      </c>
      <c r="C185" t="s">
        <v>48</v>
      </c>
      <c r="D185" t="s">
        <v>49</v>
      </c>
      <c r="E185" s="2">
        <v>46064</v>
      </c>
      <c r="F185" t="s">
        <v>257</v>
      </c>
      <c r="G185" t="s">
        <v>76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>
        <v>513.59</v>
      </c>
      <c r="N185" t="s">
        <v>83</v>
      </c>
      <c r="O185" t="s">
        <v>194</v>
      </c>
      <c r="P185" t="s">
        <v>194</v>
      </c>
      <c r="Q185" t="s">
        <v>194</v>
      </c>
      <c r="R185" t="s">
        <v>195</v>
      </c>
      <c r="S185" t="s">
        <v>195</v>
      </c>
      <c r="T185" t="s">
        <v>51</v>
      </c>
      <c r="U185">
        <v>145</v>
      </c>
      <c r="V185" t="s">
        <v>79</v>
      </c>
      <c r="W185" t="s">
        <v>95</v>
      </c>
      <c r="X185" s="4">
        <v>0</v>
      </c>
      <c r="Y185" t="s">
        <v>54</v>
      </c>
      <c r="Z185">
        <v>275</v>
      </c>
      <c r="AA185">
        <v>0</v>
      </c>
      <c r="AB185">
        <v>0</v>
      </c>
      <c r="AC185">
        <v>0</v>
      </c>
      <c r="AD185">
        <v>878</v>
      </c>
      <c r="AE185" s="3">
        <v>1500</v>
      </c>
      <c r="AF185" t="s">
        <v>195</v>
      </c>
      <c r="AG185" t="s">
        <v>55</v>
      </c>
      <c r="AI185" t="s">
        <v>65</v>
      </c>
      <c r="AJ185" t="s">
        <v>65</v>
      </c>
      <c r="AK185" s="5">
        <v>46064.455208333333</v>
      </c>
      <c r="AO185" t="s">
        <v>195</v>
      </c>
      <c r="AP185">
        <v>0</v>
      </c>
      <c r="AR185" t="s">
        <v>195</v>
      </c>
      <c r="AS185" t="s">
        <v>195</v>
      </c>
      <c r="AT185">
        <v>251</v>
      </c>
      <c r="AU185" t="s">
        <v>51</v>
      </c>
    </row>
    <row r="186" spans="1:47" x14ac:dyDescent="0.25">
      <c r="A186" t="s">
        <v>78</v>
      </c>
      <c r="B186" s="1">
        <v>38544</v>
      </c>
      <c r="C186" t="s">
        <v>48</v>
      </c>
      <c r="D186" t="s">
        <v>49</v>
      </c>
      <c r="E186" s="2">
        <v>46064</v>
      </c>
      <c r="F186" t="s">
        <v>258</v>
      </c>
      <c r="G186" t="s">
        <v>61</v>
      </c>
      <c r="H186" s="3">
        <v>3576</v>
      </c>
      <c r="I186" s="3">
        <v>3576</v>
      </c>
      <c r="J186">
        <v>0</v>
      </c>
      <c r="K186" s="3">
        <v>3576</v>
      </c>
      <c r="L186">
        <v>643.20000000000005</v>
      </c>
      <c r="M186">
        <v>302.3</v>
      </c>
      <c r="N186" t="s">
        <v>66</v>
      </c>
      <c r="O186" t="s">
        <v>194</v>
      </c>
      <c r="P186" t="s">
        <v>194</v>
      </c>
      <c r="Q186" t="s">
        <v>194</v>
      </c>
      <c r="R186" t="s">
        <v>195</v>
      </c>
      <c r="S186" t="s">
        <v>195</v>
      </c>
      <c r="T186" t="s">
        <v>51</v>
      </c>
      <c r="U186">
        <v>83</v>
      </c>
      <c r="W186" t="s">
        <v>95</v>
      </c>
      <c r="X186" s="4">
        <v>0</v>
      </c>
      <c r="Y186" t="s">
        <v>54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195</v>
      </c>
      <c r="AG186" t="s">
        <v>55</v>
      </c>
      <c r="AI186" t="s">
        <v>68</v>
      </c>
      <c r="AJ186" t="s">
        <v>65</v>
      </c>
      <c r="AK186" s="5">
        <v>46064.578784722224</v>
      </c>
      <c r="AO186" t="s">
        <v>195</v>
      </c>
      <c r="AP186">
        <v>0</v>
      </c>
      <c r="AR186" t="s">
        <v>195</v>
      </c>
      <c r="AS186" t="s">
        <v>195</v>
      </c>
      <c r="AT186">
        <v>4097</v>
      </c>
      <c r="AU186" t="s">
        <v>51</v>
      </c>
    </row>
    <row r="187" spans="1:47" x14ac:dyDescent="0.25">
      <c r="A187" t="s">
        <v>47</v>
      </c>
      <c r="B187" s="1">
        <v>38545</v>
      </c>
      <c r="C187" t="s">
        <v>48</v>
      </c>
      <c r="D187" t="s">
        <v>49</v>
      </c>
      <c r="E187" s="2">
        <v>46064</v>
      </c>
      <c r="F187" t="s">
        <v>259</v>
      </c>
      <c r="G187" t="s">
        <v>72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>
        <v>655.83</v>
      </c>
      <c r="N187" t="s">
        <v>50</v>
      </c>
      <c r="O187" t="s">
        <v>194</v>
      </c>
      <c r="P187" t="s">
        <v>194</v>
      </c>
      <c r="Q187" t="s">
        <v>194</v>
      </c>
      <c r="R187" t="s">
        <v>195</v>
      </c>
      <c r="S187" t="s">
        <v>195</v>
      </c>
      <c r="T187" t="s">
        <v>51</v>
      </c>
      <c r="U187">
        <v>126</v>
      </c>
      <c r="V187" t="s">
        <v>52</v>
      </c>
      <c r="W187" t="s">
        <v>260</v>
      </c>
      <c r="X187" s="4">
        <v>0</v>
      </c>
      <c r="Y187" t="s">
        <v>57</v>
      </c>
    </row>
    <row r="188" spans="1:47" x14ac:dyDescent="0.25">
      <c r="A188" t="s">
        <v>58</v>
      </c>
      <c r="B188">
        <v>0</v>
      </c>
      <c r="C188">
        <v>0</v>
      </c>
      <c r="D188" s="3">
        <v>1041</v>
      </c>
      <c r="E188">
        <v>0</v>
      </c>
      <c r="F188">
        <v>0</v>
      </c>
      <c r="G188" s="3">
        <v>1000</v>
      </c>
      <c r="H188" t="s">
        <v>195</v>
      </c>
      <c r="I188" t="s">
        <v>55</v>
      </c>
      <c r="K188" t="s">
        <v>56</v>
      </c>
      <c r="L188" t="s">
        <v>65</v>
      </c>
      <c r="M188" s="5">
        <v>46064.596574074072</v>
      </c>
      <c r="Q188" t="s">
        <v>195</v>
      </c>
      <c r="R188">
        <v>0</v>
      </c>
      <c r="T188" t="s">
        <v>195</v>
      </c>
      <c r="U188" t="s">
        <v>195</v>
      </c>
      <c r="V188">
        <v>7376</v>
      </c>
      <c r="W188" t="s">
        <v>51</v>
      </c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90</v>
      </c>
      <c r="G189" t="s">
        <v>91</v>
      </c>
      <c r="H189" s="3">
        <v>1685.25</v>
      </c>
      <c r="I189" s="3">
        <v>1685.25</v>
      </c>
      <c r="J189">
        <v>0</v>
      </c>
      <c r="K189" s="3">
        <v>1938.04</v>
      </c>
      <c r="L189">
        <v>262.43</v>
      </c>
      <c r="M189">
        <v>150.9</v>
      </c>
      <c r="N189" t="s">
        <v>66</v>
      </c>
      <c r="O189" t="s">
        <v>194</v>
      </c>
      <c r="P189" t="s">
        <v>194</v>
      </c>
      <c r="Q189" t="s">
        <v>194</v>
      </c>
      <c r="R189" t="s">
        <v>195</v>
      </c>
      <c r="S189" t="s">
        <v>195</v>
      </c>
      <c r="T189" t="s">
        <v>51</v>
      </c>
      <c r="U189">
        <v>83</v>
      </c>
      <c r="W189" t="s">
        <v>71</v>
      </c>
      <c r="X189" s="4">
        <v>0</v>
      </c>
      <c r="Y189" t="s">
        <v>54</v>
      </c>
      <c r="Z189">
        <v>0</v>
      </c>
      <c r="AA189">
        <v>0</v>
      </c>
      <c r="AB189">
        <v>262.43</v>
      </c>
      <c r="AC189">
        <v>0</v>
      </c>
      <c r="AD189">
        <v>0</v>
      </c>
      <c r="AE189">
        <v>75</v>
      </c>
      <c r="AF189" t="s">
        <v>195</v>
      </c>
      <c r="AG189" t="s">
        <v>55</v>
      </c>
      <c r="AI189" t="s">
        <v>68</v>
      </c>
      <c r="AJ189" t="s">
        <v>65</v>
      </c>
      <c r="AK189" s="5">
        <v>46064.552233796298</v>
      </c>
      <c r="AO189" t="s">
        <v>195</v>
      </c>
      <c r="AP189">
        <v>0</v>
      </c>
      <c r="AR189" t="s">
        <v>195</v>
      </c>
      <c r="AS189" t="s">
        <v>195</v>
      </c>
      <c r="AT189">
        <v>4900</v>
      </c>
      <c r="AU189" t="s">
        <v>51</v>
      </c>
    </row>
    <row r="190" spans="1:47" x14ac:dyDescent="0.25">
      <c r="A190" t="s">
        <v>47</v>
      </c>
      <c r="B190" s="1">
        <v>38547</v>
      </c>
      <c r="C190" t="s">
        <v>48</v>
      </c>
      <c r="D190" t="s">
        <v>49</v>
      </c>
      <c r="E190" s="2">
        <v>46064</v>
      </c>
      <c r="F190" t="s">
        <v>90</v>
      </c>
      <c r="G190" t="s">
        <v>91</v>
      </c>
      <c r="H190" s="3">
        <v>1685.25</v>
      </c>
      <c r="I190" s="3">
        <v>1685.25</v>
      </c>
      <c r="J190">
        <v>0</v>
      </c>
      <c r="K190" s="3">
        <v>1938.04</v>
      </c>
      <c r="L190">
        <v>262.43</v>
      </c>
      <c r="M190">
        <v>150.9</v>
      </c>
      <c r="N190" t="s">
        <v>66</v>
      </c>
      <c r="O190" t="s">
        <v>194</v>
      </c>
      <c r="P190" t="s">
        <v>194</v>
      </c>
      <c r="Q190" t="s">
        <v>194</v>
      </c>
      <c r="R190" t="s">
        <v>195</v>
      </c>
      <c r="S190" t="s">
        <v>195</v>
      </c>
      <c r="T190" t="s">
        <v>51</v>
      </c>
      <c r="U190">
        <v>83</v>
      </c>
      <c r="W190" t="s">
        <v>71</v>
      </c>
      <c r="X190" s="4">
        <v>0</v>
      </c>
      <c r="Y190" t="s">
        <v>54</v>
      </c>
      <c r="Z190">
        <v>0</v>
      </c>
      <c r="AA190">
        <v>0</v>
      </c>
      <c r="AB190">
        <v>262.43</v>
      </c>
      <c r="AC190">
        <v>0</v>
      </c>
      <c r="AD190">
        <v>0</v>
      </c>
      <c r="AE190">
        <v>75</v>
      </c>
      <c r="AF190" t="s">
        <v>195</v>
      </c>
      <c r="AG190" t="s">
        <v>55</v>
      </c>
      <c r="AI190" t="s">
        <v>68</v>
      </c>
      <c r="AJ190" t="s">
        <v>65</v>
      </c>
      <c r="AK190" s="5">
        <v>46064.552372685182</v>
      </c>
      <c r="AO190" t="s">
        <v>195</v>
      </c>
      <c r="AP190">
        <v>0</v>
      </c>
      <c r="AR190" t="s">
        <v>195</v>
      </c>
      <c r="AS190" t="s">
        <v>195</v>
      </c>
      <c r="AT190">
        <v>4900</v>
      </c>
      <c r="AU190" t="s">
        <v>51</v>
      </c>
    </row>
    <row r="191" spans="1:47" x14ac:dyDescent="0.25">
      <c r="A191" t="s">
        <v>78</v>
      </c>
      <c r="B191" s="1">
        <v>38548</v>
      </c>
      <c r="C191" t="s">
        <v>48</v>
      </c>
      <c r="D191" t="s">
        <v>49</v>
      </c>
      <c r="E191" s="2">
        <v>46064</v>
      </c>
      <c r="F191" t="s">
        <v>261</v>
      </c>
      <c r="G191" t="s">
        <v>225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>
        <v>702.79</v>
      </c>
      <c r="N191" t="s">
        <v>66</v>
      </c>
      <c r="O191" t="s">
        <v>194</v>
      </c>
      <c r="P191" t="s">
        <v>194</v>
      </c>
      <c r="Q191" t="s">
        <v>194</v>
      </c>
      <c r="R191" t="s">
        <v>195</v>
      </c>
      <c r="S191" t="s">
        <v>195</v>
      </c>
      <c r="T191" t="s">
        <v>51</v>
      </c>
      <c r="U191">
        <v>83</v>
      </c>
      <c r="V191" t="s">
        <v>92</v>
      </c>
      <c r="W191" t="s">
        <v>210</v>
      </c>
      <c r="X191" s="4">
        <v>0</v>
      </c>
      <c r="Y191" t="s">
        <v>54</v>
      </c>
      <c r="Z191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195</v>
      </c>
      <c r="AG191" t="s">
        <v>55</v>
      </c>
      <c r="AH191" t="s">
        <v>107</v>
      </c>
      <c r="AI191" t="s">
        <v>65</v>
      </c>
      <c r="AJ191" t="s">
        <v>65</v>
      </c>
      <c r="AK191" s="5">
        <v>46064.574571759258</v>
      </c>
      <c r="AO191" t="s">
        <v>195</v>
      </c>
      <c r="AP191">
        <v>0</v>
      </c>
      <c r="AR191" t="s">
        <v>195</v>
      </c>
      <c r="AS191" t="s">
        <v>195</v>
      </c>
      <c r="AT191">
        <v>6082</v>
      </c>
      <c r="AU191" t="s">
        <v>51</v>
      </c>
    </row>
    <row r="192" spans="1:47" x14ac:dyDescent="0.25">
      <c r="A192" t="s">
        <v>69</v>
      </c>
      <c r="B192" s="1">
        <v>38549</v>
      </c>
      <c r="C192" t="s">
        <v>48</v>
      </c>
      <c r="D192" t="s">
        <v>49</v>
      </c>
      <c r="E192" s="2">
        <v>46064</v>
      </c>
      <c r="F192" t="s">
        <v>208</v>
      </c>
      <c r="G192" t="s">
        <v>59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70</v>
      </c>
      <c r="O192" t="s">
        <v>194</v>
      </c>
      <c r="P192" t="s">
        <v>194</v>
      </c>
      <c r="Q192" t="s">
        <v>194</v>
      </c>
      <c r="R192" t="s">
        <v>195</v>
      </c>
      <c r="S192" t="s">
        <v>195</v>
      </c>
      <c r="T192" t="s">
        <v>51</v>
      </c>
      <c r="U192">
        <v>9</v>
      </c>
      <c r="W192" t="s">
        <v>89</v>
      </c>
      <c r="X192" s="4">
        <v>0</v>
      </c>
      <c r="Y192" t="s">
        <v>57</v>
      </c>
    </row>
    <row r="193" spans="1:47" x14ac:dyDescent="0.25">
      <c r="A193" t="s">
        <v>58</v>
      </c>
      <c r="B193" s="3">
        <v>6115</v>
      </c>
      <c r="C193">
        <v>0</v>
      </c>
      <c r="D193">
        <v>0</v>
      </c>
      <c r="E193">
        <v>0</v>
      </c>
      <c r="F193">
        <v>0</v>
      </c>
      <c r="G193" s="3">
        <v>5000</v>
      </c>
      <c r="H193" t="s">
        <v>195</v>
      </c>
      <c r="I193" t="s">
        <v>55</v>
      </c>
      <c r="K193" t="s">
        <v>65</v>
      </c>
      <c r="L193" t="s">
        <v>65</v>
      </c>
      <c r="M193" s="5">
        <v>46064.595590277779</v>
      </c>
      <c r="Q193" t="s">
        <v>195</v>
      </c>
      <c r="R193">
        <v>0</v>
      </c>
      <c r="T193" t="s">
        <v>195</v>
      </c>
      <c r="U193" t="s">
        <v>195</v>
      </c>
      <c r="V193">
        <v>8826</v>
      </c>
      <c r="W193" t="s">
        <v>51</v>
      </c>
    </row>
    <row r="194" spans="1:47" x14ac:dyDescent="0.25">
      <c r="A194" t="s">
        <v>78</v>
      </c>
      <c r="B194" s="1">
        <v>38550</v>
      </c>
      <c r="C194" t="s">
        <v>48</v>
      </c>
      <c r="D194" t="s">
        <v>49</v>
      </c>
      <c r="E194" s="2">
        <v>46064</v>
      </c>
      <c r="F194" t="s">
        <v>105</v>
      </c>
      <c r="G194" t="s">
        <v>61</v>
      </c>
      <c r="H194" s="3">
        <v>3498</v>
      </c>
      <c r="I194" s="3">
        <v>3498</v>
      </c>
      <c r="J194">
        <v>0</v>
      </c>
      <c r="K194" s="3">
        <v>3498</v>
      </c>
      <c r="L194">
        <v>547.20000000000005</v>
      </c>
      <c r="M194">
        <v>314.64</v>
      </c>
      <c r="N194" t="s">
        <v>50</v>
      </c>
      <c r="O194" t="s">
        <v>194</v>
      </c>
      <c r="P194" t="s">
        <v>194</v>
      </c>
      <c r="Q194" t="s">
        <v>194</v>
      </c>
      <c r="R194" t="s">
        <v>195</v>
      </c>
      <c r="S194" t="s">
        <v>195</v>
      </c>
      <c r="T194" t="s">
        <v>51</v>
      </c>
      <c r="U194">
        <v>126</v>
      </c>
      <c r="V194" t="s">
        <v>52</v>
      </c>
      <c r="W194" t="s">
        <v>103</v>
      </c>
      <c r="X194" s="4">
        <v>0</v>
      </c>
      <c r="Y194" t="s">
        <v>54</v>
      </c>
      <c r="Z194">
        <v>0</v>
      </c>
      <c r="AA194">
        <v>0</v>
      </c>
      <c r="AB194">
        <v>547.20000000000005</v>
      </c>
      <c r="AC194">
        <v>0</v>
      </c>
      <c r="AD194">
        <v>0</v>
      </c>
      <c r="AE194">
        <v>300</v>
      </c>
      <c r="AF194" t="s">
        <v>195</v>
      </c>
      <c r="AG194" t="s">
        <v>55</v>
      </c>
      <c r="AI194" t="s">
        <v>56</v>
      </c>
      <c r="AJ194" t="s">
        <v>56</v>
      </c>
      <c r="AK194" s="5">
        <v>46064.61445601852</v>
      </c>
      <c r="AO194" t="s">
        <v>195</v>
      </c>
      <c r="AP194">
        <v>0</v>
      </c>
      <c r="AR194" t="s">
        <v>195</v>
      </c>
      <c r="AS194" t="s">
        <v>195</v>
      </c>
      <c r="AT194">
        <v>322</v>
      </c>
      <c r="AU194" t="s">
        <v>51</v>
      </c>
    </row>
    <row r="195" spans="1:47" x14ac:dyDescent="0.25">
      <c r="A195" t="s">
        <v>78</v>
      </c>
      <c r="B195" s="1">
        <v>38551</v>
      </c>
      <c r="C195" t="s">
        <v>48</v>
      </c>
      <c r="D195" t="s">
        <v>49</v>
      </c>
      <c r="E195" s="2">
        <v>46064</v>
      </c>
      <c r="F195" t="s">
        <v>262</v>
      </c>
      <c r="G195" t="s">
        <v>61</v>
      </c>
      <c r="H195">
        <v>954</v>
      </c>
      <c r="I195">
        <v>954</v>
      </c>
      <c r="J195">
        <v>0</v>
      </c>
      <c r="K195">
        <v>954</v>
      </c>
      <c r="L195">
        <v>103.2</v>
      </c>
      <c r="M195">
        <v>40.25</v>
      </c>
      <c r="N195" t="s">
        <v>50</v>
      </c>
      <c r="O195" t="s">
        <v>194</v>
      </c>
      <c r="P195" t="s">
        <v>194</v>
      </c>
      <c r="Q195" t="s">
        <v>194</v>
      </c>
      <c r="R195" t="s">
        <v>195</v>
      </c>
      <c r="S195" t="s">
        <v>195</v>
      </c>
      <c r="T195" t="s">
        <v>51</v>
      </c>
      <c r="U195">
        <v>126</v>
      </c>
      <c r="V195" t="s">
        <v>52</v>
      </c>
      <c r="W195" t="s">
        <v>77</v>
      </c>
      <c r="X195" s="4">
        <v>0</v>
      </c>
      <c r="Y195" t="s">
        <v>57</v>
      </c>
    </row>
    <row r="196" spans="1:47" x14ac:dyDescent="0.25">
      <c r="A196" t="s">
        <v>58</v>
      </c>
      <c r="B196">
        <v>103.2</v>
      </c>
      <c r="C196">
        <v>0</v>
      </c>
      <c r="D196">
        <v>0</v>
      </c>
      <c r="E196">
        <v>0</v>
      </c>
      <c r="F196">
        <v>0</v>
      </c>
      <c r="G196">
        <v>300</v>
      </c>
      <c r="H196" t="s">
        <v>195</v>
      </c>
      <c r="I196" t="s">
        <v>55</v>
      </c>
      <c r="K196" t="s">
        <v>56</v>
      </c>
      <c r="L196" t="s">
        <v>65</v>
      </c>
      <c r="M196" s="5">
        <v>46070.542164351849</v>
      </c>
      <c r="Q196" t="s">
        <v>195</v>
      </c>
      <c r="R196">
        <v>0</v>
      </c>
      <c r="T196" t="s">
        <v>195</v>
      </c>
      <c r="U196" t="s">
        <v>195</v>
      </c>
      <c r="V196">
        <v>6026</v>
      </c>
      <c r="W196" t="s">
        <v>51</v>
      </c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111</v>
      </c>
      <c r="G197" t="s">
        <v>91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>
        <v>591.17999999999995</v>
      </c>
      <c r="N197" t="s">
        <v>50</v>
      </c>
      <c r="O197" t="s">
        <v>194</v>
      </c>
      <c r="P197" t="s">
        <v>194</v>
      </c>
      <c r="Q197" t="s">
        <v>194</v>
      </c>
      <c r="R197" t="s">
        <v>195</v>
      </c>
      <c r="S197" t="s">
        <v>195</v>
      </c>
      <c r="T197" t="s">
        <v>51</v>
      </c>
      <c r="U197">
        <v>126</v>
      </c>
      <c r="V197" t="s">
        <v>52</v>
      </c>
      <c r="W197" t="s">
        <v>64</v>
      </c>
      <c r="X197" s="4">
        <v>0</v>
      </c>
      <c r="Y197" t="s">
        <v>54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195</v>
      </c>
      <c r="AG197" t="s">
        <v>55</v>
      </c>
      <c r="AH197" t="s">
        <v>112</v>
      </c>
      <c r="AI197" t="s">
        <v>56</v>
      </c>
      <c r="AJ197" t="s">
        <v>56</v>
      </c>
      <c r="AK197" s="5">
        <v>46064.715694444443</v>
      </c>
      <c r="AO197" t="s">
        <v>195</v>
      </c>
      <c r="AP197">
        <v>0</v>
      </c>
      <c r="AR197" t="s">
        <v>195</v>
      </c>
      <c r="AS197" t="s">
        <v>195</v>
      </c>
      <c r="AT197">
        <v>6910</v>
      </c>
      <c r="AU197" t="s">
        <v>51</v>
      </c>
    </row>
    <row r="198" spans="1:47" x14ac:dyDescent="0.25">
      <c r="A198" t="s">
        <v>78</v>
      </c>
      <c r="B198" s="1">
        <v>38553</v>
      </c>
      <c r="C198" t="s">
        <v>48</v>
      </c>
      <c r="D198" t="s">
        <v>49</v>
      </c>
      <c r="E198" s="2">
        <v>46064</v>
      </c>
      <c r="F198" t="s">
        <v>119</v>
      </c>
      <c r="G198" t="s">
        <v>108</v>
      </c>
      <c r="H198" s="3">
        <v>2900</v>
      </c>
      <c r="I198" s="3">
        <v>2900</v>
      </c>
      <c r="J198">
        <v>0</v>
      </c>
      <c r="K198" s="3">
        <v>2900</v>
      </c>
      <c r="L198">
        <v>584</v>
      </c>
      <c r="M198">
        <v>189.8</v>
      </c>
      <c r="N198" t="s">
        <v>50</v>
      </c>
      <c r="O198" t="s">
        <v>194</v>
      </c>
      <c r="P198" t="s">
        <v>194</v>
      </c>
      <c r="Q198" t="s">
        <v>194</v>
      </c>
      <c r="R198" t="s">
        <v>195</v>
      </c>
      <c r="S198" t="s">
        <v>195</v>
      </c>
      <c r="T198" t="s">
        <v>51</v>
      </c>
      <c r="U198">
        <v>126</v>
      </c>
      <c r="W198" t="s">
        <v>77</v>
      </c>
      <c r="X198" s="4">
        <v>0</v>
      </c>
      <c r="Y198" t="s">
        <v>57</v>
      </c>
    </row>
    <row r="199" spans="1:47" x14ac:dyDescent="0.25">
      <c r="A199" t="s">
        <v>58</v>
      </c>
      <c r="B199">
        <v>584</v>
      </c>
      <c r="C199">
        <v>0</v>
      </c>
      <c r="D199">
        <v>0</v>
      </c>
      <c r="E199">
        <v>0</v>
      </c>
      <c r="F199">
        <v>0</v>
      </c>
      <c r="G199" s="3">
        <v>2000</v>
      </c>
      <c r="H199" t="s">
        <v>195</v>
      </c>
      <c r="I199" t="s">
        <v>55</v>
      </c>
      <c r="K199" t="s">
        <v>56</v>
      </c>
      <c r="L199" t="s">
        <v>56</v>
      </c>
      <c r="M199" s="5">
        <v>46065.756863425922</v>
      </c>
      <c r="Q199" t="s">
        <v>195</v>
      </c>
      <c r="R199">
        <v>0</v>
      </c>
      <c r="T199" t="s">
        <v>195</v>
      </c>
      <c r="U199" t="s">
        <v>195</v>
      </c>
      <c r="V199">
        <v>8730</v>
      </c>
      <c r="W199" t="s">
        <v>51</v>
      </c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213</v>
      </c>
      <c r="G200" t="s">
        <v>73</v>
      </c>
      <c r="H200" s="3">
        <v>6887</v>
      </c>
      <c r="I200" s="3">
        <v>6887</v>
      </c>
      <c r="J200">
        <v>0</v>
      </c>
      <c r="K200" s="3">
        <v>7920.05</v>
      </c>
      <c r="L200">
        <v>763.9</v>
      </c>
      <c r="M200">
        <v>487.37</v>
      </c>
      <c r="N200" t="s">
        <v>70</v>
      </c>
      <c r="O200" t="s">
        <v>194</v>
      </c>
      <c r="P200" t="s">
        <v>194</v>
      </c>
      <c r="Q200" t="s">
        <v>194</v>
      </c>
      <c r="R200" t="s">
        <v>195</v>
      </c>
      <c r="S200" t="s">
        <v>195</v>
      </c>
      <c r="T200" t="s">
        <v>51</v>
      </c>
      <c r="U200">
        <v>9</v>
      </c>
      <c r="V200" t="s">
        <v>63</v>
      </c>
      <c r="W200" t="s">
        <v>77</v>
      </c>
      <c r="X200" s="4">
        <v>0</v>
      </c>
      <c r="Y200" t="s">
        <v>54</v>
      </c>
      <c r="Z200">
        <v>0</v>
      </c>
      <c r="AA200">
        <v>0</v>
      </c>
      <c r="AB200">
        <v>763.9</v>
      </c>
      <c r="AC200">
        <v>0</v>
      </c>
      <c r="AD200">
        <v>0</v>
      </c>
      <c r="AE200">
        <v>800</v>
      </c>
      <c r="AF200" t="s">
        <v>195</v>
      </c>
      <c r="AG200" t="s">
        <v>55</v>
      </c>
      <c r="AI200" t="s">
        <v>120</v>
      </c>
      <c r="AJ200" t="s">
        <v>75</v>
      </c>
      <c r="AK200" s="5">
        <v>46065.630474537036</v>
      </c>
      <c r="AO200" t="s">
        <v>195</v>
      </c>
      <c r="AP200">
        <v>0</v>
      </c>
      <c r="AR200" t="s">
        <v>195</v>
      </c>
      <c r="AS200" t="s">
        <v>195</v>
      </c>
      <c r="AT200">
        <v>3204</v>
      </c>
      <c r="AU200" t="s">
        <v>51</v>
      </c>
    </row>
    <row r="201" spans="1:47" x14ac:dyDescent="0.25">
      <c r="A201" t="s">
        <v>96</v>
      </c>
      <c r="B201" s="1">
        <v>38555</v>
      </c>
      <c r="C201" t="s">
        <v>48</v>
      </c>
      <c r="D201" t="s">
        <v>49</v>
      </c>
      <c r="E201" s="2">
        <v>46065</v>
      </c>
      <c r="F201" t="s">
        <v>121</v>
      </c>
      <c r="G201" t="s">
        <v>122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66</v>
      </c>
      <c r="O201" t="s">
        <v>194</v>
      </c>
      <c r="P201" t="s">
        <v>194</v>
      </c>
      <c r="Q201" t="s">
        <v>194</v>
      </c>
      <c r="R201" t="s">
        <v>195</v>
      </c>
      <c r="S201" t="s">
        <v>195</v>
      </c>
      <c r="T201" t="s">
        <v>51</v>
      </c>
      <c r="U201">
        <v>83</v>
      </c>
      <c r="W201" t="s">
        <v>87</v>
      </c>
      <c r="X201" s="4">
        <v>0</v>
      </c>
      <c r="Y201" t="s">
        <v>57</v>
      </c>
    </row>
    <row r="202" spans="1:47" x14ac:dyDescent="0.25">
      <c r="A202" t="s">
        <v>58</v>
      </c>
      <c r="B202" s="3">
        <v>6175</v>
      </c>
      <c r="C202">
        <v>0</v>
      </c>
      <c r="D202">
        <v>0</v>
      </c>
      <c r="E202">
        <v>0</v>
      </c>
      <c r="F202">
        <v>0</v>
      </c>
      <c r="G202" s="3">
        <v>15000</v>
      </c>
      <c r="H202" t="s">
        <v>195</v>
      </c>
      <c r="I202" t="s">
        <v>55</v>
      </c>
      <c r="K202" t="s">
        <v>68</v>
      </c>
      <c r="L202" t="s">
        <v>75</v>
      </c>
      <c r="M202" s="5">
        <v>46065.630567129629</v>
      </c>
      <c r="Q202" t="s">
        <v>195</v>
      </c>
      <c r="R202">
        <v>0</v>
      </c>
      <c r="T202" t="s">
        <v>195</v>
      </c>
      <c r="U202" t="s">
        <v>195</v>
      </c>
      <c r="V202">
        <v>4212</v>
      </c>
      <c r="W202" t="s">
        <v>51</v>
      </c>
    </row>
    <row r="203" spans="1:47" x14ac:dyDescent="0.25">
      <c r="A203" t="s">
        <v>78</v>
      </c>
      <c r="B203" s="1">
        <v>38556</v>
      </c>
      <c r="C203" t="s">
        <v>48</v>
      </c>
      <c r="D203" t="s">
        <v>49</v>
      </c>
      <c r="E203" s="2">
        <v>46065</v>
      </c>
      <c r="F203" t="s">
        <v>263</v>
      </c>
      <c r="G203" t="s">
        <v>61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66</v>
      </c>
      <c r="O203" t="s">
        <v>194</v>
      </c>
      <c r="P203" t="s">
        <v>194</v>
      </c>
      <c r="Q203" t="s">
        <v>194</v>
      </c>
      <c r="R203" t="s">
        <v>195</v>
      </c>
      <c r="S203" t="s">
        <v>195</v>
      </c>
      <c r="T203" t="s">
        <v>51</v>
      </c>
      <c r="U203">
        <v>83</v>
      </c>
      <c r="V203" t="s">
        <v>264</v>
      </c>
      <c r="W203" t="s">
        <v>71</v>
      </c>
      <c r="X203" s="4">
        <v>0</v>
      </c>
      <c r="Y203" t="s">
        <v>57</v>
      </c>
    </row>
    <row r="204" spans="1:47" x14ac:dyDescent="0.25">
      <c r="A204" t="s">
        <v>58</v>
      </c>
      <c r="B204" s="3">
        <v>2337</v>
      </c>
      <c r="C204">
        <v>0</v>
      </c>
      <c r="D204">
        <v>0</v>
      </c>
      <c r="E204">
        <v>0</v>
      </c>
      <c r="F204" s="3">
        <v>1886.25</v>
      </c>
      <c r="G204" s="3">
        <v>7450</v>
      </c>
      <c r="H204" t="s">
        <v>195</v>
      </c>
      <c r="I204" t="s">
        <v>55</v>
      </c>
      <c r="K204" t="s">
        <v>68</v>
      </c>
      <c r="L204" t="s">
        <v>75</v>
      </c>
      <c r="M204" s="5">
        <v>46065.630694444444</v>
      </c>
      <c r="Q204" t="s">
        <v>195</v>
      </c>
      <c r="R204">
        <v>0</v>
      </c>
      <c r="T204" t="s">
        <v>195</v>
      </c>
      <c r="U204" t="s">
        <v>195</v>
      </c>
      <c r="V204">
        <v>4014</v>
      </c>
      <c r="W204" t="s">
        <v>51</v>
      </c>
    </row>
    <row r="205" spans="1:47" x14ac:dyDescent="0.25">
      <c r="A205" t="s">
        <v>78</v>
      </c>
      <c r="B205" s="1">
        <v>38557</v>
      </c>
      <c r="C205" t="s">
        <v>48</v>
      </c>
      <c r="D205" t="s">
        <v>49</v>
      </c>
      <c r="E205" s="2">
        <v>46065</v>
      </c>
      <c r="F205" t="s">
        <v>263</v>
      </c>
      <c r="G205" t="s">
        <v>61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66</v>
      </c>
      <c r="O205" t="s">
        <v>194</v>
      </c>
      <c r="P205" t="s">
        <v>194</v>
      </c>
      <c r="Q205" t="s">
        <v>194</v>
      </c>
      <c r="R205" t="s">
        <v>195</v>
      </c>
      <c r="S205" t="s">
        <v>195</v>
      </c>
      <c r="T205" t="s">
        <v>51</v>
      </c>
      <c r="U205">
        <v>83</v>
      </c>
      <c r="V205" t="s">
        <v>264</v>
      </c>
      <c r="W205" t="s">
        <v>71</v>
      </c>
      <c r="X205" s="4">
        <v>0</v>
      </c>
      <c r="Y205" t="s">
        <v>57</v>
      </c>
    </row>
    <row r="206" spans="1:47" x14ac:dyDescent="0.25">
      <c r="A206" t="s">
        <v>58</v>
      </c>
      <c r="B206" s="3">
        <v>2337</v>
      </c>
      <c r="C206">
        <v>0</v>
      </c>
      <c r="D206">
        <v>0</v>
      </c>
      <c r="E206">
        <v>0</v>
      </c>
      <c r="F206" s="3">
        <v>1886.25</v>
      </c>
      <c r="G206" s="3">
        <v>7450</v>
      </c>
      <c r="H206" t="s">
        <v>195</v>
      </c>
      <c r="I206" t="s">
        <v>55</v>
      </c>
      <c r="K206" t="s">
        <v>68</v>
      </c>
      <c r="L206" t="s">
        <v>75</v>
      </c>
      <c r="M206" s="5">
        <v>46065.630914351852</v>
      </c>
      <c r="Q206" t="s">
        <v>195</v>
      </c>
      <c r="R206">
        <v>0</v>
      </c>
      <c r="T206" t="s">
        <v>195</v>
      </c>
      <c r="U206" t="s">
        <v>195</v>
      </c>
      <c r="V206">
        <v>4014</v>
      </c>
      <c r="W206" t="s">
        <v>51</v>
      </c>
    </row>
    <row r="207" spans="1:47" x14ac:dyDescent="0.25">
      <c r="A207" t="s">
        <v>47</v>
      </c>
      <c r="B207" s="1">
        <v>38559</v>
      </c>
      <c r="C207" t="s">
        <v>48</v>
      </c>
      <c r="D207" t="s">
        <v>49</v>
      </c>
      <c r="E207" s="2">
        <v>46066</v>
      </c>
      <c r="F207" t="s">
        <v>187</v>
      </c>
      <c r="G207" t="s">
        <v>73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194</v>
      </c>
      <c r="P207" t="s">
        <v>194</v>
      </c>
      <c r="Q207" t="s">
        <v>194</v>
      </c>
      <c r="R207" t="s">
        <v>195</v>
      </c>
      <c r="S207" t="s">
        <v>195</v>
      </c>
      <c r="T207" t="s">
        <v>51</v>
      </c>
      <c r="U207">
        <v>126</v>
      </c>
      <c r="V207" t="s">
        <v>52</v>
      </c>
      <c r="W207" t="s">
        <v>77</v>
      </c>
      <c r="X207" s="4">
        <v>0</v>
      </c>
      <c r="Y207" t="s">
        <v>57</v>
      </c>
    </row>
    <row r="208" spans="1:47" x14ac:dyDescent="0.25">
      <c r="A208" t="s">
        <v>58</v>
      </c>
      <c r="B208">
        <v>0</v>
      </c>
      <c r="C208">
        <v>0</v>
      </c>
      <c r="D208" s="3">
        <v>5077.5</v>
      </c>
      <c r="E208">
        <v>0</v>
      </c>
      <c r="F208">
        <v>0</v>
      </c>
      <c r="G208" s="3">
        <v>2500</v>
      </c>
      <c r="H208" t="s">
        <v>195</v>
      </c>
      <c r="I208" t="s">
        <v>55</v>
      </c>
      <c r="J208" t="s">
        <v>101</v>
      </c>
      <c r="K208" t="s">
        <v>56</v>
      </c>
      <c r="L208" t="s">
        <v>56</v>
      </c>
      <c r="M208" s="5">
        <v>46066.471296296295</v>
      </c>
      <c r="Q208" t="s">
        <v>195</v>
      </c>
      <c r="R208">
        <v>0</v>
      </c>
      <c r="T208" t="s">
        <v>195</v>
      </c>
      <c r="U208" t="s">
        <v>195</v>
      </c>
      <c r="V208">
        <v>8478</v>
      </c>
      <c r="W208" t="s">
        <v>51</v>
      </c>
    </row>
    <row r="209" spans="1:47" x14ac:dyDescent="0.25">
      <c r="A209" t="s">
        <v>47</v>
      </c>
      <c r="B209" s="1">
        <v>38560</v>
      </c>
      <c r="C209" t="s">
        <v>48</v>
      </c>
      <c r="D209" t="s">
        <v>49</v>
      </c>
      <c r="E209" s="2">
        <v>46066</v>
      </c>
      <c r="F209" t="s">
        <v>187</v>
      </c>
      <c r="G209" t="s">
        <v>73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194</v>
      </c>
      <c r="P209" t="s">
        <v>194</v>
      </c>
      <c r="Q209" t="s">
        <v>194</v>
      </c>
      <c r="R209" t="s">
        <v>195</v>
      </c>
      <c r="S209" t="s">
        <v>195</v>
      </c>
      <c r="T209" t="s">
        <v>51</v>
      </c>
      <c r="U209">
        <v>126</v>
      </c>
      <c r="V209" t="s">
        <v>52</v>
      </c>
      <c r="W209" t="s">
        <v>77</v>
      </c>
      <c r="X209" s="4">
        <v>0</v>
      </c>
      <c r="Y209" t="s">
        <v>57</v>
      </c>
    </row>
    <row r="210" spans="1:47" x14ac:dyDescent="0.25">
      <c r="A210" t="s">
        <v>58</v>
      </c>
      <c r="B210">
        <v>0</v>
      </c>
      <c r="C210">
        <v>0</v>
      </c>
      <c r="D210" s="3">
        <v>5077.5</v>
      </c>
      <c r="E210">
        <v>0</v>
      </c>
      <c r="F210">
        <v>0</v>
      </c>
      <c r="G210" s="3">
        <v>2500</v>
      </c>
      <c r="H210" t="s">
        <v>195</v>
      </c>
      <c r="I210" t="s">
        <v>55</v>
      </c>
      <c r="J210" t="s">
        <v>101</v>
      </c>
      <c r="K210" t="s">
        <v>56</v>
      </c>
      <c r="L210" t="s">
        <v>56</v>
      </c>
      <c r="M210" s="5">
        <v>46066.472291666665</v>
      </c>
      <c r="Q210" t="s">
        <v>195</v>
      </c>
      <c r="R210">
        <v>0</v>
      </c>
      <c r="T210" t="s">
        <v>195</v>
      </c>
      <c r="U210" t="s">
        <v>195</v>
      </c>
      <c r="V210">
        <v>8478</v>
      </c>
      <c r="W210" t="s">
        <v>51</v>
      </c>
    </row>
    <row r="211" spans="1:47" x14ac:dyDescent="0.25">
      <c r="A211" t="s">
        <v>47</v>
      </c>
      <c r="B211" s="1">
        <v>38561</v>
      </c>
      <c r="C211" t="s">
        <v>48</v>
      </c>
      <c r="D211" t="s">
        <v>49</v>
      </c>
      <c r="E211" s="2">
        <v>46066</v>
      </c>
      <c r="F211" t="s">
        <v>187</v>
      </c>
      <c r="G211" t="s">
        <v>73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194</v>
      </c>
      <c r="P211" t="s">
        <v>194</v>
      </c>
      <c r="Q211" t="s">
        <v>194</v>
      </c>
      <c r="R211" t="s">
        <v>195</v>
      </c>
      <c r="S211" t="s">
        <v>195</v>
      </c>
      <c r="T211" t="s">
        <v>51</v>
      </c>
      <c r="U211">
        <v>126</v>
      </c>
      <c r="V211" t="s">
        <v>52</v>
      </c>
      <c r="W211" t="s">
        <v>77</v>
      </c>
      <c r="X211" s="4">
        <v>0</v>
      </c>
      <c r="Y211" t="s">
        <v>57</v>
      </c>
    </row>
    <row r="212" spans="1:47" x14ac:dyDescent="0.25">
      <c r="A212" t="s">
        <v>58</v>
      </c>
      <c r="B212">
        <v>0</v>
      </c>
      <c r="C212">
        <v>0</v>
      </c>
      <c r="D212" s="3">
        <v>5077.5</v>
      </c>
      <c r="E212">
        <v>0</v>
      </c>
      <c r="F212">
        <v>0</v>
      </c>
      <c r="G212" s="3">
        <v>2500</v>
      </c>
      <c r="H212" t="s">
        <v>195</v>
      </c>
      <c r="I212" t="s">
        <v>55</v>
      </c>
      <c r="J212" t="s">
        <v>101</v>
      </c>
      <c r="K212" t="s">
        <v>56</v>
      </c>
      <c r="L212" t="s">
        <v>56</v>
      </c>
      <c r="M212" s="5">
        <v>46066.473506944443</v>
      </c>
      <c r="Q212" t="s">
        <v>195</v>
      </c>
      <c r="R212">
        <v>0</v>
      </c>
      <c r="T212" t="s">
        <v>195</v>
      </c>
      <c r="U212" t="s">
        <v>195</v>
      </c>
      <c r="V212">
        <v>8478</v>
      </c>
      <c r="W212" t="s">
        <v>51</v>
      </c>
    </row>
    <row r="213" spans="1:47" x14ac:dyDescent="0.25">
      <c r="A213" t="s">
        <v>47</v>
      </c>
      <c r="B213" s="1">
        <v>38562</v>
      </c>
      <c r="C213" t="s">
        <v>48</v>
      </c>
      <c r="D213" t="s">
        <v>49</v>
      </c>
      <c r="E213" s="2">
        <v>46066</v>
      </c>
      <c r="F213" t="s">
        <v>187</v>
      </c>
      <c r="G213" t="s">
        <v>73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194</v>
      </c>
      <c r="P213" t="s">
        <v>194</v>
      </c>
      <c r="Q213" t="s">
        <v>194</v>
      </c>
      <c r="R213" t="s">
        <v>195</v>
      </c>
      <c r="S213" t="s">
        <v>195</v>
      </c>
      <c r="T213" t="s">
        <v>51</v>
      </c>
      <c r="U213">
        <v>126</v>
      </c>
      <c r="V213" t="s">
        <v>52</v>
      </c>
      <c r="W213" t="s">
        <v>77</v>
      </c>
      <c r="X213" s="4">
        <v>0</v>
      </c>
      <c r="Y213" t="s">
        <v>57</v>
      </c>
    </row>
    <row r="214" spans="1:47" x14ac:dyDescent="0.25">
      <c r="A214" t="s">
        <v>58</v>
      </c>
      <c r="B214">
        <v>0</v>
      </c>
      <c r="C214">
        <v>0</v>
      </c>
      <c r="D214" s="3">
        <v>5077.5</v>
      </c>
      <c r="E214">
        <v>0</v>
      </c>
      <c r="F214">
        <v>0</v>
      </c>
      <c r="G214" s="3">
        <v>2500</v>
      </c>
      <c r="H214" t="s">
        <v>195</v>
      </c>
      <c r="I214" t="s">
        <v>55</v>
      </c>
      <c r="J214" t="s">
        <v>101</v>
      </c>
      <c r="K214" t="s">
        <v>56</v>
      </c>
      <c r="L214" t="s">
        <v>56</v>
      </c>
      <c r="M214" s="5">
        <v>46066.474687499998</v>
      </c>
      <c r="Q214" t="s">
        <v>195</v>
      </c>
      <c r="R214">
        <v>0</v>
      </c>
      <c r="T214" t="s">
        <v>195</v>
      </c>
      <c r="U214" t="s">
        <v>195</v>
      </c>
      <c r="V214">
        <v>8478</v>
      </c>
      <c r="W214" t="s">
        <v>51</v>
      </c>
    </row>
    <row r="215" spans="1:47" x14ac:dyDescent="0.25">
      <c r="A215" t="s">
        <v>47</v>
      </c>
      <c r="B215" s="1">
        <v>38564</v>
      </c>
      <c r="C215" t="s">
        <v>48</v>
      </c>
      <c r="D215" t="s">
        <v>49</v>
      </c>
      <c r="E215" s="2">
        <v>46070</v>
      </c>
      <c r="F215" t="s">
        <v>206</v>
      </c>
      <c r="G215" t="s">
        <v>76</v>
      </c>
      <c r="H215" s="3">
        <v>1345.1</v>
      </c>
      <c r="I215" s="3">
        <v>1345.1</v>
      </c>
      <c r="J215">
        <v>0</v>
      </c>
      <c r="K215" s="3">
        <v>1546.87</v>
      </c>
      <c r="L215">
        <v>103.95</v>
      </c>
      <c r="M215">
        <v>77.75</v>
      </c>
      <c r="N215" t="s">
        <v>70</v>
      </c>
      <c r="O215" t="s">
        <v>194</v>
      </c>
      <c r="P215" t="s">
        <v>194</v>
      </c>
      <c r="Q215" t="s">
        <v>194</v>
      </c>
      <c r="R215" t="s">
        <v>195</v>
      </c>
      <c r="S215" t="s">
        <v>195</v>
      </c>
      <c r="T215" t="s">
        <v>51</v>
      </c>
      <c r="U215">
        <v>9</v>
      </c>
      <c r="V215" t="s">
        <v>63</v>
      </c>
      <c r="W215" t="s">
        <v>77</v>
      </c>
      <c r="X215" s="4">
        <v>0</v>
      </c>
      <c r="Y215" t="s">
        <v>57</v>
      </c>
    </row>
    <row r="216" spans="1:47" x14ac:dyDescent="0.25">
      <c r="A216" t="s">
        <v>58</v>
      </c>
      <c r="B216">
        <v>0</v>
      </c>
      <c r="C216">
        <v>0</v>
      </c>
      <c r="D216">
        <v>103.95</v>
      </c>
      <c r="E216">
        <v>0</v>
      </c>
      <c r="F216">
        <v>0</v>
      </c>
      <c r="G216">
        <v>50</v>
      </c>
      <c r="H216" t="s">
        <v>195</v>
      </c>
      <c r="I216" t="s">
        <v>55</v>
      </c>
      <c r="K216" t="s">
        <v>65</v>
      </c>
      <c r="L216" t="s">
        <v>65</v>
      </c>
      <c r="M216" s="5">
        <v>46070.327094907407</v>
      </c>
      <c r="Q216" t="s">
        <v>195</v>
      </c>
      <c r="R216">
        <v>0</v>
      </c>
      <c r="T216" t="s">
        <v>195</v>
      </c>
      <c r="U216" t="s">
        <v>195</v>
      </c>
      <c r="V216">
        <v>924</v>
      </c>
      <c r="W216" t="s">
        <v>51</v>
      </c>
    </row>
    <row r="217" spans="1:47" x14ac:dyDescent="0.25">
      <c r="A217" t="s">
        <v>47</v>
      </c>
      <c r="B217" s="1">
        <v>38567</v>
      </c>
      <c r="C217" t="s">
        <v>48</v>
      </c>
      <c r="D217" t="s">
        <v>49</v>
      </c>
      <c r="E217" s="2">
        <v>46071</v>
      </c>
      <c r="F217" t="s">
        <v>265</v>
      </c>
      <c r="G217" t="s">
        <v>59</v>
      </c>
      <c r="H217" s="3">
        <v>4090</v>
      </c>
      <c r="I217" s="3">
        <v>4090</v>
      </c>
      <c r="J217">
        <v>0</v>
      </c>
      <c r="K217" s="3">
        <v>4703.5</v>
      </c>
      <c r="L217">
        <v>811</v>
      </c>
      <c r="M217">
        <v>296.02</v>
      </c>
      <c r="N217" t="s">
        <v>70</v>
      </c>
      <c r="O217" t="s">
        <v>194</v>
      </c>
      <c r="P217" t="s">
        <v>194</v>
      </c>
      <c r="Q217" t="s">
        <v>194</v>
      </c>
      <c r="R217" t="s">
        <v>195</v>
      </c>
      <c r="S217" t="s">
        <v>195</v>
      </c>
      <c r="T217" t="s">
        <v>51</v>
      </c>
      <c r="U217">
        <v>9</v>
      </c>
      <c r="W217" t="s">
        <v>77</v>
      </c>
      <c r="X217" s="4">
        <v>0</v>
      </c>
      <c r="Y217" t="s">
        <v>57</v>
      </c>
    </row>
    <row r="218" spans="1:47" x14ac:dyDescent="0.25">
      <c r="A218" t="s">
        <v>58</v>
      </c>
      <c r="B218">
        <v>811</v>
      </c>
      <c r="C218">
        <v>0</v>
      </c>
      <c r="D218">
        <v>0</v>
      </c>
      <c r="E218">
        <v>0</v>
      </c>
      <c r="F218">
        <v>0</v>
      </c>
      <c r="G218" s="3">
        <v>1000</v>
      </c>
      <c r="H218" t="s">
        <v>195</v>
      </c>
      <c r="I218" t="s">
        <v>55</v>
      </c>
      <c r="K218" t="s">
        <v>65</v>
      </c>
      <c r="L218" t="s">
        <v>65</v>
      </c>
      <c r="M218" s="5">
        <v>46071.383715277778</v>
      </c>
      <c r="Q218" t="s">
        <v>195</v>
      </c>
      <c r="R218">
        <v>0</v>
      </c>
      <c r="T218" t="s">
        <v>195</v>
      </c>
      <c r="U218" t="s">
        <v>195</v>
      </c>
      <c r="V218">
        <v>8855</v>
      </c>
      <c r="W218" t="s">
        <v>51</v>
      </c>
    </row>
    <row r="219" spans="1:47" x14ac:dyDescent="0.25">
      <c r="A219" t="s">
        <v>47</v>
      </c>
      <c r="B219" s="1">
        <v>38568</v>
      </c>
      <c r="C219" t="s">
        <v>48</v>
      </c>
      <c r="D219" t="s">
        <v>49</v>
      </c>
      <c r="E219" s="2">
        <v>46071</v>
      </c>
      <c r="F219" t="s">
        <v>80</v>
      </c>
      <c r="G219" t="s">
        <v>76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70</v>
      </c>
      <c r="O219" t="s">
        <v>194</v>
      </c>
      <c r="P219" t="s">
        <v>194</v>
      </c>
      <c r="Q219" t="s">
        <v>194</v>
      </c>
      <c r="R219" t="s">
        <v>195</v>
      </c>
      <c r="S219" t="s">
        <v>195</v>
      </c>
      <c r="T219" t="s">
        <v>51</v>
      </c>
      <c r="U219">
        <v>9</v>
      </c>
      <c r="V219" t="s">
        <v>63</v>
      </c>
      <c r="W219" t="s">
        <v>81</v>
      </c>
      <c r="X219" s="4">
        <v>0</v>
      </c>
      <c r="Y219" t="s">
        <v>266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195</v>
      </c>
      <c r="AG219" t="s">
        <v>55</v>
      </c>
      <c r="AH219" t="s">
        <v>82</v>
      </c>
      <c r="AI219" t="s">
        <v>65</v>
      </c>
      <c r="AJ219" t="s">
        <v>65</v>
      </c>
      <c r="AK219" s="5">
        <v>46071.409722222219</v>
      </c>
      <c r="AO219" t="s">
        <v>195</v>
      </c>
      <c r="AP219">
        <v>0</v>
      </c>
      <c r="AR219" t="s">
        <v>195</v>
      </c>
      <c r="AS219" t="s">
        <v>195</v>
      </c>
      <c r="AT219">
        <v>161</v>
      </c>
      <c r="AU219" t="s">
        <v>51</v>
      </c>
    </row>
    <row r="220" spans="1:47" x14ac:dyDescent="0.25">
      <c r="A220" t="s">
        <v>96</v>
      </c>
      <c r="B220" s="1">
        <v>38569</v>
      </c>
      <c r="C220" t="s">
        <v>48</v>
      </c>
      <c r="D220" t="s">
        <v>49</v>
      </c>
      <c r="E220" s="2">
        <v>46071</v>
      </c>
      <c r="F220" t="s">
        <v>267</v>
      </c>
      <c r="G220" t="s">
        <v>268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194</v>
      </c>
      <c r="P220" t="s">
        <v>194</v>
      </c>
      <c r="Q220" t="s">
        <v>194</v>
      </c>
      <c r="R220" t="s">
        <v>195</v>
      </c>
      <c r="S220" t="s">
        <v>195</v>
      </c>
      <c r="T220" t="s">
        <v>51</v>
      </c>
      <c r="U220">
        <v>126</v>
      </c>
      <c r="V220" t="s">
        <v>52</v>
      </c>
      <c r="W220" t="s">
        <v>77</v>
      </c>
      <c r="X220" s="4">
        <v>0</v>
      </c>
      <c r="Y220" t="s">
        <v>57</v>
      </c>
    </row>
    <row r="221" spans="1:47" x14ac:dyDescent="0.25">
      <c r="A221" t="s">
        <v>58</v>
      </c>
      <c r="B221" s="3">
        <v>7872</v>
      </c>
      <c r="C221">
        <v>0</v>
      </c>
      <c r="D221">
        <v>0</v>
      </c>
      <c r="E221">
        <v>0</v>
      </c>
      <c r="F221">
        <v>0</v>
      </c>
      <c r="G221" s="3">
        <v>8000</v>
      </c>
      <c r="H221" t="s">
        <v>195</v>
      </c>
      <c r="I221" t="s">
        <v>55</v>
      </c>
      <c r="K221" t="s">
        <v>56</v>
      </c>
      <c r="L221" t="s">
        <v>56</v>
      </c>
      <c r="M221" s="5">
        <v>46071.417233796295</v>
      </c>
      <c r="Q221" t="s">
        <v>195</v>
      </c>
      <c r="R221">
        <v>0</v>
      </c>
      <c r="T221" t="s">
        <v>195</v>
      </c>
      <c r="U221" t="s">
        <v>195</v>
      </c>
      <c r="V221">
        <v>4018</v>
      </c>
      <c r="W221" t="s">
        <v>51</v>
      </c>
    </row>
    <row r="222" spans="1:47" x14ac:dyDescent="0.25">
      <c r="A222" t="s">
        <v>47</v>
      </c>
      <c r="B222" s="1">
        <v>38570</v>
      </c>
      <c r="C222" t="s">
        <v>48</v>
      </c>
      <c r="D222" t="s">
        <v>49</v>
      </c>
      <c r="E222" s="2">
        <v>46071</v>
      </c>
      <c r="F222" t="s">
        <v>269</v>
      </c>
      <c r="G222" t="s">
        <v>91</v>
      </c>
      <c r="H222" s="3">
        <v>5997.6</v>
      </c>
      <c r="I222" s="3">
        <v>5997.6</v>
      </c>
      <c r="J222">
        <v>0</v>
      </c>
      <c r="K222" s="3">
        <v>6897.24</v>
      </c>
      <c r="L222">
        <v>974.4</v>
      </c>
      <c r="M222">
        <v>457.97</v>
      </c>
      <c r="N222" t="s">
        <v>50</v>
      </c>
      <c r="O222" t="s">
        <v>194</v>
      </c>
      <c r="P222" t="s">
        <v>194</v>
      </c>
      <c r="Q222" t="s">
        <v>194</v>
      </c>
      <c r="R222" t="s">
        <v>195</v>
      </c>
      <c r="S222" t="s">
        <v>195</v>
      </c>
      <c r="T222" t="s">
        <v>51</v>
      </c>
      <c r="U222">
        <v>126</v>
      </c>
      <c r="V222" t="s">
        <v>52</v>
      </c>
      <c r="W222" t="s">
        <v>64</v>
      </c>
      <c r="X222" s="4">
        <v>0</v>
      </c>
      <c r="Y222" t="s">
        <v>57</v>
      </c>
    </row>
    <row r="223" spans="1:47" x14ac:dyDescent="0.25">
      <c r="A223" t="s">
        <v>58</v>
      </c>
      <c r="B223">
        <v>0</v>
      </c>
      <c r="C223">
        <v>0</v>
      </c>
      <c r="D223">
        <v>0</v>
      </c>
      <c r="E223">
        <v>0</v>
      </c>
      <c r="F223">
        <v>974.4</v>
      </c>
      <c r="G223" s="3">
        <v>1400</v>
      </c>
      <c r="H223" t="s">
        <v>195</v>
      </c>
      <c r="I223" t="s">
        <v>55</v>
      </c>
      <c r="K223" t="s">
        <v>56</v>
      </c>
      <c r="L223" t="s">
        <v>56</v>
      </c>
      <c r="M223" s="5">
        <v>46071.450416666667</v>
      </c>
      <c r="Q223" t="s">
        <v>195</v>
      </c>
      <c r="R223">
        <v>0</v>
      </c>
      <c r="T223" t="s">
        <v>195</v>
      </c>
      <c r="U223" t="s">
        <v>195</v>
      </c>
      <c r="V223">
        <v>8572</v>
      </c>
      <c r="W223" t="s">
        <v>51</v>
      </c>
    </row>
    <row r="224" spans="1:47" x14ac:dyDescent="0.25">
      <c r="A224" t="s">
        <v>78</v>
      </c>
      <c r="B224" s="1">
        <v>38571</v>
      </c>
      <c r="C224" t="s">
        <v>48</v>
      </c>
      <c r="D224" t="s">
        <v>49</v>
      </c>
      <c r="E224" s="2">
        <v>46071</v>
      </c>
      <c r="F224" t="s">
        <v>270</v>
      </c>
      <c r="G224" t="s">
        <v>127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>
        <v>711.75</v>
      </c>
      <c r="N224" t="s">
        <v>83</v>
      </c>
      <c r="O224" t="s">
        <v>194</v>
      </c>
      <c r="P224" t="s">
        <v>194</v>
      </c>
      <c r="Q224" t="s">
        <v>194</v>
      </c>
      <c r="R224" t="s">
        <v>195</v>
      </c>
      <c r="S224" t="s">
        <v>195</v>
      </c>
      <c r="T224" t="s">
        <v>51</v>
      </c>
      <c r="U224">
        <v>145</v>
      </c>
      <c r="V224" t="s">
        <v>100</v>
      </c>
      <c r="W224" t="s">
        <v>271</v>
      </c>
      <c r="X224" s="4">
        <v>0</v>
      </c>
      <c r="Y224" t="s">
        <v>54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195</v>
      </c>
      <c r="AG224" t="s">
        <v>55</v>
      </c>
      <c r="AI224" t="s">
        <v>65</v>
      </c>
      <c r="AJ224" t="s">
        <v>65</v>
      </c>
      <c r="AK224" s="5">
        <v>46071.48128472222</v>
      </c>
      <c r="AO224" t="s">
        <v>195</v>
      </c>
      <c r="AP224">
        <v>0</v>
      </c>
      <c r="AR224" t="s">
        <v>195</v>
      </c>
      <c r="AS224" t="s">
        <v>195</v>
      </c>
      <c r="AT224">
        <v>5017</v>
      </c>
      <c r="AU224" t="s">
        <v>51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90</v>
      </c>
      <c r="G225" t="s">
        <v>91</v>
      </c>
      <c r="H225" s="3">
        <v>2524.5</v>
      </c>
      <c r="I225" s="3">
        <v>2524.5</v>
      </c>
      <c r="J225">
        <v>0</v>
      </c>
      <c r="K225" s="3">
        <v>2903.18</v>
      </c>
      <c r="L225">
        <v>339.09</v>
      </c>
      <c r="M225">
        <v>194.98</v>
      </c>
      <c r="N225" t="s">
        <v>66</v>
      </c>
      <c r="O225" t="s">
        <v>194</v>
      </c>
      <c r="P225" t="s">
        <v>194</v>
      </c>
      <c r="Q225" t="s">
        <v>194</v>
      </c>
      <c r="R225" t="s">
        <v>195</v>
      </c>
      <c r="S225" t="s">
        <v>195</v>
      </c>
      <c r="T225" t="s">
        <v>51</v>
      </c>
      <c r="U225">
        <v>83</v>
      </c>
      <c r="W225" t="s">
        <v>71</v>
      </c>
      <c r="X225" s="4">
        <v>0</v>
      </c>
      <c r="Y225" t="s">
        <v>54</v>
      </c>
      <c r="Z225">
        <v>0</v>
      </c>
      <c r="AA225">
        <v>0</v>
      </c>
      <c r="AB225">
        <v>339.09</v>
      </c>
      <c r="AC225">
        <v>0</v>
      </c>
      <c r="AD225">
        <v>0</v>
      </c>
      <c r="AE225">
        <v>150</v>
      </c>
      <c r="AF225" t="s">
        <v>195</v>
      </c>
      <c r="AG225" t="s">
        <v>55</v>
      </c>
      <c r="AI225" t="s">
        <v>68</v>
      </c>
      <c r="AJ225" t="s">
        <v>65</v>
      </c>
      <c r="AK225" s="5">
        <v>46071.666296296295</v>
      </c>
      <c r="AO225" t="s">
        <v>195</v>
      </c>
      <c r="AP225">
        <v>0</v>
      </c>
      <c r="AR225" t="s">
        <v>195</v>
      </c>
      <c r="AS225" t="s">
        <v>195</v>
      </c>
      <c r="AT225">
        <v>4900</v>
      </c>
      <c r="AU225" t="s">
        <v>51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t="s">
        <v>90</v>
      </c>
      <c r="G226" t="s">
        <v>91</v>
      </c>
      <c r="H226" s="3">
        <v>2524.5</v>
      </c>
      <c r="I226" s="3">
        <v>2524.5</v>
      </c>
      <c r="J226">
        <v>0</v>
      </c>
      <c r="K226" s="3">
        <v>2903.18</v>
      </c>
      <c r="L226">
        <v>339.09</v>
      </c>
      <c r="M226">
        <v>194.98</v>
      </c>
      <c r="N226" t="s">
        <v>66</v>
      </c>
      <c r="O226" t="s">
        <v>194</v>
      </c>
      <c r="P226" t="s">
        <v>194</v>
      </c>
      <c r="Q226" t="s">
        <v>194</v>
      </c>
      <c r="R226" t="s">
        <v>195</v>
      </c>
      <c r="S226" t="s">
        <v>195</v>
      </c>
      <c r="T226" t="s">
        <v>51</v>
      </c>
      <c r="U226">
        <v>83</v>
      </c>
      <c r="W226" t="s">
        <v>71</v>
      </c>
      <c r="X226" s="4">
        <v>0</v>
      </c>
      <c r="Y226" t="s">
        <v>54</v>
      </c>
      <c r="Z226">
        <v>0</v>
      </c>
      <c r="AA226">
        <v>0</v>
      </c>
      <c r="AB226">
        <v>339.09</v>
      </c>
      <c r="AC226">
        <v>0</v>
      </c>
      <c r="AD226">
        <v>0</v>
      </c>
      <c r="AE226">
        <v>150</v>
      </c>
      <c r="AF226" t="s">
        <v>195</v>
      </c>
      <c r="AG226" t="s">
        <v>55</v>
      </c>
      <c r="AI226" t="s">
        <v>68</v>
      </c>
      <c r="AJ226" t="s">
        <v>65</v>
      </c>
      <c r="AK226" s="5">
        <v>46071.666909722226</v>
      </c>
      <c r="AO226" t="s">
        <v>195</v>
      </c>
      <c r="AP226">
        <v>0</v>
      </c>
      <c r="AR226" t="s">
        <v>195</v>
      </c>
      <c r="AS226" t="s">
        <v>195</v>
      </c>
      <c r="AT226">
        <v>4900</v>
      </c>
      <c r="AU226" t="s">
        <v>51</v>
      </c>
    </row>
    <row r="227" spans="1:47" x14ac:dyDescent="0.25">
      <c r="A227" t="s">
        <v>47</v>
      </c>
      <c r="B227" s="1">
        <v>38574</v>
      </c>
      <c r="C227" t="s">
        <v>48</v>
      </c>
      <c r="D227" t="s">
        <v>49</v>
      </c>
      <c r="E227" s="2">
        <v>46071</v>
      </c>
      <c r="F227" t="s">
        <v>90</v>
      </c>
      <c r="G227" t="s">
        <v>91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>
        <v>147.55000000000001</v>
      </c>
      <c r="N227" t="s">
        <v>66</v>
      </c>
      <c r="O227" t="s">
        <v>194</v>
      </c>
      <c r="P227" t="s">
        <v>194</v>
      </c>
      <c r="Q227" t="s">
        <v>194</v>
      </c>
      <c r="R227" t="s">
        <v>195</v>
      </c>
      <c r="S227" t="s">
        <v>195</v>
      </c>
      <c r="T227" t="s">
        <v>51</v>
      </c>
      <c r="U227">
        <v>83</v>
      </c>
      <c r="W227" t="s">
        <v>71</v>
      </c>
      <c r="X227" s="4">
        <v>0</v>
      </c>
      <c r="Y227" t="s">
        <v>54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>
        <v>200</v>
      </c>
      <c r="AF227" t="s">
        <v>195</v>
      </c>
      <c r="AG227" t="s">
        <v>55</v>
      </c>
      <c r="AI227" t="s">
        <v>68</v>
      </c>
      <c r="AJ227" t="s">
        <v>65</v>
      </c>
      <c r="AK227" s="5">
        <v>46071.666516203702</v>
      </c>
      <c r="AO227" t="s">
        <v>195</v>
      </c>
      <c r="AP227">
        <v>0</v>
      </c>
      <c r="AR227" t="s">
        <v>195</v>
      </c>
      <c r="AS227" t="s">
        <v>195</v>
      </c>
      <c r="AT227">
        <v>4900</v>
      </c>
      <c r="AU227" t="s">
        <v>51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90</v>
      </c>
      <c r="G228" t="s">
        <v>91</v>
      </c>
      <c r="H228" s="3">
        <v>1648</v>
      </c>
      <c r="I228" s="3">
        <v>1648</v>
      </c>
      <c r="J228">
        <v>0</v>
      </c>
      <c r="K228" s="3">
        <v>1895.2</v>
      </c>
      <c r="L228">
        <v>256.60000000000002</v>
      </c>
      <c r="M228">
        <v>147.55000000000001</v>
      </c>
      <c r="N228" t="s">
        <v>66</v>
      </c>
      <c r="O228" t="s">
        <v>194</v>
      </c>
      <c r="P228" t="s">
        <v>194</v>
      </c>
      <c r="Q228" t="s">
        <v>194</v>
      </c>
      <c r="R228" t="s">
        <v>195</v>
      </c>
      <c r="S228" t="s">
        <v>195</v>
      </c>
      <c r="T228" t="s">
        <v>51</v>
      </c>
      <c r="U228">
        <v>83</v>
      </c>
      <c r="W228" t="s">
        <v>71</v>
      </c>
      <c r="X228" s="4">
        <v>0</v>
      </c>
      <c r="Y228" t="s">
        <v>54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195</v>
      </c>
      <c r="AG228" t="s">
        <v>55</v>
      </c>
      <c r="AI228" t="s">
        <v>68</v>
      </c>
      <c r="AJ228" t="s">
        <v>65</v>
      </c>
      <c r="AK228" s="5">
        <v>46071.666631944441</v>
      </c>
      <c r="AO228" t="s">
        <v>195</v>
      </c>
      <c r="AP228">
        <v>0</v>
      </c>
      <c r="AR228" t="s">
        <v>195</v>
      </c>
      <c r="AS228" t="s">
        <v>195</v>
      </c>
      <c r="AT228">
        <v>4900</v>
      </c>
      <c r="AU228" t="s">
        <v>51</v>
      </c>
    </row>
    <row r="229" spans="1:47" x14ac:dyDescent="0.25">
      <c r="A229" t="s">
        <v>78</v>
      </c>
      <c r="B229" s="1">
        <v>38576</v>
      </c>
      <c r="C229" t="s">
        <v>48</v>
      </c>
      <c r="D229" t="s">
        <v>49</v>
      </c>
      <c r="E229" s="2">
        <v>46071</v>
      </c>
      <c r="F229" t="s">
        <v>155</v>
      </c>
      <c r="G229" t="s">
        <v>127</v>
      </c>
      <c r="H229" s="3">
        <v>1390</v>
      </c>
      <c r="I229" s="3">
        <v>1390</v>
      </c>
      <c r="J229">
        <v>0</v>
      </c>
      <c r="K229" s="3">
        <v>1390</v>
      </c>
      <c r="L229">
        <v>271</v>
      </c>
      <c r="M229">
        <v>105.69</v>
      </c>
      <c r="N229" t="s">
        <v>83</v>
      </c>
      <c r="O229" t="s">
        <v>194</v>
      </c>
      <c r="P229" t="s">
        <v>194</v>
      </c>
      <c r="Q229" t="s">
        <v>194</v>
      </c>
      <c r="R229" t="s">
        <v>195</v>
      </c>
      <c r="S229" t="s">
        <v>195</v>
      </c>
      <c r="T229" t="s">
        <v>51</v>
      </c>
      <c r="U229">
        <v>145</v>
      </c>
      <c r="V229" t="s">
        <v>100</v>
      </c>
      <c r="W229" t="s">
        <v>89</v>
      </c>
      <c r="X229" s="4">
        <v>0</v>
      </c>
      <c r="Y229" t="s">
        <v>57</v>
      </c>
    </row>
    <row r="230" spans="1:47" x14ac:dyDescent="0.25">
      <c r="A230" t="s">
        <v>58</v>
      </c>
      <c r="B230">
        <v>271</v>
      </c>
      <c r="C230">
        <v>0</v>
      </c>
      <c r="D230">
        <v>0</v>
      </c>
      <c r="E230">
        <v>0</v>
      </c>
      <c r="F230">
        <v>0</v>
      </c>
      <c r="G230">
        <v>500</v>
      </c>
      <c r="H230" t="s">
        <v>195</v>
      </c>
      <c r="I230" t="s">
        <v>55</v>
      </c>
      <c r="K230" t="s">
        <v>65</v>
      </c>
      <c r="L230" t="s">
        <v>65</v>
      </c>
      <c r="M230" s="5">
        <v>46071.650509259256</v>
      </c>
      <c r="Q230" t="s">
        <v>195</v>
      </c>
      <c r="R230">
        <v>0</v>
      </c>
      <c r="T230" t="s">
        <v>195</v>
      </c>
      <c r="U230" t="s">
        <v>195</v>
      </c>
      <c r="V230">
        <v>7610</v>
      </c>
      <c r="W230" t="s">
        <v>51</v>
      </c>
    </row>
    <row r="231" spans="1:47" x14ac:dyDescent="0.25">
      <c r="A231" t="s">
        <v>78</v>
      </c>
      <c r="B231" s="1">
        <v>38577</v>
      </c>
      <c r="C231" t="s">
        <v>48</v>
      </c>
      <c r="D231" t="s">
        <v>49</v>
      </c>
      <c r="E231" s="2">
        <v>46071</v>
      </c>
      <c r="F231" t="s">
        <v>155</v>
      </c>
      <c r="G231" t="s">
        <v>127</v>
      </c>
      <c r="H231" s="3">
        <v>1390</v>
      </c>
      <c r="I231" s="3">
        <v>1390</v>
      </c>
      <c r="J231">
        <v>0</v>
      </c>
      <c r="K231" s="3">
        <v>1390</v>
      </c>
      <c r="L231">
        <v>271</v>
      </c>
      <c r="M231">
        <v>105.69</v>
      </c>
      <c r="N231" t="s">
        <v>83</v>
      </c>
      <c r="O231" t="s">
        <v>194</v>
      </c>
      <c r="P231" t="s">
        <v>194</v>
      </c>
      <c r="Q231" t="s">
        <v>194</v>
      </c>
      <c r="R231" t="s">
        <v>195</v>
      </c>
      <c r="S231" t="s">
        <v>195</v>
      </c>
      <c r="T231" t="s">
        <v>51</v>
      </c>
      <c r="U231">
        <v>145</v>
      </c>
      <c r="V231" t="s">
        <v>100</v>
      </c>
      <c r="W231" t="s">
        <v>89</v>
      </c>
      <c r="X231" s="4">
        <v>0</v>
      </c>
      <c r="Y231" t="s">
        <v>57</v>
      </c>
    </row>
    <row r="232" spans="1:47" x14ac:dyDescent="0.25">
      <c r="A232" t="s">
        <v>58</v>
      </c>
      <c r="B232">
        <v>271</v>
      </c>
      <c r="C232">
        <v>0</v>
      </c>
      <c r="D232">
        <v>0</v>
      </c>
      <c r="E232">
        <v>0</v>
      </c>
      <c r="F232">
        <v>0</v>
      </c>
      <c r="G232">
        <v>500</v>
      </c>
      <c r="H232" t="s">
        <v>195</v>
      </c>
      <c r="I232" t="s">
        <v>55</v>
      </c>
      <c r="K232" t="s">
        <v>65</v>
      </c>
      <c r="L232" t="s">
        <v>65</v>
      </c>
      <c r="M232" s="5">
        <v>46071.651377314818</v>
      </c>
      <c r="Q232" t="s">
        <v>195</v>
      </c>
      <c r="R232">
        <v>0</v>
      </c>
      <c r="T232" t="s">
        <v>195</v>
      </c>
      <c r="U232" t="s">
        <v>195</v>
      </c>
      <c r="V232">
        <v>7610</v>
      </c>
      <c r="W232" t="s">
        <v>51</v>
      </c>
    </row>
    <row r="233" spans="1:47" x14ac:dyDescent="0.25">
      <c r="A233" t="s">
        <v>78</v>
      </c>
      <c r="B233" s="1">
        <v>38578</v>
      </c>
      <c r="C233" t="s">
        <v>48</v>
      </c>
      <c r="D233" t="s">
        <v>49</v>
      </c>
      <c r="E233" s="2">
        <v>46071</v>
      </c>
      <c r="F233" t="s">
        <v>272</v>
      </c>
      <c r="G233" t="s">
        <v>76</v>
      </c>
      <c r="H233" s="3">
        <v>1526.25</v>
      </c>
      <c r="I233" s="3">
        <v>1526.25</v>
      </c>
      <c r="J233">
        <v>0</v>
      </c>
      <c r="K233" s="3">
        <v>1526.25</v>
      </c>
      <c r="L233">
        <v>400.13</v>
      </c>
      <c r="M233">
        <v>130.04</v>
      </c>
      <c r="N233" t="s">
        <v>83</v>
      </c>
      <c r="O233" t="s">
        <v>194</v>
      </c>
      <c r="P233" t="s">
        <v>194</v>
      </c>
      <c r="Q233" t="s">
        <v>194</v>
      </c>
      <c r="R233" t="s">
        <v>195</v>
      </c>
      <c r="S233" t="s">
        <v>195</v>
      </c>
      <c r="T233" t="s">
        <v>51</v>
      </c>
      <c r="U233">
        <v>145</v>
      </c>
      <c r="V233" t="s">
        <v>100</v>
      </c>
      <c r="W233" t="s">
        <v>273</v>
      </c>
      <c r="X233" s="4">
        <v>0</v>
      </c>
      <c r="Y233" t="s">
        <v>54</v>
      </c>
      <c r="Z233">
        <v>400.13</v>
      </c>
      <c r="AA233">
        <v>0</v>
      </c>
      <c r="AB233">
        <v>0</v>
      </c>
      <c r="AC233">
        <v>0</v>
      </c>
      <c r="AD233">
        <v>0</v>
      </c>
      <c r="AE233">
        <v>825</v>
      </c>
      <c r="AF233" t="s">
        <v>195</v>
      </c>
      <c r="AG233" t="s">
        <v>55</v>
      </c>
      <c r="AI233" t="s">
        <v>65</v>
      </c>
      <c r="AJ233" t="s">
        <v>65</v>
      </c>
      <c r="AK233" s="5">
        <v>46072.407546296294</v>
      </c>
      <c r="AO233" t="s">
        <v>195</v>
      </c>
      <c r="AP233">
        <v>0</v>
      </c>
      <c r="AR233" t="s">
        <v>195</v>
      </c>
      <c r="AS233" t="s">
        <v>195</v>
      </c>
      <c r="AT233">
        <v>8054</v>
      </c>
      <c r="AU233" t="s">
        <v>51</v>
      </c>
    </row>
    <row r="234" spans="1:47" x14ac:dyDescent="0.25">
      <c r="A234" t="s">
        <v>78</v>
      </c>
      <c r="B234" s="1">
        <v>38579</v>
      </c>
      <c r="C234" t="s">
        <v>48</v>
      </c>
      <c r="D234" t="s">
        <v>49</v>
      </c>
      <c r="E234" s="2">
        <v>46071</v>
      </c>
      <c r="F234" t="s">
        <v>221</v>
      </c>
      <c r="G234" t="s">
        <v>222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>
        <v>659.24</v>
      </c>
      <c r="N234" t="s">
        <v>50</v>
      </c>
      <c r="O234" t="s">
        <v>194</v>
      </c>
      <c r="P234" t="s">
        <v>194</v>
      </c>
      <c r="Q234" t="s">
        <v>194</v>
      </c>
      <c r="R234" t="s">
        <v>195</v>
      </c>
      <c r="S234" t="s">
        <v>195</v>
      </c>
      <c r="T234" t="s">
        <v>51</v>
      </c>
      <c r="U234">
        <v>126</v>
      </c>
      <c r="V234" t="s">
        <v>52</v>
      </c>
      <c r="W234" t="s">
        <v>103</v>
      </c>
      <c r="X234" s="4">
        <v>0</v>
      </c>
      <c r="Y234" t="s">
        <v>54</v>
      </c>
      <c r="Z234">
        <v>0</v>
      </c>
      <c r="AA234">
        <v>0</v>
      </c>
      <c r="AB234" s="3">
        <v>1102.4000000000001</v>
      </c>
      <c r="AC234">
        <v>0</v>
      </c>
      <c r="AD234">
        <v>0</v>
      </c>
      <c r="AE234">
        <v>800</v>
      </c>
      <c r="AF234" t="s">
        <v>195</v>
      </c>
      <c r="AG234" t="s">
        <v>55</v>
      </c>
      <c r="AI234" t="s">
        <v>65</v>
      </c>
      <c r="AJ234" t="s">
        <v>65</v>
      </c>
      <c r="AK234" s="5">
        <v>46071.706620370373</v>
      </c>
      <c r="AO234" t="s">
        <v>195</v>
      </c>
      <c r="AP234">
        <v>0</v>
      </c>
      <c r="AR234" t="s">
        <v>195</v>
      </c>
      <c r="AS234" t="s">
        <v>195</v>
      </c>
      <c r="AT234">
        <v>4340</v>
      </c>
      <c r="AU234" t="s">
        <v>51</v>
      </c>
    </row>
    <row r="235" spans="1:47" x14ac:dyDescent="0.25">
      <c r="A235" t="s">
        <v>78</v>
      </c>
      <c r="B235" s="1">
        <v>38580</v>
      </c>
      <c r="C235" t="s">
        <v>48</v>
      </c>
      <c r="D235" t="s">
        <v>49</v>
      </c>
      <c r="E235" s="2">
        <v>46072</v>
      </c>
      <c r="F235" t="s">
        <v>272</v>
      </c>
      <c r="G235" t="s">
        <v>76</v>
      </c>
      <c r="H235" s="3">
        <v>1526.25</v>
      </c>
      <c r="I235" s="3">
        <v>1526.25</v>
      </c>
      <c r="J235">
        <v>0</v>
      </c>
      <c r="K235" s="3">
        <v>1526.25</v>
      </c>
      <c r="L235">
        <v>400.13</v>
      </c>
      <c r="M235">
        <v>130.04</v>
      </c>
      <c r="N235" t="s">
        <v>83</v>
      </c>
      <c r="O235" t="s">
        <v>194</v>
      </c>
      <c r="P235" t="s">
        <v>194</v>
      </c>
      <c r="Q235" t="s">
        <v>194</v>
      </c>
      <c r="R235" t="s">
        <v>195</v>
      </c>
      <c r="S235" t="s">
        <v>195</v>
      </c>
      <c r="T235" t="s">
        <v>51</v>
      </c>
      <c r="U235">
        <v>145</v>
      </c>
      <c r="V235" t="s">
        <v>100</v>
      </c>
      <c r="W235" t="s">
        <v>273</v>
      </c>
      <c r="X235" s="4">
        <v>0</v>
      </c>
      <c r="Y235" t="s">
        <v>54</v>
      </c>
      <c r="Z235">
        <v>400.13</v>
      </c>
      <c r="AA235">
        <v>0</v>
      </c>
      <c r="AB235">
        <v>0</v>
      </c>
      <c r="AC235">
        <v>0</v>
      </c>
      <c r="AD235">
        <v>0</v>
      </c>
      <c r="AE235">
        <v>825</v>
      </c>
      <c r="AF235" t="s">
        <v>195</v>
      </c>
      <c r="AG235" t="s">
        <v>55</v>
      </c>
      <c r="AI235" t="s">
        <v>65</v>
      </c>
      <c r="AJ235" t="s">
        <v>65</v>
      </c>
      <c r="AK235" s="5">
        <v>46072.408449074072</v>
      </c>
      <c r="AO235" t="s">
        <v>195</v>
      </c>
      <c r="AP235">
        <v>0</v>
      </c>
      <c r="AR235" t="s">
        <v>195</v>
      </c>
      <c r="AS235" t="s">
        <v>195</v>
      </c>
      <c r="AT235">
        <v>8054</v>
      </c>
      <c r="AU235" t="s">
        <v>51</v>
      </c>
    </row>
    <row r="236" spans="1:47" x14ac:dyDescent="0.25">
      <c r="A236" t="s">
        <v>78</v>
      </c>
      <c r="B236" s="1">
        <v>38582</v>
      </c>
      <c r="C236" t="s">
        <v>48</v>
      </c>
      <c r="D236" t="s">
        <v>49</v>
      </c>
      <c r="E236" s="2">
        <v>46072</v>
      </c>
      <c r="F236" t="s">
        <v>274</v>
      </c>
      <c r="G236" t="s">
        <v>91</v>
      </c>
      <c r="H236" s="3">
        <v>8853</v>
      </c>
      <c r="I236" s="3">
        <v>8853</v>
      </c>
      <c r="J236">
        <v>0</v>
      </c>
      <c r="K236" s="3">
        <v>8853</v>
      </c>
      <c r="L236" s="3">
        <v>1097</v>
      </c>
      <c r="M236">
        <v>820.56</v>
      </c>
      <c r="N236" t="s">
        <v>70</v>
      </c>
      <c r="O236" t="s">
        <v>194</v>
      </c>
      <c r="P236" t="s">
        <v>194</v>
      </c>
      <c r="Q236" t="s">
        <v>194</v>
      </c>
      <c r="R236" t="s">
        <v>195</v>
      </c>
      <c r="S236" t="s">
        <v>195</v>
      </c>
      <c r="T236" t="s">
        <v>51</v>
      </c>
      <c r="U236">
        <v>9</v>
      </c>
      <c r="V236" t="s">
        <v>63</v>
      </c>
      <c r="W236" t="s">
        <v>71</v>
      </c>
      <c r="X236" s="4">
        <v>0</v>
      </c>
      <c r="Y236" t="s">
        <v>57</v>
      </c>
    </row>
    <row r="237" spans="1:47" x14ac:dyDescent="0.25">
      <c r="A237" t="s">
        <v>58</v>
      </c>
      <c r="B237">
        <v>0</v>
      </c>
      <c r="C237">
        <v>0</v>
      </c>
      <c r="D237" s="3">
        <v>1097</v>
      </c>
      <c r="E237">
        <v>0</v>
      </c>
      <c r="F237">
        <v>0</v>
      </c>
      <c r="G237" s="3">
        <v>1000</v>
      </c>
      <c r="H237" t="s">
        <v>195</v>
      </c>
      <c r="I237" t="s">
        <v>55</v>
      </c>
      <c r="J237" t="s">
        <v>275</v>
      </c>
      <c r="K237" t="s">
        <v>65</v>
      </c>
      <c r="L237" t="s">
        <v>65</v>
      </c>
      <c r="M237" s="5">
        <v>46072.640856481485</v>
      </c>
      <c r="Q237" t="s">
        <v>195</v>
      </c>
      <c r="R237">
        <v>0</v>
      </c>
      <c r="T237" t="s">
        <v>195</v>
      </c>
      <c r="U237" t="s">
        <v>195</v>
      </c>
      <c r="V237">
        <v>4002</v>
      </c>
      <c r="W237" t="s">
        <v>51</v>
      </c>
    </row>
    <row r="238" spans="1:47" x14ac:dyDescent="0.25">
      <c r="A238" t="s">
        <v>47</v>
      </c>
      <c r="B238" s="1">
        <v>38583</v>
      </c>
      <c r="C238" t="s">
        <v>48</v>
      </c>
      <c r="D238" t="s">
        <v>49</v>
      </c>
      <c r="E238" s="2">
        <v>46073</v>
      </c>
      <c r="F238" t="s">
        <v>102</v>
      </c>
      <c r="G238" t="s">
        <v>59</v>
      </c>
      <c r="H238" s="3">
        <v>1674</v>
      </c>
      <c r="I238" s="3">
        <v>1674</v>
      </c>
      <c r="J238">
        <v>0</v>
      </c>
      <c r="K238" s="3">
        <v>1925.1</v>
      </c>
      <c r="L238">
        <v>349.8</v>
      </c>
      <c r="M238">
        <v>113.69</v>
      </c>
      <c r="N238" t="s">
        <v>70</v>
      </c>
      <c r="O238" t="s">
        <v>194</v>
      </c>
      <c r="P238" t="s">
        <v>194</v>
      </c>
      <c r="Q238" t="s">
        <v>194</v>
      </c>
      <c r="R238" t="s">
        <v>195</v>
      </c>
      <c r="S238" t="s">
        <v>195</v>
      </c>
      <c r="T238" t="s">
        <v>51</v>
      </c>
      <c r="U238">
        <v>9</v>
      </c>
      <c r="V238" t="s">
        <v>63</v>
      </c>
      <c r="W238" t="s">
        <v>53</v>
      </c>
      <c r="X238" s="4">
        <v>0</v>
      </c>
      <c r="Y238" t="s">
        <v>54</v>
      </c>
      <c r="Z238">
        <v>349.8</v>
      </c>
      <c r="AA238">
        <v>0</v>
      </c>
      <c r="AB238">
        <v>0</v>
      </c>
      <c r="AC238">
        <v>0</v>
      </c>
      <c r="AD238">
        <v>0</v>
      </c>
      <c r="AE238">
        <v>600</v>
      </c>
      <c r="AF238" t="s">
        <v>195</v>
      </c>
      <c r="AG238" t="s">
        <v>55</v>
      </c>
      <c r="AI238" t="s">
        <v>65</v>
      </c>
      <c r="AJ238" t="s">
        <v>65</v>
      </c>
      <c r="AK238" s="5">
        <v>46073.384745370371</v>
      </c>
      <c r="AO238" t="s">
        <v>195</v>
      </c>
      <c r="AP238">
        <v>0</v>
      </c>
      <c r="AR238" t="s">
        <v>195</v>
      </c>
      <c r="AS238" t="s">
        <v>195</v>
      </c>
      <c r="AT238">
        <v>1009</v>
      </c>
      <c r="AU238" t="s">
        <v>51</v>
      </c>
    </row>
    <row r="239" spans="1:47" x14ac:dyDescent="0.25">
      <c r="A239" t="s">
        <v>47</v>
      </c>
      <c r="B239" s="1">
        <v>38584</v>
      </c>
      <c r="C239" t="s">
        <v>48</v>
      </c>
      <c r="D239" t="s">
        <v>49</v>
      </c>
      <c r="E239" s="2">
        <v>46073</v>
      </c>
      <c r="F239" t="s">
        <v>123</v>
      </c>
      <c r="G239" t="s">
        <v>124</v>
      </c>
      <c r="H239" s="3">
        <v>28961.759999999998</v>
      </c>
      <c r="I239" s="3">
        <v>28961.759999999998</v>
      </c>
      <c r="J239">
        <v>0</v>
      </c>
      <c r="K239" s="3">
        <v>33306.019999999997</v>
      </c>
      <c r="L239" s="3">
        <v>3482.64</v>
      </c>
      <c r="M239" s="3">
        <v>2222.7800000000002</v>
      </c>
      <c r="N239" t="s">
        <v>125</v>
      </c>
      <c r="O239" t="s">
        <v>194</v>
      </c>
      <c r="P239" t="s">
        <v>194</v>
      </c>
      <c r="Q239" t="s">
        <v>194</v>
      </c>
      <c r="R239" t="s">
        <v>195</v>
      </c>
      <c r="S239" t="s">
        <v>195</v>
      </c>
      <c r="T239" t="s">
        <v>51</v>
      </c>
      <c r="U239">
        <v>43</v>
      </c>
      <c r="W239" t="s">
        <v>64</v>
      </c>
      <c r="X239" s="4">
        <v>0</v>
      </c>
      <c r="Y239" t="s">
        <v>54</v>
      </c>
      <c r="Z239">
        <v>0</v>
      </c>
      <c r="AA239">
        <v>0</v>
      </c>
      <c r="AB239" s="3">
        <v>3482.64</v>
      </c>
      <c r="AC239">
        <v>0</v>
      </c>
      <c r="AD239">
        <v>0</v>
      </c>
      <c r="AE239" s="3">
        <v>2568</v>
      </c>
      <c r="AF239" t="s">
        <v>195</v>
      </c>
      <c r="AG239" t="s">
        <v>55</v>
      </c>
      <c r="AI239" t="s">
        <v>65</v>
      </c>
      <c r="AJ239" t="s">
        <v>65</v>
      </c>
      <c r="AK239" s="5">
        <v>46073.388506944444</v>
      </c>
      <c r="AO239" t="s">
        <v>195</v>
      </c>
      <c r="AP239">
        <v>0</v>
      </c>
      <c r="AR239" t="s">
        <v>195</v>
      </c>
      <c r="AS239" t="s">
        <v>195</v>
      </c>
      <c r="AT239">
        <v>4694</v>
      </c>
      <c r="AU239" t="s">
        <v>51</v>
      </c>
    </row>
    <row r="240" spans="1:47" x14ac:dyDescent="0.25">
      <c r="A240" t="s">
        <v>47</v>
      </c>
      <c r="B240" s="1">
        <v>38585</v>
      </c>
      <c r="C240" t="s">
        <v>48</v>
      </c>
      <c r="D240" t="s">
        <v>49</v>
      </c>
      <c r="E240" s="2">
        <v>46073</v>
      </c>
      <c r="F240" t="s">
        <v>80</v>
      </c>
      <c r="G240" t="s">
        <v>76</v>
      </c>
      <c r="H240" s="3">
        <v>1432.43</v>
      </c>
      <c r="I240" s="3">
        <v>1432.43</v>
      </c>
      <c r="J240">
        <v>0</v>
      </c>
      <c r="K240" s="3">
        <v>1647.29</v>
      </c>
      <c r="L240">
        <v>327.31</v>
      </c>
      <c r="M240">
        <v>94.92</v>
      </c>
      <c r="N240" t="s">
        <v>70</v>
      </c>
      <c r="O240" t="s">
        <v>194</v>
      </c>
      <c r="P240" t="s">
        <v>194</v>
      </c>
      <c r="Q240" t="s">
        <v>194</v>
      </c>
      <c r="R240" t="s">
        <v>195</v>
      </c>
      <c r="S240" t="s">
        <v>195</v>
      </c>
      <c r="T240" t="s">
        <v>51</v>
      </c>
      <c r="U240">
        <v>9</v>
      </c>
      <c r="V240" t="s">
        <v>63</v>
      </c>
      <c r="W240" t="s">
        <v>81</v>
      </c>
      <c r="X240" s="4">
        <v>0</v>
      </c>
      <c r="Z240">
        <v>327.31</v>
      </c>
      <c r="AA240">
        <v>0</v>
      </c>
      <c r="AB240">
        <v>0</v>
      </c>
      <c r="AC240">
        <v>0</v>
      </c>
      <c r="AD240">
        <v>0</v>
      </c>
      <c r="AE240">
        <v>801</v>
      </c>
      <c r="AF240" t="s">
        <v>195</v>
      </c>
      <c r="AG240" t="s">
        <v>55</v>
      </c>
      <c r="AH240" t="s">
        <v>82</v>
      </c>
      <c r="AI240" t="s">
        <v>75</v>
      </c>
      <c r="AJ240" t="s">
        <v>75</v>
      </c>
      <c r="AK240" s="5">
        <v>46073.583680555559</v>
      </c>
      <c r="AO240" t="s">
        <v>195</v>
      </c>
      <c r="AP240">
        <v>0</v>
      </c>
      <c r="AR240" t="s">
        <v>195</v>
      </c>
      <c r="AS240" t="s">
        <v>195</v>
      </c>
      <c r="AT240">
        <v>161</v>
      </c>
      <c r="AU240" t="s">
        <v>51</v>
      </c>
    </row>
    <row r="241" spans="1:47" x14ac:dyDescent="0.25">
      <c r="A241" t="s">
        <v>47</v>
      </c>
      <c r="B241" s="1">
        <v>38586</v>
      </c>
      <c r="C241" t="s">
        <v>48</v>
      </c>
      <c r="D241" t="s">
        <v>49</v>
      </c>
      <c r="E241" s="2">
        <v>46076</v>
      </c>
      <c r="F241" t="s">
        <v>196</v>
      </c>
      <c r="G241" t="s">
        <v>59</v>
      </c>
      <c r="H241" s="3">
        <v>8950</v>
      </c>
      <c r="I241" s="3">
        <v>8950</v>
      </c>
      <c r="J241">
        <v>0</v>
      </c>
      <c r="K241" s="3">
        <v>10292.5</v>
      </c>
      <c r="L241">
        <v>866.9</v>
      </c>
      <c r="M241">
        <v>553.08000000000004</v>
      </c>
      <c r="N241" t="s">
        <v>50</v>
      </c>
      <c r="O241" t="s">
        <v>194</v>
      </c>
      <c r="P241" t="s">
        <v>194</v>
      </c>
      <c r="Q241" t="s">
        <v>194</v>
      </c>
      <c r="R241" t="s">
        <v>195</v>
      </c>
      <c r="S241" t="s">
        <v>195</v>
      </c>
      <c r="T241" t="s">
        <v>51</v>
      </c>
      <c r="U241">
        <v>126</v>
      </c>
      <c r="V241" t="s">
        <v>52</v>
      </c>
      <c r="W241" t="s">
        <v>197</v>
      </c>
      <c r="X241" s="4">
        <v>0</v>
      </c>
      <c r="Y241" t="s">
        <v>54</v>
      </c>
      <c r="Z241">
        <v>0</v>
      </c>
      <c r="AA241">
        <v>0</v>
      </c>
      <c r="AB241">
        <v>866.9</v>
      </c>
      <c r="AC241">
        <v>0</v>
      </c>
      <c r="AD241">
        <v>0</v>
      </c>
      <c r="AE241">
        <v>300</v>
      </c>
      <c r="AF241" t="s">
        <v>195</v>
      </c>
      <c r="AG241" t="s">
        <v>55</v>
      </c>
      <c r="AI241" t="s">
        <v>56</v>
      </c>
      <c r="AJ241" t="s">
        <v>56</v>
      </c>
      <c r="AK241" s="5">
        <v>46076.34578703704</v>
      </c>
      <c r="AO241" t="s">
        <v>195</v>
      </c>
      <c r="AP241">
        <v>0</v>
      </c>
      <c r="AR241" t="s">
        <v>195</v>
      </c>
      <c r="AS241" t="s">
        <v>195</v>
      </c>
      <c r="AT241">
        <v>1269</v>
      </c>
      <c r="AU241" t="s">
        <v>51</v>
      </c>
    </row>
    <row r="242" spans="1:47" x14ac:dyDescent="0.25">
      <c r="A242" t="s">
        <v>69</v>
      </c>
      <c r="B242" s="1">
        <v>38587</v>
      </c>
      <c r="C242" t="s">
        <v>48</v>
      </c>
      <c r="D242" t="s">
        <v>49</v>
      </c>
      <c r="E242" s="2">
        <v>46076</v>
      </c>
      <c r="F242" t="s">
        <v>276</v>
      </c>
      <c r="G242" t="s">
        <v>61</v>
      </c>
      <c r="H242" s="3">
        <v>52725</v>
      </c>
      <c r="I242" s="3">
        <v>52725</v>
      </c>
      <c r="J242">
        <v>0</v>
      </c>
      <c r="K242" s="3">
        <v>52725</v>
      </c>
      <c r="L242" s="3">
        <v>8812.5</v>
      </c>
      <c r="M242" s="3">
        <v>5243.45</v>
      </c>
      <c r="N242" t="s">
        <v>50</v>
      </c>
      <c r="O242" t="s">
        <v>194</v>
      </c>
      <c r="P242" t="s">
        <v>194</v>
      </c>
      <c r="Q242" t="s">
        <v>194</v>
      </c>
      <c r="R242" t="s">
        <v>195</v>
      </c>
      <c r="S242" t="s">
        <v>195</v>
      </c>
      <c r="T242" t="s">
        <v>51</v>
      </c>
      <c r="U242">
        <v>126</v>
      </c>
      <c r="V242" t="s">
        <v>52</v>
      </c>
      <c r="W242" t="s">
        <v>87</v>
      </c>
      <c r="X242" s="4">
        <v>0</v>
      </c>
      <c r="Y242" t="s">
        <v>57</v>
      </c>
    </row>
    <row r="243" spans="1:47" x14ac:dyDescent="0.25">
      <c r="A243" t="s">
        <v>58</v>
      </c>
      <c r="B243">
        <v>0</v>
      </c>
      <c r="C243">
        <v>0</v>
      </c>
      <c r="D243" s="3">
        <v>8812.5</v>
      </c>
      <c r="E243">
        <v>0</v>
      </c>
      <c r="F243">
        <v>0</v>
      </c>
      <c r="G243" s="3">
        <v>10000</v>
      </c>
      <c r="H243" t="s">
        <v>195</v>
      </c>
      <c r="I243" t="s">
        <v>55</v>
      </c>
      <c r="K243" t="s">
        <v>56</v>
      </c>
      <c r="L243" t="s">
        <v>56</v>
      </c>
      <c r="M243" s="5">
        <v>46076.356805555559</v>
      </c>
      <c r="Q243" t="s">
        <v>195</v>
      </c>
      <c r="R243">
        <v>0</v>
      </c>
      <c r="T243" t="s">
        <v>195</v>
      </c>
      <c r="U243" t="s">
        <v>195</v>
      </c>
      <c r="V243">
        <v>8701</v>
      </c>
      <c r="W243" t="s">
        <v>51</v>
      </c>
    </row>
    <row r="244" spans="1:47" x14ac:dyDescent="0.25">
      <c r="A244" t="s">
        <v>78</v>
      </c>
      <c r="B244" s="1">
        <v>38588</v>
      </c>
      <c r="C244" t="s">
        <v>48</v>
      </c>
      <c r="D244" t="s">
        <v>49</v>
      </c>
      <c r="E244" s="2">
        <v>46076</v>
      </c>
      <c r="F244" t="s">
        <v>277</v>
      </c>
      <c r="G244" t="s">
        <v>61</v>
      </c>
      <c r="H244" s="3">
        <v>4788</v>
      </c>
      <c r="I244" s="3">
        <v>4788</v>
      </c>
      <c r="J244">
        <v>0</v>
      </c>
      <c r="K244" s="3">
        <v>4788</v>
      </c>
      <c r="L244">
        <v>831</v>
      </c>
      <c r="M244">
        <v>477.83</v>
      </c>
      <c r="N244" t="s">
        <v>50</v>
      </c>
      <c r="O244" t="s">
        <v>194</v>
      </c>
      <c r="P244" t="s">
        <v>194</v>
      </c>
      <c r="Q244" t="s">
        <v>194</v>
      </c>
      <c r="R244" t="s">
        <v>195</v>
      </c>
      <c r="S244" t="s">
        <v>195</v>
      </c>
      <c r="T244" t="s">
        <v>51</v>
      </c>
      <c r="U244">
        <v>126</v>
      </c>
      <c r="V244" t="s">
        <v>52</v>
      </c>
      <c r="W244" t="s">
        <v>64</v>
      </c>
      <c r="X244" s="4">
        <v>0</v>
      </c>
      <c r="Y244" t="s">
        <v>54</v>
      </c>
      <c r="Z244">
        <v>0</v>
      </c>
      <c r="AA244">
        <v>0</v>
      </c>
      <c r="AB244">
        <v>831</v>
      </c>
      <c r="AC244">
        <v>0</v>
      </c>
      <c r="AD244">
        <v>0</v>
      </c>
      <c r="AE244">
        <v>600</v>
      </c>
      <c r="AF244" t="s">
        <v>195</v>
      </c>
      <c r="AG244" t="s">
        <v>55</v>
      </c>
      <c r="AI244" t="s">
        <v>56</v>
      </c>
      <c r="AJ244" t="s">
        <v>56</v>
      </c>
      <c r="AK244" s="5">
        <v>46076.378310185188</v>
      </c>
      <c r="AO244" t="s">
        <v>195</v>
      </c>
      <c r="AP244">
        <v>0</v>
      </c>
      <c r="AR244" t="s">
        <v>195</v>
      </c>
      <c r="AS244" t="s">
        <v>195</v>
      </c>
      <c r="AT244">
        <v>5152</v>
      </c>
      <c r="AU244" t="s">
        <v>51</v>
      </c>
    </row>
    <row r="245" spans="1:47" x14ac:dyDescent="0.25">
      <c r="A245" t="s">
        <v>78</v>
      </c>
      <c r="B245" s="1">
        <v>38590</v>
      </c>
      <c r="C245" t="s">
        <v>48</v>
      </c>
      <c r="D245" t="s">
        <v>49</v>
      </c>
      <c r="E245" s="2">
        <v>46076</v>
      </c>
      <c r="F245" t="s">
        <v>149</v>
      </c>
      <c r="G245" t="s">
        <v>59</v>
      </c>
      <c r="H245" s="3">
        <v>14290</v>
      </c>
      <c r="I245" s="3">
        <v>14290</v>
      </c>
      <c r="J245">
        <v>0</v>
      </c>
      <c r="K245" s="3">
        <v>14290</v>
      </c>
      <c r="L245" s="3">
        <v>2294</v>
      </c>
      <c r="M245" s="3">
        <v>1364.93</v>
      </c>
      <c r="N245" t="s">
        <v>50</v>
      </c>
      <c r="O245" t="s">
        <v>194</v>
      </c>
      <c r="P245" t="s">
        <v>194</v>
      </c>
      <c r="Q245" t="s">
        <v>194</v>
      </c>
      <c r="R245" t="s">
        <v>195</v>
      </c>
      <c r="S245" t="s">
        <v>195</v>
      </c>
      <c r="T245" t="s">
        <v>51</v>
      </c>
      <c r="U245">
        <v>126</v>
      </c>
      <c r="V245" t="s">
        <v>52</v>
      </c>
      <c r="W245" t="s">
        <v>98</v>
      </c>
      <c r="X245" s="4">
        <v>0</v>
      </c>
      <c r="Y245" t="s">
        <v>54</v>
      </c>
      <c r="Z245">
        <v>0</v>
      </c>
      <c r="AA245">
        <v>0</v>
      </c>
      <c r="AB245" s="3">
        <v>2294</v>
      </c>
      <c r="AC245">
        <v>0</v>
      </c>
      <c r="AD245">
        <v>0</v>
      </c>
      <c r="AE245" s="3">
        <v>1000</v>
      </c>
      <c r="AF245" t="s">
        <v>195</v>
      </c>
      <c r="AG245" t="s">
        <v>55</v>
      </c>
      <c r="AH245" t="s">
        <v>104</v>
      </c>
      <c r="AI245" t="s">
        <v>65</v>
      </c>
      <c r="AJ245" t="s">
        <v>65</v>
      </c>
      <c r="AK245" s="5">
        <v>46076.476377314815</v>
      </c>
      <c r="AO245" t="s">
        <v>195</v>
      </c>
      <c r="AP245">
        <v>0</v>
      </c>
      <c r="AR245" t="s">
        <v>195</v>
      </c>
      <c r="AS245" t="s">
        <v>195</v>
      </c>
      <c r="AT245">
        <v>5486</v>
      </c>
      <c r="AU245" t="s">
        <v>51</v>
      </c>
    </row>
    <row r="246" spans="1:47" x14ac:dyDescent="0.25">
      <c r="A246" t="s">
        <v>47</v>
      </c>
      <c r="B246" s="1">
        <v>38591</v>
      </c>
      <c r="C246" t="s">
        <v>48</v>
      </c>
      <c r="D246" t="s">
        <v>49</v>
      </c>
      <c r="E246" s="2">
        <v>46076</v>
      </c>
      <c r="F246" t="s">
        <v>187</v>
      </c>
      <c r="G246" t="s">
        <v>73</v>
      </c>
      <c r="H246">
        <v>539.20000000000005</v>
      </c>
      <c r="I246">
        <v>539.20000000000005</v>
      </c>
      <c r="J246">
        <v>0</v>
      </c>
      <c r="K246">
        <v>620.08000000000004</v>
      </c>
      <c r="L246">
        <v>82.04</v>
      </c>
      <c r="M246">
        <v>52.34</v>
      </c>
      <c r="N246" t="s">
        <v>50</v>
      </c>
      <c r="O246" t="s">
        <v>194</v>
      </c>
      <c r="P246" t="s">
        <v>194</v>
      </c>
      <c r="Q246" t="s">
        <v>194</v>
      </c>
      <c r="R246" t="s">
        <v>195</v>
      </c>
      <c r="S246" t="s">
        <v>195</v>
      </c>
      <c r="T246" t="s">
        <v>51</v>
      </c>
      <c r="U246">
        <v>126</v>
      </c>
      <c r="V246" t="s">
        <v>52</v>
      </c>
      <c r="W246" t="s">
        <v>77</v>
      </c>
      <c r="X246" s="4">
        <v>0</v>
      </c>
      <c r="Y246" t="s">
        <v>57</v>
      </c>
    </row>
    <row r="247" spans="1:47" x14ac:dyDescent="0.25">
      <c r="A247" t="s">
        <v>58</v>
      </c>
      <c r="B247">
        <v>0</v>
      </c>
      <c r="C247">
        <v>0</v>
      </c>
      <c r="D247">
        <v>82.04</v>
      </c>
      <c r="E247">
        <v>0</v>
      </c>
      <c r="F247">
        <v>0</v>
      </c>
      <c r="G247">
        <v>40</v>
      </c>
      <c r="H247" t="s">
        <v>195</v>
      </c>
      <c r="I247" t="s">
        <v>55</v>
      </c>
      <c r="J247" t="s">
        <v>101</v>
      </c>
      <c r="K247" t="s">
        <v>56</v>
      </c>
      <c r="L247" t="s">
        <v>56</v>
      </c>
      <c r="M247" s="5">
        <v>46076.49009259259</v>
      </c>
      <c r="Q247" t="s">
        <v>195</v>
      </c>
      <c r="R247">
        <v>0</v>
      </c>
      <c r="T247" t="s">
        <v>195</v>
      </c>
      <c r="U247" t="s">
        <v>195</v>
      </c>
      <c r="V247">
        <v>8478</v>
      </c>
      <c r="W247" t="s">
        <v>51</v>
      </c>
    </row>
    <row r="248" spans="1:47" x14ac:dyDescent="0.25">
      <c r="A248" t="s">
        <v>47</v>
      </c>
      <c r="B248" s="1">
        <v>38592</v>
      </c>
      <c r="C248" t="s">
        <v>48</v>
      </c>
      <c r="D248" t="s">
        <v>49</v>
      </c>
      <c r="E248" s="2">
        <v>46077</v>
      </c>
      <c r="F248" t="s">
        <v>84</v>
      </c>
      <c r="G248" t="s">
        <v>61</v>
      </c>
      <c r="H248" s="3">
        <v>15300</v>
      </c>
      <c r="I248" s="3">
        <v>15300</v>
      </c>
      <c r="J248">
        <v>0</v>
      </c>
      <c r="K248" s="3">
        <v>17595</v>
      </c>
      <c r="L248" s="3">
        <v>3492</v>
      </c>
      <c r="M248" s="3">
        <v>1361.88</v>
      </c>
      <c r="N248" t="s">
        <v>50</v>
      </c>
      <c r="O248" t="s">
        <v>194</v>
      </c>
      <c r="P248" t="s">
        <v>194</v>
      </c>
      <c r="Q248" t="s">
        <v>194</v>
      </c>
      <c r="R248" t="s">
        <v>195</v>
      </c>
      <c r="S248" t="s">
        <v>195</v>
      </c>
      <c r="T248" t="s">
        <v>51</v>
      </c>
      <c r="U248">
        <v>126</v>
      </c>
      <c r="V248" t="s">
        <v>52</v>
      </c>
      <c r="W248" t="s">
        <v>77</v>
      </c>
      <c r="X248" s="4">
        <v>0</v>
      </c>
      <c r="Y248" t="s">
        <v>54</v>
      </c>
      <c r="Z248" s="3">
        <v>3492</v>
      </c>
      <c r="AA248">
        <v>0</v>
      </c>
      <c r="AB248">
        <v>0</v>
      </c>
      <c r="AC248">
        <v>0</v>
      </c>
      <c r="AD248">
        <v>0</v>
      </c>
      <c r="AE248" s="3">
        <v>3000</v>
      </c>
      <c r="AF248" t="s">
        <v>195</v>
      </c>
      <c r="AG248" t="s">
        <v>55</v>
      </c>
      <c r="AI248" t="s">
        <v>65</v>
      </c>
      <c r="AJ248" t="s">
        <v>65</v>
      </c>
      <c r="AK248" s="5">
        <v>46077.319340277776</v>
      </c>
      <c r="AO248" t="s">
        <v>195</v>
      </c>
      <c r="AP248">
        <v>0</v>
      </c>
      <c r="AR248" t="s">
        <v>195</v>
      </c>
      <c r="AS248" t="s">
        <v>195</v>
      </c>
      <c r="AT248">
        <v>1877</v>
      </c>
      <c r="AU248" t="s">
        <v>51</v>
      </c>
    </row>
    <row r="249" spans="1:47" x14ac:dyDescent="0.25">
      <c r="A249" t="s">
        <v>78</v>
      </c>
      <c r="B249" s="1">
        <v>38593</v>
      </c>
      <c r="C249" t="s">
        <v>48</v>
      </c>
      <c r="D249" t="s">
        <v>49</v>
      </c>
      <c r="E249" s="2">
        <v>46077</v>
      </c>
      <c r="F249" t="s">
        <v>161</v>
      </c>
      <c r="G249" t="s">
        <v>73</v>
      </c>
      <c r="H249" s="3">
        <v>10300</v>
      </c>
      <c r="I249" s="3">
        <v>10300</v>
      </c>
      <c r="J249">
        <v>0</v>
      </c>
      <c r="K249" s="3">
        <v>10300</v>
      </c>
      <c r="L249" s="3">
        <v>1614</v>
      </c>
      <c r="M249" s="3">
        <v>1016.82</v>
      </c>
      <c r="N249" t="s">
        <v>50</v>
      </c>
      <c r="O249" t="s">
        <v>194</v>
      </c>
      <c r="P249" t="s">
        <v>194</v>
      </c>
      <c r="Q249" t="s">
        <v>194</v>
      </c>
      <c r="R249" t="s">
        <v>195</v>
      </c>
      <c r="S249" t="s">
        <v>195</v>
      </c>
      <c r="T249" t="s">
        <v>51</v>
      </c>
      <c r="U249">
        <v>126</v>
      </c>
      <c r="V249" t="s">
        <v>52</v>
      </c>
      <c r="W249" t="s">
        <v>162</v>
      </c>
      <c r="X249" s="4">
        <v>0</v>
      </c>
      <c r="Y249" t="s">
        <v>54</v>
      </c>
      <c r="Z249">
        <v>0</v>
      </c>
      <c r="AA249">
        <v>0</v>
      </c>
      <c r="AB249" s="3">
        <v>1614</v>
      </c>
      <c r="AC249">
        <v>0</v>
      </c>
      <c r="AD249">
        <v>0</v>
      </c>
      <c r="AE249" s="3">
        <v>2000</v>
      </c>
      <c r="AF249" t="s">
        <v>195</v>
      </c>
      <c r="AG249" t="s">
        <v>55</v>
      </c>
      <c r="AH249" t="s">
        <v>101</v>
      </c>
      <c r="AI249" t="s">
        <v>65</v>
      </c>
      <c r="AJ249" t="s">
        <v>65</v>
      </c>
      <c r="AK249" s="5">
        <v>46077.542685185188</v>
      </c>
      <c r="AO249" t="s">
        <v>195</v>
      </c>
      <c r="AP249">
        <v>0</v>
      </c>
      <c r="AR249" t="s">
        <v>195</v>
      </c>
      <c r="AS249" t="s">
        <v>195</v>
      </c>
      <c r="AT249">
        <v>5603</v>
      </c>
      <c r="AU249" t="s">
        <v>51</v>
      </c>
    </row>
    <row r="250" spans="1:47" x14ac:dyDescent="0.25">
      <c r="A250" t="s">
        <v>96</v>
      </c>
      <c r="B250" s="1">
        <v>38594</v>
      </c>
      <c r="C250" t="s">
        <v>48</v>
      </c>
      <c r="D250" t="s">
        <v>49</v>
      </c>
      <c r="E250" s="2">
        <v>46077</v>
      </c>
      <c r="F250" t="s">
        <v>121</v>
      </c>
      <c r="G250" t="s">
        <v>122</v>
      </c>
      <c r="H250" s="3">
        <v>25800</v>
      </c>
      <c r="I250" s="3">
        <v>25800</v>
      </c>
      <c r="J250">
        <v>0</v>
      </c>
      <c r="K250" s="3">
        <v>25800</v>
      </c>
      <c r="L250" s="3">
        <v>6175</v>
      </c>
      <c r="M250" s="3">
        <v>1790.75</v>
      </c>
      <c r="N250" t="s">
        <v>66</v>
      </c>
      <c r="O250" t="s">
        <v>194</v>
      </c>
      <c r="P250" t="s">
        <v>194</v>
      </c>
      <c r="Q250" t="s">
        <v>194</v>
      </c>
      <c r="R250" t="s">
        <v>195</v>
      </c>
      <c r="S250" t="s">
        <v>195</v>
      </c>
      <c r="T250" t="s">
        <v>51</v>
      </c>
      <c r="U250">
        <v>83</v>
      </c>
      <c r="W250" t="s">
        <v>87</v>
      </c>
      <c r="X250" s="4">
        <v>0</v>
      </c>
      <c r="Y250" t="s">
        <v>57</v>
      </c>
    </row>
    <row r="251" spans="1:47" x14ac:dyDescent="0.25">
      <c r="A251" t="s">
        <v>58</v>
      </c>
      <c r="B251" s="3">
        <v>6175</v>
      </c>
      <c r="C251">
        <v>0</v>
      </c>
      <c r="D251">
        <v>0</v>
      </c>
      <c r="E251">
        <v>0</v>
      </c>
      <c r="F251">
        <v>0</v>
      </c>
      <c r="G251" s="3">
        <v>15000</v>
      </c>
      <c r="H251" t="s">
        <v>195</v>
      </c>
      <c r="I251" t="s">
        <v>55</v>
      </c>
      <c r="K251" t="s">
        <v>68</v>
      </c>
      <c r="L251" t="s">
        <v>65</v>
      </c>
      <c r="M251" s="5">
        <v>46077.636932870373</v>
      </c>
      <c r="Q251" t="s">
        <v>195</v>
      </c>
      <c r="R251">
        <v>0</v>
      </c>
      <c r="T251" t="s">
        <v>195</v>
      </c>
      <c r="U251" t="s">
        <v>195</v>
      </c>
      <c r="V251">
        <v>4212</v>
      </c>
      <c r="W251" t="s">
        <v>51</v>
      </c>
    </row>
    <row r="252" spans="1:47" x14ac:dyDescent="0.25">
      <c r="A252" t="s">
        <v>78</v>
      </c>
      <c r="B252" s="1">
        <v>38596</v>
      </c>
      <c r="C252" t="s">
        <v>48</v>
      </c>
      <c r="D252" t="s">
        <v>49</v>
      </c>
      <c r="E252" s="2">
        <v>46077</v>
      </c>
      <c r="F252" t="s">
        <v>105</v>
      </c>
      <c r="G252" t="s">
        <v>61</v>
      </c>
      <c r="H252" s="3">
        <v>12220</v>
      </c>
      <c r="I252" s="3">
        <v>12220</v>
      </c>
      <c r="J252">
        <v>0</v>
      </c>
      <c r="K252" s="3">
        <v>12220</v>
      </c>
      <c r="L252" s="3">
        <v>2147</v>
      </c>
      <c r="M252" s="3">
        <v>1234.53</v>
      </c>
      <c r="N252" t="s">
        <v>50</v>
      </c>
      <c r="O252" t="s">
        <v>194</v>
      </c>
      <c r="P252" t="s">
        <v>194</v>
      </c>
      <c r="Q252" t="s">
        <v>194</v>
      </c>
      <c r="R252" t="s">
        <v>195</v>
      </c>
      <c r="S252" t="s">
        <v>195</v>
      </c>
      <c r="T252" t="s">
        <v>51</v>
      </c>
      <c r="U252">
        <v>126</v>
      </c>
      <c r="V252" t="s">
        <v>52</v>
      </c>
      <c r="W252" t="s">
        <v>103</v>
      </c>
      <c r="X252" s="4">
        <v>0</v>
      </c>
      <c r="Y252" t="s">
        <v>54</v>
      </c>
      <c r="Z252">
        <v>0</v>
      </c>
      <c r="AA252">
        <v>0</v>
      </c>
      <c r="AB252" s="3">
        <v>2147</v>
      </c>
      <c r="AC252">
        <v>0</v>
      </c>
      <c r="AD252">
        <v>0</v>
      </c>
      <c r="AE252" s="3">
        <v>3000</v>
      </c>
      <c r="AF252" t="s">
        <v>195</v>
      </c>
      <c r="AG252" t="s">
        <v>55</v>
      </c>
      <c r="AI252" t="s">
        <v>163</v>
      </c>
      <c r="AJ252" t="s">
        <v>75</v>
      </c>
      <c r="AK252" s="5">
        <v>46077.58315972222</v>
      </c>
      <c r="AO252" t="s">
        <v>195</v>
      </c>
      <c r="AP252">
        <v>0</v>
      </c>
      <c r="AR252" t="s">
        <v>195</v>
      </c>
      <c r="AS252" t="s">
        <v>195</v>
      </c>
      <c r="AT252">
        <v>322</v>
      </c>
      <c r="AU252" t="s">
        <v>51</v>
      </c>
    </row>
    <row r="253" spans="1:47" x14ac:dyDescent="0.25">
      <c r="A253" t="s">
        <v>78</v>
      </c>
      <c r="B253" s="1">
        <v>38602</v>
      </c>
      <c r="C253" t="s">
        <v>48</v>
      </c>
      <c r="D253" t="s">
        <v>49</v>
      </c>
      <c r="E253" s="2">
        <v>46077</v>
      </c>
      <c r="F253" t="s">
        <v>164</v>
      </c>
      <c r="G253" t="s">
        <v>165</v>
      </c>
      <c r="H253" s="3">
        <v>3760</v>
      </c>
      <c r="I253" s="3">
        <v>3760</v>
      </c>
      <c r="J253">
        <v>0</v>
      </c>
      <c r="K253" s="3">
        <v>3760</v>
      </c>
      <c r="L253">
        <v>972</v>
      </c>
      <c r="M253">
        <v>315.89999999999998</v>
      </c>
      <c r="N253" t="s">
        <v>50</v>
      </c>
      <c r="O253" t="s">
        <v>194</v>
      </c>
      <c r="P253" t="s">
        <v>194</v>
      </c>
      <c r="Q253" t="s">
        <v>194</v>
      </c>
      <c r="R253" t="s">
        <v>195</v>
      </c>
      <c r="S253" t="s">
        <v>195</v>
      </c>
      <c r="T253" t="s">
        <v>51</v>
      </c>
      <c r="U253">
        <v>126</v>
      </c>
      <c r="V253" t="s">
        <v>52</v>
      </c>
      <c r="W253" t="s">
        <v>166</v>
      </c>
      <c r="X253" s="4">
        <v>0</v>
      </c>
      <c r="Y253" t="s">
        <v>167</v>
      </c>
    </row>
    <row r="254" spans="1:47" x14ac:dyDescent="0.25">
      <c r="A254" t="s">
        <v>57</v>
      </c>
      <c r="M254"/>
    </row>
    <row r="255" spans="1:47" x14ac:dyDescent="0.25">
      <c r="A255" t="s">
        <v>58</v>
      </c>
      <c r="B255">
        <v>972</v>
      </c>
      <c r="C255">
        <v>0</v>
      </c>
      <c r="D255">
        <v>0</v>
      </c>
      <c r="E255">
        <v>0</v>
      </c>
      <c r="F255">
        <v>0</v>
      </c>
      <c r="G255" s="3">
        <v>2000</v>
      </c>
      <c r="H255" t="s">
        <v>195</v>
      </c>
      <c r="I255" t="s">
        <v>55</v>
      </c>
      <c r="K255" t="s">
        <v>65</v>
      </c>
      <c r="L255" t="s">
        <v>65</v>
      </c>
      <c r="M255" s="5">
        <v>46077.702800925923</v>
      </c>
      <c r="Q255" t="s">
        <v>195</v>
      </c>
      <c r="R255">
        <v>0</v>
      </c>
      <c r="T255" t="s">
        <v>195</v>
      </c>
      <c r="U255" t="s">
        <v>195</v>
      </c>
      <c r="V255">
        <v>482</v>
      </c>
      <c r="W255" t="s">
        <v>51</v>
      </c>
    </row>
    <row r="256" spans="1:47" x14ac:dyDescent="0.25">
      <c r="A256" t="s">
        <v>96</v>
      </c>
      <c r="B256" s="1">
        <v>38603</v>
      </c>
      <c r="C256" t="s">
        <v>48</v>
      </c>
      <c r="D256" t="s">
        <v>49</v>
      </c>
      <c r="E256" s="2">
        <v>46077</v>
      </c>
      <c r="F256" t="s">
        <v>278</v>
      </c>
      <c r="G256" t="s">
        <v>59</v>
      </c>
      <c r="H256">
        <v>300</v>
      </c>
      <c r="I256">
        <v>300</v>
      </c>
      <c r="J256">
        <v>0</v>
      </c>
      <c r="K256">
        <v>300</v>
      </c>
      <c r="L256">
        <v>54.6</v>
      </c>
      <c r="M256">
        <v>20.04</v>
      </c>
      <c r="N256" t="s">
        <v>66</v>
      </c>
      <c r="O256" t="s">
        <v>194</v>
      </c>
      <c r="P256" t="s">
        <v>194</v>
      </c>
      <c r="Q256" t="s">
        <v>194</v>
      </c>
      <c r="R256" t="s">
        <v>195</v>
      </c>
      <c r="S256" t="s">
        <v>195</v>
      </c>
      <c r="T256" t="s">
        <v>51</v>
      </c>
      <c r="U256">
        <v>83</v>
      </c>
      <c r="W256" t="s">
        <v>87</v>
      </c>
      <c r="X256" s="4">
        <v>0</v>
      </c>
      <c r="Y256" t="s">
        <v>57</v>
      </c>
    </row>
    <row r="257" spans="1:47" x14ac:dyDescent="0.25">
      <c r="A257" t="s">
        <v>58</v>
      </c>
      <c r="B257">
        <v>54.6</v>
      </c>
      <c r="C257">
        <v>0</v>
      </c>
      <c r="D257">
        <v>0</v>
      </c>
      <c r="E257">
        <v>0</v>
      </c>
      <c r="F257">
        <v>0</v>
      </c>
      <c r="G257">
        <v>200</v>
      </c>
      <c r="H257" t="s">
        <v>195</v>
      </c>
      <c r="I257" t="s">
        <v>55</v>
      </c>
      <c r="J257" t="s">
        <v>104</v>
      </c>
      <c r="K257" t="s">
        <v>68</v>
      </c>
      <c r="L257" t="s">
        <v>65</v>
      </c>
      <c r="M257" s="5">
        <v>46077.653020833335</v>
      </c>
      <c r="Q257" t="s">
        <v>195</v>
      </c>
      <c r="R257">
        <v>0</v>
      </c>
      <c r="T257" t="s">
        <v>195</v>
      </c>
      <c r="U257" t="s">
        <v>195</v>
      </c>
      <c r="V257">
        <v>8690</v>
      </c>
      <c r="W257" t="s">
        <v>51</v>
      </c>
    </row>
    <row r="258" spans="1:47" x14ac:dyDescent="0.25">
      <c r="A258" t="s">
        <v>47</v>
      </c>
      <c r="B258" s="1">
        <v>38606</v>
      </c>
      <c r="C258" t="s">
        <v>48</v>
      </c>
      <c r="D258" t="s">
        <v>49</v>
      </c>
      <c r="E258" s="2">
        <v>46078</v>
      </c>
      <c r="F258" t="s">
        <v>136</v>
      </c>
      <c r="G258" t="s">
        <v>137</v>
      </c>
      <c r="H258" s="3">
        <v>2690</v>
      </c>
      <c r="I258" s="3">
        <v>2690</v>
      </c>
      <c r="J258">
        <v>0</v>
      </c>
      <c r="K258" s="3">
        <v>2690</v>
      </c>
      <c r="L258">
        <v>339</v>
      </c>
      <c r="M258">
        <v>216.28</v>
      </c>
      <c r="N258" t="s">
        <v>70</v>
      </c>
      <c r="O258" t="s">
        <v>194</v>
      </c>
      <c r="P258" t="s">
        <v>194</v>
      </c>
      <c r="Q258" t="s">
        <v>194</v>
      </c>
      <c r="R258" t="s">
        <v>195</v>
      </c>
      <c r="S258" t="s">
        <v>195</v>
      </c>
      <c r="T258" t="s">
        <v>51</v>
      </c>
      <c r="U258">
        <v>9</v>
      </c>
      <c r="W258" t="s">
        <v>138</v>
      </c>
      <c r="X258" s="4">
        <v>0</v>
      </c>
      <c r="Y258" t="s">
        <v>54</v>
      </c>
      <c r="Z258">
        <v>0</v>
      </c>
      <c r="AA258">
        <v>0</v>
      </c>
      <c r="AB258">
        <v>339</v>
      </c>
      <c r="AC258">
        <v>0</v>
      </c>
      <c r="AD258">
        <v>0</v>
      </c>
      <c r="AE258" s="3">
        <v>1000</v>
      </c>
      <c r="AF258" t="s">
        <v>195</v>
      </c>
      <c r="AG258" t="s">
        <v>55</v>
      </c>
      <c r="AI258" t="s">
        <v>75</v>
      </c>
      <c r="AJ258" t="s">
        <v>75</v>
      </c>
      <c r="AK258" s="5">
        <v>46078.317708333336</v>
      </c>
      <c r="AO258" t="s">
        <v>195</v>
      </c>
      <c r="AP258">
        <v>0</v>
      </c>
      <c r="AR258" t="s">
        <v>195</v>
      </c>
      <c r="AS258" t="s">
        <v>195</v>
      </c>
      <c r="AT258">
        <v>3124</v>
      </c>
      <c r="AU258" t="s">
        <v>51</v>
      </c>
    </row>
    <row r="259" spans="1:47" x14ac:dyDescent="0.25">
      <c r="A259" t="s">
        <v>47</v>
      </c>
      <c r="B259" s="1">
        <v>38607</v>
      </c>
      <c r="C259" t="s">
        <v>48</v>
      </c>
      <c r="D259" t="s">
        <v>49</v>
      </c>
      <c r="E259" s="2">
        <v>46078</v>
      </c>
      <c r="F259" t="s">
        <v>168</v>
      </c>
      <c r="G259" t="s">
        <v>76</v>
      </c>
      <c r="H259" s="3">
        <v>31820</v>
      </c>
      <c r="I259" s="3">
        <v>31820</v>
      </c>
      <c r="J259">
        <v>0</v>
      </c>
      <c r="K259" s="3">
        <v>31820</v>
      </c>
      <c r="L259" s="3">
        <v>2584</v>
      </c>
      <c r="M259" s="3">
        <v>2351.2600000000002</v>
      </c>
      <c r="N259" t="s">
        <v>70</v>
      </c>
      <c r="O259" t="s">
        <v>194</v>
      </c>
      <c r="P259" t="s">
        <v>194</v>
      </c>
      <c r="Q259" t="s">
        <v>194</v>
      </c>
      <c r="R259" t="s">
        <v>195</v>
      </c>
      <c r="S259" t="s">
        <v>195</v>
      </c>
      <c r="T259" t="s">
        <v>51</v>
      </c>
      <c r="U259">
        <v>9</v>
      </c>
      <c r="V259" t="s">
        <v>120</v>
      </c>
      <c r="W259" t="s">
        <v>77</v>
      </c>
      <c r="X259" s="4">
        <v>0</v>
      </c>
      <c r="Y259" t="s">
        <v>57</v>
      </c>
    </row>
    <row r="260" spans="1:47" x14ac:dyDescent="0.25">
      <c r="A260" t="s">
        <v>58</v>
      </c>
      <c r="B260">
        <v>0</v>
      </c>
      <c r="C260">
        <v>0</v>
      </c>
      <c r="D260" s="3">
        <v>2584</v>
      </c>
      <c r="E260">
        <v>0</v>
      </c>
      <c r="F260">
        <v>0</v>
      </c>
      <c r="G260" s="3">
        <v>4000</v>
      </c>
      <c r="H260" t="s">
        <v>195</v>
      </c>
      <c r="I260" t="s">
        <v>55</v>
      </c>
      <c r="K260" t="s">
        <v>65</v>
      </c>
      <c r="L260" t="s">
        <v>65</v>
      </c>
      <c r="M260" s="5">
        <v>46078.43377314815</v>
      </c>
      <c r="Q260" t="s">
        <v>195</v>
      </c>
      <c r="R260">
        <v>0</v>
      </c>
      <c r="T260" t="s">
        <v>195</v>
      </c>
      <c r="U260" t="s">
        <v>195</v>
      </c>
      <c r="V260">
        <v>8871</v>
      </c>
      <c r="W260" t="s">
        <v>51</v>
      </c>
    </row>
    <row r="261" spans="1:47" x14ac:dyDescent="0.25">
      <c r="A261" t="s">
        <v>78</v>
      </c>
      <c r="B261" s="1">
        <v>38608</v>
      </c>
      <c r="C261" t="s">
        <v>48</v>
      </c>
      <c r="D261" t="s">
        <v>49</v>
      </c>
      <c r="E261" s="2">
        <v>46078</v>
      </c>
      <c r="F261" t="s">
        <v>279</v>
      </c>
      <c r="G261" t="s">
        <v>202</v>
      </c>
      <c r="H261" s="3">
        <v>13730</v>
      </c>
      <c r="I261" s="3">
        <v>13730</v>
      </c>
      <c r="J261">
        <v>0</v>
      </c>
      <c r="K261" s="3">
        <v>13730</v>
      </c>
      <c r="L261" s="3">
        <v>2355</v>
      </c>
      <c r="M261" s="3">
        <v>1106.8499999999999</v>
      </c>
      <c r="N261" t="s">
        <v>70</v>
      </c>
      <c r="O261" t="s">
        <v>194</v>
      </c>
      <c r="P261" t="s">
        <v>194</v>
      </c>
      <c r="Q261" t="s">
        <v>194</v>
      </c>
      <c r="R261" t="s">
        <v>195</v>
      </c>
      <c r="S261" t="s">
        <v>195</v>
      </c>
      <c r="T261" t="s">
        <v>51</v>
      </c>
      <c r="U261">
        <v>9</v>
      </c>
      <c r="V261" t="s">
        <v>63</v>
      </c>
      <c r="W261" t="s">
        <v>77</v>
      </c>
      <c r="X261" s="4">
        <v>0</v>
      </c>
      <c r="Y261" t="s">
        <v>57</v>
      </c>
    </row>
    <row r="262" spans="1:47" x14ac:dyDescent="0.25">
      <c r="A262" t="s">
        <v>58</v>
      </c>
      <c r="B262">
        <v>0</v>
      </c>
      <c r="C262">
        <v>0</v>
      </c>
      <c r="D262">
        <v>0</v>
      </c>
      <c r="E262">
        <v>0</v>
      </c>
      <c r="F262" s="3">
        <v>2355</v>
      </c>
      <c r="G262" s="3">
        <v>1000</v>
      </c>
      <c r="H262" t="s">
        <v>195</v>
      </c>
      <c r="I262" t="s">
        <v>55</v>
      </c>
      <c r="K262" t="s">
        <v>65</v>
      </c>
      <c r="L262" t="s">
        <v>65</v>
      </c>
      <c r="M262" s="5">
        <v>46078.612592592595</v>
      </c>
      <c r="Q262" t="s">
        <v>195</v>
      </c>
      <c r="R262">
        <v>0</v>
      </c>
      <c r="T262" t="s">
        <v>195</v>
      </c>
      <c r="U262" t="s">
        <v>195</v>
      </c>
      <c r="V262">
        <v>8076</v>
      </c>
      <c r="W262" t="s">
        <v>51</v>
      </c>
    </row>
    <row r="263" spans="1:47" x14ac:dyDescent="0.25">
      <c r="A263" t="s">
        <v>78</v>
      </c>
      <c r="B263" s="1">
        <v>38609</v>
      </c>
      <c r="C263" t="s">
        <v>48</v>
      </c>
      <c r="D263" t="s">
        <v>49</v>
      </c>
      <c r="E263" s="2">
        <v>46078</v>
      </c>
      <c r="F263" t="s">
        <v>280</v>
      </c>
      <c r="G263" t="s">
        <v>61</v>
      </c>
      <c r="H263" s="3">
        <v>3848</v>
      </c>
      <c r="I263" s="3">
        <v>3848</v>
      </c>
      <c r="J263">
        <v>0</v>
      </c>
      <c r="K263" s="3">
        <v>3848</v>
      </c>
      <c r="L263">
        <v>665.8</v>
      </c>
      <c r="M263">
        <v>396.15</v>
      </c>
      <c r="N263" t="s">
        <v>66</v>
      </c>
      <c r="O263" t="s">
        <v>194</v>
      </c>
      <c r="P263" t="s">
        <v>194</v>
      </c>
      <c r="Q263" t="s">
        <v>194</v>
      </c>
      <c r="R263" t="s">
        <v>195</v>
      </c>
      <c r="S263" t="s">
        <v>195</v>
      </c>
      <c r="T263" t="s">
        <v>51</v>
      </c>
      <c r="U263">
        <v>83</v>
      </c>
      <c r="W263" t="s">
        <v>150</v>
      </c>
      <c r="X263" s="4">
        <v>0</v>
      </c>
      <c r="Y263" t="s">
        <v>57</v>
      </c>
    </row>
    <row r="264" spans="1:47" x14ac:dyDescent="0.25">
      <c r="A264" t="s">
        <v>58</v>
      </c>
      <c r="B264">
        <v>0</v>
      </c>
      <c r="C264">
        <v>0</v>
      </c>
      <c r="D264">
        <v>665.8</v>
      </c>
      <c r="E264">
        <v>0</v>
      </c>
      <c r="F264">
        <v>0</v>
      </c>
      <c r="G264">
        <v>200</v>
      </c>
      <c r="H264" t="s">
        <v>195</v>
      </c>
      <c r="I264" t="s">
        <v>55</v>
      </c>
      <c r="J264" t="s">
        <v>107</v>
      </c>
      <c r="K264" t="s">
        <v>68</v>
      </c>
      <c r="L264" t="s">
        <v>65</v>
      </c>
      <c r="M264" s="5">
        <v>46078.63957175926</v>
      </c>
      <c r="Q264" t="s">
        <v>195</v>
      </c>
      <c r="R264">
        <v>0</v>
      </c>
      <c r="T264" t="s">
        <v>195</v>
      </c>
      <c r="U264" t="s">
        <v>195</v>
      </c>
      <c r="V264">
        <v>8893</v>
      </c>
      <c r="W264" t="s">
        <v>51</v>
      </c>
    </row>
    <row r="265" spans="1:47" x14ac:dyDescent="0.25">
      <c r="A265" t="s">
        <v>78</v>
      </c>
      <c r="B265" s="1">
        <v>38610</v>
      </c>
      <c r="C265" t="s">
        <v>48</v>
      </c>
      <c r="D265" t="s">
        <v>49</v>
      </c>
      <c r="E265" s="2">
        <v>46078</v>
      </c>
      <c r="F265" t="s">
        <v>281</v>
      </c>
      <c r="G265" t="s">
        <v>218</v>
      </c>
      <c r="H265" s="3">
        <v>4260</v>
      </c>
      <c r="I265" s="3">
        <v>4260</v>
      </c>
      <c r="J265">
        <v>0</v>
      </c>
      <c r="K265" s="3">
        <v>4260</v>
      </c>
      <c r="L265">
        <v>840</v>
      </c>
      <c r="M265">
        <v>308.27999999999997</v>
      </c>
      <c r="N265" t="s">
        <v>50</v>
      </c>
      <c r="O265" t="s">
        <v>194</v>
      </c>
      <c r="P265" t="s">
        <v>194</v>
      </c>
      <c r="Q265" t="s">
        <v>194</v>
      </c>
      <c r="R265" t="s">
        <v>195</v>
      </c>
      <c r="S265" t="s">
        <v>195</v>
      </c>
      <c r="T265" t="s">
        <v>51</v>
      </c>
      <c r="U265">
        <v>126</v>
      </c>
      <c r="V265" t="s">
        <v>52</v>
      </c>
      <c r="W265" t="s">
        <v>150</v>
      </c>
      <c r="X265" s="4">
        <v>0</v>
      </c>
      <c r="Y265" t="s">
        <v>54</v>
      </c>
      <c r="Z265">
        <v>840</v>
      </c>
      <c r="AA265">
        <v>0</v>
      </c>
      <c r="AB265">
        <v>0</v>
      </c>
      <c r="AC265">
        <v>0</v>
      </c>
      <c r="AD265">
        <v>0</v>
      </c>
      <c r="AE265" s="3">
        <v>3000</v>
      </c>
      <c r="AF265" t="s">
        <v>195</v>
      </c>
      <c r="AG265" t="s">
        <v>55</v>
      </c>
      <c r="AH265" t="s">
        <v>282</v>
      </c>
      <c r="AI265" t="s">
        <v>65</v>
      </c>
      <c r="AJ265" t="s">
        <v>65</v>
      </c>
      <c r="AK265" s="5">
        <v>46079.403055555558</v>
      </c>
      <c r="AO265" t="s">
        <v>195</v>
      </c>
      <c r="AP265">
        <v>0</v>
      </c>
      <c r="AR265" t="s">
        <v>195</v>
      </c>
      <c r="AS265" t="s">
        <v>195</v>
      </c>
      <c r="AT265">
        <v>5450</v>
      </c>
      <c r="AU265" t="s">
        <v>51</v>
      </c>
    </row>
    <row r="266" spans="1:47" x14ac:dyDescent="0.25">
      <c r="A266" t="s">
        <v>47</v>
      </c>
      <c r="B266" s="1">
        <v>38611</v>
      </c>
      <c r="C266" t="s">
        <v>48</v>
      </c>
      <c r="D266" t="s">
        <v>49</v>
      </c>
      <c r="E266" s="2">
        <v>46078</v>
      </c>
      <c r="F266" t="s">
        <v>102</v>
      </c>
      <c r="G266" t="s">
        <v>59</v>
      </c>
      <c r="H266" s="3">
        <v>5430</v>
      </c>
      <c r="I266" s="3">
        <v>5430</v>
      </c>
      <c r="J266">
        <v>0</v>
      </c>
      <c r="K266" s="3">
        <v>5606.48</v>
      </c>
      <c r="L266">
        <v>795</v>
      </c>
      <c r="M266">
        <v>278.25</v>
      </c>
      <c r="N266" t="s">
        <v>70</v>
      </c>
      <c r="O266" t="s">
        <v>194</v>
      </c>
      <c r="P266" t="s">
        <v>194</v>
      </c>
      <c r="Q266" t="s">
        <v>194</v>
      </c>
      <c r="R266" t="s">
        <v>195</v>
      </c>
      <c r="S266" t="s">
        <v>195</v>
      </c>
      <c r="T266" t="s">
        <v>51</v>
      </c>
      <c r="U266">
        <v>9</v>
      </c>
      <c r="V266" t="s">
        <v>63</v>
      </c>
      <c r="W266" t="s">
        <v>53</v>
      </c>
      <c r="X266" s="4">
        <v>0</v>
      </c>
      <c r="Y266" t="s">
        <v>54</v>
      </c>
      <c r="Z266">
        <v>795</v>
      </c>
      <c r="AA266">
        <v>0</v>
      </c>
      <c r="AB266">
        <v>0</v>
      </c>
      <c r="AC266">
        <v>0</v>
      </c>
      <c r="AD266">
        <v>0</v>
      </c>
      <c r="AE266" s="3">
        <v>1500</v>
      </c>
      <c r="AF266" t="s">
        <v>195</v>
      </c>
      <c r="AG266" t="s">
        <v>55</v>
      </c>
      <c r="AI266" t="s">
        <v>65</v>
      </c>
      <c r="AJ266" t="s">
        <v>65</v>
      </c>
      <c r="AK266" s="5">
        <v>46078.705740740741</v>
      </c>
      <c r="AO266" t="s">
        <v>195</v>
      </c>
      <c r="AP266">
        <v>0</v>
      </c>
      <c r="AR266" t="s">
        <v>195</v>
      </c>
      <c r="AS266" t="s">
        <v>195</v>
      </c>
      <c r="AT266">
        <v>1009</v>
      </c>
      <c r="AU266" t="s">
        <v>51</v>
      </c>
    </row>
    <row r="267" spans="1:47" x14ac:dyDescent="0.25">
      <c r="A267" t="s">
        <v>47</v>
      </c>
      <c r="B267" s="1">
        <v>38612</v>
      </c>
      <c r="C267" t="s">
        <v>48</v>
      </c>
      <c r="D267" t="s">
        <v>49</v>
      </c>
      <c r="E267" s="2">
        <v>46078</v>
      </c>
      <c r="F267" t="s">
        <v>102</v>
      </c>
      <c r="G267" t="s">
        <v>59</v>
      </c>
      <c r="H267" s="3">
        <v>7240</v>
      </c>
      <c r="I267" s="3">
        <v>7240</v>
      </c>
      <c r="J267">
        <v>0</v>
      </c>
      <c r="K267" s="3">
        <v>7475.3</v>
      </c>
      <c r="L267" s="3">
        <v>1060</v>
      </c>
      <c r="M267">
        <v>371</v>
      </c>
      <c r="N267" t="s">
        <v>70</v>
      </c>
      <c r="O267" t="s">
        <v>194</v>
      </c>
      <c r="P267" t="s">
        <v>194</v>
      </c>
      <c r="Q267" t="s">
        <v>194</v>
      </c>
      <c r="R267" t="s">
        <v>195</v>
      </c>
      <c r="S267" t="s">
        <v>195</v>
      </c>
      <c r="T267" t="s">
        <v>51</v>
      </c>
      <c r="U267">
        <v>9</v>
      </c>
      <c r="V267" t="s">
        <v>63</v>
      </c>
      <c r="W267" t="s">
        <v>53</v>
      </c>
      <c r="X267" s="4">
        <v>0</v>
      </c>
      <c r="Y267" t="s">
        <v>54</v>
      </c>
      <c r="Z267" s="3">
        <v>1060</v>
      </c>
      <c r="AA267">
        <v>0</v>
      </c>
      <c r="AB267">
        <v>0</v>
      </c>
      <c r="AC267">
        <v>0</v>
      </c>
      <c r="AD267">
        <v>0</v>
      </c>
      <c r="AE267" s="3">
        <v>2000</v>
      </c>
      <c r="AF267" t="s">
        <v>195</v>
      </c>
      <c r="AG267" t="s">
        <v>55</v>
      </c>
      <c r="AI267" t="s">
        <v>65</v>
      </c>
      <c r="AJ267" t="s">
        <v>65</v>
      </c>
      <c r="AK267" s="5">
        <v>46078.706296296295</v>
      </c>
      <c r="AO267" t="s">
        <v>195</v>
      </c>
      <c r="AP267">
        <v>0</v>
      </c>
      <c r="AR267" t="s">
        <v>195</v>
      </c>
      <c r="AS267" t="s">
        <v>195</v>
      </c>
      <c r="AT267">
        <v>1009</v>
      </c>
      <c r="AU267" t="s">
        <v>51</v>
      </c>
    </row>
    <row r="268" spans="1:47" x14ac:dyDescent="0.25">
      <c r="A268" t="s">
        <v>47</v>
      </c>
      <c r="B268" s="1">
        <v>38613</v>
      </c>
      <c r="C268" t="s">
        <v>48</v>
      </c>
      <c r="D268" t="s">
        <v>49</v>
      </c>
      <c r="E268" s="2">
        <v>46078</v>
      </c>
      <c r="F268" t="s">
        <v>102</v>
      </c>
      <c r="G268" t="s">
        <v>59</v>
      </c>
      <c r="H268" s="3">
        <v>7240</v>
      </c>
      <c r="I268" s="3">
        <v>7240</v>
      </c>
      <c r="J268">
        <v>0</v>
      </c>
      <c r="K268" s="3">
        <v>7475.3</v>
      </c>
      <c r="L268" s="3">
        <v>1060</v>
      </c>
      <c r="M268">
        <v>371</v>
      </c>
      <c r="N268" t="s">
        <v>70</v>
      </c>
      <c r="O268" t="s">
        <v>194</v>
      </c>
      <c r="P268" t="s">
        <v>194</v>
      </c>
      <c r="Q268" t="s">
        <v>194</v>
      </c>
      <c r="R268" t="s">
        <v>195</v>
      </c>
      <c r="S268" t="s">
        <v>195</v>
      </c>
      <c r="T268" t="s">
        <v>51</v>
      </c>
      <c r="U268">
        <v>9</v>
      </c>
      <c r="V268" t="s">
        <v>63</v>
      </c>
      <c r="W268" t="s">
        <v>53</v>
      </c>
      <c r="X268" s="4">
        <v>0</v>
      </c>
      <c r="Y268" t="s">
        <v>54</v>
      </c>
      <c r="Z268" s="3">
        <v>1060</v>
      </c>
      <c r="AA268">
        <v>0</v>
      </c>
      <c r="AB268">
        <v>0</v>
      </c>
      <c r="AC268">
        <v>0</v>
      </c>
      <c r="AD268">
        <v>0</v>
      </c>
      <c r="AE268" s="3">
        <v>2000</v>
      </c>
      <c r="AF268" t="s">
        <v>195</v>
      </c>
      <c r="AG268" t="s">
        <v>55</v>
      </c>
      <c r="AI268" t="s">
        <v>65</v>
      </c>
      <c r="AJ268" t="s">
        <v>65</v>
      </c>
      <c r="AK268" s="5">
        <v>46078.706817129627</v>
      </c>
      <c r="AO268" t="s">
        <v>195</v>
      </c>
      <c r="AP268">
        <v>0</v>
      </c>
      <c r="AR268" t="s">
        <v>195</v>
      </c>
      <c r="AS268" t="s">
        <v>195</v>
      </c>
      <c r="AT268">
        <v>1009</v>
      </c>
      <c r="AU268" t="s">
        <v>51</v>
      </c>
    </row>
    <row r="269" spans="1:47" x14ac:dyDescent="0.25">
      <c r="A269" t="s">
        <v>47</v>
      </c>
      <c r="B269" s="1">
        <v>38614</v>
      </c>
      <c r="C269" t="s">
        <v>48</v>
      </c>
      <c r="D269" t="s">
        <v>49</v>
      </c>
      <c r="E269" s="2">
        <v>46078</v>
      </c>
      <c r="F269" t="s">
        <v>144</v>
      </c>
      <c r="G269" t="s">
        <v>73</v>
      </c>
      <c r="H269" s="3">
        <v>1555</v>
      </c>
      <c r="I269" s="3">
        <v>1555</v>
      </c>
      <c r="J269">
        <v>0</v>
      </c>
      <c r="K269" s="3">
        <v>1788.25</v>
      </c>
      <c r="L269">
        <v>324</v>
      </c>
      <c r="M269">
        <v>118.91</v>
      </c>
      <c r="N269" t="s">
        <v>83</v>
      </c>
      <c r="O269" t="s">
        <v>194</v>
      </c>
      <c r="P269" t="s">
        <v>194</v>
      </c>
      <c r="Q269" t="s">
        <v>194</v>
      </c>
      <c r="R269" t="s">
        <v>195</v>
      </c>
      <c r="S269" t="s">
        <v>195</v>
      </c>
      <c r="T269" t="s">
        <v>51</v>
      </c>
      <c r="U269">
        <v>145</v>
      </c>
      <c r="V269" t="s">
        <v>100</v>
      </c>
      <c r="W269" t="s">
        <v>71</v>
      </c>
      <c r="X269" s="4">
        <v>0</v>
      </c>
      <c r="Y269" t="s">
        <v>57</v>
      </c>
    </row>
    <row r="270" spans="1:47" x14ac:dyDescent="0.25">
      <c r="A270" t="s">
        <v>58</v>
      </c>
      <c r="B270">
        <v>324</v>
      </c>
      <c r="C270">
        <v>0</v>
      </c>
      <c r="D270">
        <v>0</v>
      </c>
      <c r="E270">
        <v>0</v>
      </c>
      <c r="F270">
        <v>0</v>
      </c>
      <c r="G270">
        <v>500</v>
      </c>
      <c r="H270" t="s">
        <v>195</v>
      </c>
      <c r="I270" t="s">
        <v>55</v>
      </c>
      <c r="J270" t="s">
        <v>101</v>
      </c>
      <c r="K270" t="s">
        <v>65</v>
      </c>
      <c r="L270" t="s">
        <v>65</v>
      </c>
      <c r="M270" s="5">
        <v>46078.727071759262</v>
      </c>
      <c r="Q270" t="s">
        <v>195</v>
      </c>
      <c r="R270">
        <v>0</v>
      </c>
      <c r="T270" t="s">
        <v>195</v>
      </c>
      <c r="U270" t="s">
        <v>195</v>
      </c>
      <c r="V270">
        <v>7814</v>
      </c>
      <c r="W270" t="s">
        <v>51</v>
      </c>
    </row>
    <row r="271" spans="1:47" x14ac:dyDescent="0.25">
      <c r="A271" t="s">
        <v>47</v>
      </c>
      <c r="B271" s="1">
        <v>38615</v>
      </c>
      <c r="C271" t="s">
        <v>48</v>
      </c>
      <c r="D271" t="s">
        <v>49</v>
      </c>
      <c r="E271" s="2">
        <v>46079</v>
      </c>
      <c r="F271" t="s">
        <v>144</v>
      </c>
      <c r="G271" t="s">
        <v>73</v>
      </c>
      <c r="H271" s="3">
        <v>1555</v>
      </c>
      <c r="I271" s="3">
        <v>1555</v>
      </c>
      <c r="J271">
        <v>0</v>
      </c>
      <c r="K271" s="3">
        <v>1788.25</v>
      </c>
      <c r="L271">
        <v>324</v>
      </c>
      <c r="M271">
        <v>118.91</v>
      </c>
      <c r="N271" t="s">
        <v>83</v>
      </c>
      <c r="O271" t="s">
        <v>194</v>
      </c>
      <c r="P271" t="s">
        <v>194</v>
      </c>
      <c r="Q271" t="s">
        <v>194</v>
      </c>
      <c r="R271" t="s">
        <v>195</v>
      </c>
      <c r="S271" t="s">
        <v>195</v>
      </c>
      <c r="T271" t="s">
        <v>51</v>
      </c>
      <c r="U271">
        <v>145</v>
      </c>
      <c r="V271" t="s">
        <v>100</v>
      </c>
      <c r="W271" t="s">
        <v>71</v>
      </c>
      <c r="X271" s="4">
        <v>0</v>
      </c>
      <c r="Y271" t="s">
        <v>57</v>
      </c>
    </row>
    <row r="272" spans="1:47" x14ac:dyDescent="0.25">
      <c r="A272" t="s">
        <v>58</v>
      </c>
      <c r="B272">
        <v>324</v>
      </c>
      <c r="C272">
        <v>0</v>
      </c>
      <c r="D272">
        <v>0</v>
      </c>
      <c r="E272">
        <v>0</v>
      </c>
      <c r="F272">
        <v>0</v>
      </c>
      <c r="G272">
        <v>500</v>
      </c>
      <c r="H272" t="s">
        <v>195</v>
      </c>
      <c r="I272" t="s">
        <v>55</v>
      </c>
      <c r="J272" t="s">
        <v>101</v>
      </c>
      <c r="K272" t="s">
        <v>65</v>
      </c>
      <c r="L272" t="s">
        <v>65</v>
      </c>
      <c r="M272" s="5">
        <v>46079.33699074074</v>
      </c>
      <c r="Q272" t="s">
        <v>195</v>
      </c>
      <c r="R272">
        <v>0</v>
      </c>
      <c r="T272" t="s">
        <v>195</v>
      </c>
      <c r="U272" t="s">
        <v>195</v>
      </c>
      <c r="V272">
        <v>7814</v>
      </c>
      <c r="W272" t="s">
        <v>51</v>
      </c>
    </row>
    <row r="273" spans="1:47" x14ac:dyDescent="0.25">
      <c r="A273" t="s">
        <v>78</v>
      </c>
      <c r="B273" s="1">
        <v>38616</v>
      </c>
      <c r="C273" t="s">
        <v>48</v>
      </c>
      <c r="D273" t="s">
        <v>49</v>
      </c>
      <c r="E273" s="2">
        <v>46079</v>
      </c>
      <c r="F273" t="s">
        <v>283</v>
      </c>
      <c r="G273" t="s">
        <v>146</v>
      </c>
      <c r="H273" s="3">
        <v>17560</v>
      </c>
      <c r="I273" s="3">
        <v>17560</v>
      </c>
      <c r="J273">
        <v>0</v>
      </c>
      <c r="K273" s="3">
        <v>17560</v>
      </c>
      <c r="L273" s="3">
        <v>4772</v>
      </c>
      <c r="M273" s="3">
        <v>1511.63</v>
      </c>
      <c r="N273" t="s">
        <v>83</v>
      </c>
      <c r="O273" t="s">
        <v>194</v>
      </c>
      <c r="P273" t="s">
        <v>194</v>
      </c>
      <c r="Q273" t="s">
        <v>194</v>
      </c>
      <c r="R273" t="s">
        <v>195</v>
      </c>
      <c r="S273" t="s">
        <v>195</v>
      </c>
      <c r="T273" t="s">
        <v>51</v>
      </c>
      <c r="U273">
        <v>145</v>
      </c>
      <c r="V273" t="s">
        <v>100</v>
      </c>
      <c r="W273" t="s">
        <v>126</v>
      </c>
      <c r="X273" s="4">
        <v>0</v>
      </c>
      <c r="Y273" t="s">
        <v>57</v>
      </c>
    </row>
    <row r="274" spans="1:47" x14ac:dyDescent="0.25">
      <c r="A274" t="s">
        <v>58</v>
      </c>
      <c r="B274" s="3">
        <v>4772</v>
      </c>
      <c r="C274">
        <v>0</v>
      </c>
      <c r="D274">
        <v>0</v>
      </c>
      <c r="E274">
        <v>0</v>
      </c>
      <c r="F274">
        <v>0</v>
      </c>
      <c r="G274" s="3">
        <v>10000</v>
      </c>
      <c r="H274" t="s">
        <v>195</v>
      </c>
      <c r="I274" t="s">
        <v>55</v>
      </c>
      <c r="J274" t="s">
        <v>169</v>
      </c>
      <c r="K274" t="s">
        <v>65</v>
      </c>
      <c r="L274" t="s">
        <v>65</v>
      </c>
      <c r="M274" s="5">
        <v>46079.429074074076</v>
      </c>
      <c r="Q274" t="s">
        <v>195</v>
      </c>
      <c r="R274">
        <v>0</v>
      </c>
      <c r="T274" t="s">
        <v>195</v>
      </c>
      <c r="U274" t="s">
        <v>195</v>
      </c>
      <c r="V274">
        <v>6012</v>
      </c>
      <c r="W274" t="s">
        <v>51</v>
      </c>
    </row>
    <row r="275" spans="1:47" x14ac:dyDescent="0.25">
      <c r="A275" t="s">
        <v>78</v>
      </c>
      <c r="B275" s="1">
        <v>38617</v>
      </c>
      <c r="C275" t="s">
        <v>48</v>
      </c>
      <c r="D275" t="s">
        <v>49</v>
      </c>
      <c r="E275" s="2">
        <v>46079</v>
      </c>
      <c r="F275" t="s">
        <v>258</v>
      </c>
      <c r="G275" t="s">
        <v>61</v>
      </c>
      <c r="H275" s="3">
        <v>6570</v>
      </c>
      <c r="I275" s="3">
        <v>6570</v>
      </c>
      <c r="J275">
        <v>0</v>
      </c>
      <c r="K275" s="3">
        <v>6570</v>
      </c>
      <c r="L275" s="3">
        <v>1177</v>
      </c>
      <c r="M275">
        <v>676.78</v>
      </c>
      <c r="N275" t="s">
        <v>66</v>
      </c>
      <c r="O275" t="s">
        <v>194</v>
      </c>
      <c r="P275" t="s">
        <v>194</v>
      </c>
      <c r="Q275" t="s">
        <v>194</v>
      </c>
      <c r="R275" t="s">
        <v>195</v>
      </c>
      <c r="S275" t="s">
        <v>195</v>
      </c>
      <c r="T275" t="s">
        <v>51</v>
      </c>
      <c r="U275">
        <v>83</v>
      </c>
      <c r="W275" t="s">
        <v>95</v>
      </c>
      <c r="X275" s="4">
        <v>0</v>
      </c>
      <c r="Y275" t="s">
        <v>54</v>
      </c>
      <c r="Z275">
        <v>0</v>
      </c>
      <c r="AA275">
        <v>0</v>
      </c>
      <c r="AB275" s="3">
        <v>1177</v>
      </c>
      <c r="AC275">
        <v>0</v>
      </c>
      <c r="AD275">
        <v>0</v>
      </c>
      <c r="AE275" s="3">
        <v>1000</v>
      </c>
      <c r="AF275" t="s">
        <v>195</v>
      </c>
      <c r="AG275" t="s">
        <v>55</v>
      </c>
      <c r="AI275" t="s">
        <v>68</v>
      </c>
      <c r="AJ275" t="s">
        <v>65</v>
      </c>
      <c r="AK275" s="5">
        <v>46079.710868055554</v>
      </c>
      <c r="AO275" t="s">
        <v>195</v>
      </c>
      <c r="AP275">
        <v>0</v>
      </c>
      <c r="AR275" t="s">
        <v>195</v>
      </c>
      <c r="AS275" t="s">
        <v>195</v>
      </c>
      <c r="AT275">
        <v>4097</v>
      </c>
      <c r="AU275" t="s">
        <v>51</v>
      </c>
    </row>
    <row r="276" spans="1:47" x14ac:dyDescent="0.25">
      <c r="A276" t="s">
        <v>47</v>
      </c>
      <c r="B276" s="1">
        <v>38618</v>
      </c>
      <c r="C276" t="s">
        <v>48</v>
      </c>
      <c r="D276" t="s">
        <v>49</v>
      </c>
      <c r="E276" s="2">
        <v>46079</v>
      </c>
      <c r="F276" t="s">
        <v>80</v>
      </c>
      <c r="G276" t="s">
        <v>76</v>
      </c>
      <c r="H276" s="3">
        <v>36370</v>
      </c>
      <c r="I276" s="3">
        <v>36370</v>
      </c>
      <c r="J276">
        <v>0</v>
      </c>
      <c r="K276" s="3">
        <v>41825.5</v>
      </c>
      <c r="L276" s="3">
        <v>7362</v>
      </c>
      <c r="M276" s="3">
        <v>2446.38</v>
      </c>
      <c r="N276" t="s">
        <v>70</v>
      </c>
      <c r="O276" t="s">
        <v>194</v>
      </c>
      <c r="P276" t="s">
        <v>194</v>
      </c>
      <c r="Q276" t="s">
        <v>194</v>
      </c>
      <c r="R276" t="s">
        <v>195</v>
      </c>
      <c r="S276" t="s">
        <v>195</v>
      </c>
      <c r="T276" t="s">
        <v>51</v>
      </c>
      <c r="U276">
        <v>9</v>
      </c>
      <c r="V276" t="s">
        <v>63</v>
      </c>
      <c r="W276" t="s">
        <v>81</v>
      </c>
      <c r="X276" s="4">
        <v>0</v>
      </c>
      <c r="Z276" s="3">
        <v>7362</v>
      </c>
      <c r="AA276">
        <v>0</v>
      </c>
      <c r="AB276">
        <v>0</v>
      </c>
      <c r="AC276">
        <v>0</v>
      </c>
      <c r="AD276">
        <v>0</v>
      </c>
      <c r="AE276" s="3">
        <v>13000</v>
      </c>
      <c r="AF276" t="s">
        <v>195</v>
      </c>
      <c r="AG276" t="s">
        <v>55</v>
      </c>
      <c r="AH276" t="s">
        <v>82</v>
      </c>
      <c r="AI276" t="s">
        <v>75</v>
      </c>
      <c r="AJ276" t="s">
        <v>75</v>
      </c>
      <c r="AK276" s="5">
        <v>46079.597395833334</v>
      </c>
      <c r="AO276" t="s">
        <v>195</v>
      </c>
      <c r="AP276">
        <v>0</v>
      </c>
      <c r="AR276" t="s">
        <v>195</v>
      </c>
      <c r="AS276" t="s">
        <v>195</v>
      </c>
      <c r="AT276">
        <v>161</v>
      </c>
      <c r="AU276" t="s">
        <v>51</v>
      </c>
    </row>
    <row r="277" spans="1:47" x14ac:dyDescent="0.25">
      <c r="A277" t="s">
        <v>78</v>
      </c>
      <c r="B277" s="1">
        <v>38619</v>
      </c>
      <c r="C277" t="s">
        <v>48</v>
      </c>
      <c r="D277" t="s">
        <v>49</v>
      </c>
      <c r="E277" s="2">
        <v>46080</v>
      </c>
      <c r="F277" t="s">
        <v>149</v>
      </c>
      <c r="G277" t="s">
        <v>59</v>
      </c>
      <c r="H277" s="3">
        <v>5166</v>
      </c>
      <c r="I277" s="3">
        <v>5166</v>
      </c>
      <c r="J277">
        <v>0</v>
      </c>
      <c r="K277" s="3">
        <v>5166</v>
      </c>
      <c r="L277">
        <v>959.4</v>
      </c>
      <c r="M277">
        <v>450.92</v>
      </c>
      <c r="N277" t="s">
        <v>50</v>
      </c>
      <c r="O277" t="s">
        <v>194</v>
      </c>
      <c r="P277" t="s">
        <v>194</v>
      </c>
      <c r="Q277" t="s">
        <v>194</v>
      </c>
      <c r="R277" t="s">
        <v>195</v>
      </c>
      <c r="S277" t="s">
        <v>195</v>
      </c>
      <c r="T277" t="s">
        <v>51</v>
      </c>
      <c r="U277">
        <v>126</v>
      </c>
      <c r="V277" t="s">
        <v>52</v>
      </c>
      <c r="W277" t="s">
        <v>98</v>
      </c>
      <c r="X277" s="4">
        <v>0</v>
      </c>
      <c r="Y277" t="s">
        <v>54</v>
      </c>
      <c r="Z277">
        <v>0</v>
      </c>
      <c r="AA277">
        <v>0</v>
      </c>
      <c r="AB277">
        <v>0</v>
      </c>
      <c r="AC277">
        <v>0</v>
      </c>
      <c r="AD277">
        <v>959.4</v>
      </c>
      <c r="AE277" s="3">
        <v>8200</v>
      </c>
      <c r="AF277" t="s">
        <v>195</v>
      </c>
      <c r="AG277" t="s">
        <v>55</v>
      </c>
      <c r="AH277" t="s">
        <v>104</v>
      </c>
      <c r="AI277" t="s">
        <v>56</v>
      </c>
      <c r="AJ277" t="s">
        <v>56</v>
      </c>
      <c r="AK277" s="5">
        <v>46080.460069444445</v>
      </c>
      <c r="AO277" t="s">
        <v>195</v>
      </c>
      <c r="AP277">
        <v>0</v>
      </c>
      <c r="AR277" t="s">
        <v>195</v>
      </c>
      <c r="AS277" t="s">
        <v>195</v>
      </c>
      <c r="AT277">
        <v>5486</v>
      </c>
      <c r="AU277" t="s">
        <v>51</v>
      </c>
    </row>
    <row r="278" spans="1:47" x14ac:dyDescent="0.25">
      <c r="A278" t="s">
        <v>78</v>
      </c>
      <c r="B278" s="1">
        <v>38620</v>
      </c>
      <c r="C278" t="s">
        <v>48</v>
      </c>
      <c r="D278" t="s">
        <v>49</v>
      </c>
      <c r="E278" s="2">
        <v>46080</v>
      </c>
      <c r="F278" t="s">
        <v>284</v>
      </c>
      <c r="G278" t="s">
        <v>232</v>
      </c>
      <c r="H278" s="3">
        <v>10550</v>
      </c>
      <c r="I278" s="3">
        <v>10550</v>
      </c>
      <c r="J278">
        <v>0</v>
      </c>
      <c r="K278" s="3">
        <v>10550</v>
      </c>
      <c r="L278" s="3">
        <v>2805</v>
      </c>
      <c r="M278">
        <v>981.75</v>
      </c>
      <c r="N278" t="s">
        <v>50</v>
      </c>
      <c r="O278" t="s">
        <v>194</v>
      </c>
      <c r="P278" t="s">
        <v>194</v>
      </c>
      <c r="Q278" t="s">
        <v>194</v>
      </c>
      <c r="R278" t="s">
        <v>195</v>
      </c>
      <c r="S278" t="s">
        <v>195</v>
      </c>
      <c r="T278" t="s">
        <v>51</v>
      </c>
      <c r="U278">
        <v>126</v>
      </c>
      <c r="V278" t="s">
        <v>52</v>
      </c>
      <c r="W278" t="s">
        <v>285</v>
      </c>
      <c r="X278" s="4">
        <v>0</v>
      </c>
      <c r="Y278" t="s">
        <v>57</v>
      </c>
    </row>
    <row r="279" spans="1:47" x14ac:dyDescent="0.25">
      <c r="A279" t="s">
        <v>58</v>
      </c>
      <c r="B279" s="3">
        <v>2805</v>
      </c>
      <c r="C279">
        <v>0</v>
      </c>
      <c r="D279">
        <v>0</v>
      </c>
      <c r="E279">
        <v>0</v>
      </c>
      <c r="F279">
        <v>0</v>
      </c>
      <c r="G279" s="3">
        <v>5000</v>
      </c>
      <c r="H279" t="s">
        <v>195</v>
      </c>
      <c r="I279" t="s">
        <v>55</v>
      </c>
      <c r="K279" t="s">
        <v>56</v>
      </c>
      <c r="L279" t="s">
        <v>65</v>
      </c>
      <c r="M279" s="5">
        <v>46083.395196759258</v>
      </c>
      <c r="Q279" t="s">
        <v>195</v>
      </c>
      <c r="R279">
        <v>0</v>
      </c>
      <c r="T279" t="s">
        <v>195</v>
      </c>
      <c r="U279" t="s">
        <v>195</v>
      </c>
      <c r="V279">
        <v>8298</v>
      </c>
      <c r="W279" t="s">
        <v>51</v>
      </c>
    </row>
    <row r="280" spans="1:47" x14ac:dyDescent="0.25">
      <c r="A280" t="s">
        <v>47</v>
      </c>
      <c r="B280" s="1">
        <v>38621</v>
      </c>
      <c r="C280" t="s">
        <v>48</v>
      </c>
      <c r="D280" t="s">
        <v>49</v>
      </c>
      <c r="E280" s="2">
        <v>46080</v>
      </c>
      <c r="F280" t="s">
        <v>90</v>
      </c>
      <c r="G280" t="s">
        <v>91</v>
      </c>
      <c r="H280" s="3">
        <v>5572.7</v>
      </c>
      <c r="I280" s="3">
        <v>5572.7</v>
      </c>
      <c r="J280">
        <v>0</v>
      </c>
      <c r="K280" s="3">
        <v>6408.6</v>
      </c>
      <c r="L280">
        <v>869.12</v>
      </c>
      <c r="M280">
        <v>499.74</v>
      </c>
      <c r="N280" t="s">
        <v>66</v>
      </c>
      <c r="O280" t="s">
        <v>194</v>
      </c>
      <c r="P280" t="s">
        <v>194</v>
      </c>
      <c r="Q280" t="s">
        <v>194</v>
      </c>
      <c r="R280" t="s">
        <v>195</v>
      </c>
      <c r="S280" t="s">
        <v>195</v>
      </c>
      <c r="T280" t="s">
        <v>51</v>
      </c>
      <c r="U280">
        <v>83</v>
      </c>
      <c r="W280" t="s">
        <v>71</v>
      </c>
      <c r="X280" s="4">
        <v>0</v>
      </c>
      <c r="Y280" t="s">
        <v>54</v>
      </c>
      <c r="Z280">
        <v>0</v>
      </c>
      <c r="AA280">
        <v>0</v>
      </c>
      <c r="AB280">
        <v>869.12</v>
      </c>
      <c r="AC280">
        <v>0</v>
      </c>
      <c r="AD280">
        <v>0</v>
      </c>
      <c r="AE280">
        <v>330</v>
      </c>
      <c r="AF280" t="s">
        <v>195</v>
      </c>
      <c r="AG280" t="s">
        <v>55</v>
      </c>
      <c r="AI280" t="s">
        <v>68</v>
      </c>
      <c r="AJ280" t="s">
        <v>65</v>
      </c>
      <c r="AK280" s="5">
        <v>46080.712511574071</v>
      </c>
      <c r="AO280" t="s">
        <v>195</v>
      </c>
      <c r="AP280">
        <v>0</v>
      </c>
      <c r="AR280" t="s">
        <v>195</v>
      </c>
      <c r="AS280" t="s">
        <v>195</v>
      </c>
      <c r="AT280">
        <v>4900</v>
      </c>
      <c r="AU280" t="s">
        <v>51</v>
      </c>
    </row>
    <row r="281" spans="1:47" x14ac:dyDescent="0.25">
      <c r="A281" t="s">
        <v>47</v>
      </c>
      <c r="B281" s="1">
        <v>38622</v>
      </c>
      <c r="C281" t="s">
        <v>48</v>
      </c>
      <c r="D281" t="s">
        <v>49</v>
      </c>
      <c r="E281" s="2">
        <v>46080</v>
      </c>
      <c r="F281" t="s">
        <v>90</v>
      </c>
      <c r="G281" t="s">
        <v>91</v>
      </c>
      <c r="H281" s="3">
        <v>5572.7</v>
      </c>
      <c r="I281" s="3">
        <v>5572.7</v>
      </c>
      <c r="J281">
        <v>0</v>
      </c>
      <c r="K281" s="3">
        <v>6408.6</v>
      </c>
      <c r="L281">
        <v>869.12</v>
      </c>
      <c r="M281">
        <v>499.74</v>
      </c>
      <c r="N281" t="s">
        <v>66</v>
      </c>
      <c r="O281" t="s">
        <v>194</v>
      </c>
      <c r="P281" t="s">
        <v>194</v>
      </c>
      <c r="Q281" t="s">
        <v>194</v>
      </c>
      <c r="R281" t="s">
        <v>195</v>
      </c>
      <c r="S281" t="s">
        <v>195</v>
      </c>
      <c r="T281" t="s">
        <v>51</v>
      </c>
      <c r="U281">
        <v>83</v>
      </c>
      <c r="W281" t="s">
        <v>71</v>
      </c>
      <c r="X281" s="4">
        <v>0</v>
      </c>
      <c r="Y281" t="s">
        <v>54</v>
      </c>
      <c r="Z281">
        <v>0</v>
      </c>
      <c r="AA281">
        <v>0</v>
      </c>
      <c r="AB281">
        <v>869.12</v>
      </c>
      <c r="AC281">
        <v>0</v>
      </c>
      <c r="AD281">
        <v>0</v>
      </c>
      <c r="AE281">
        <v>330</v>
      </c>
      <c r="AF281" t="s">
        <v>195</v>
      </c>
      <c r="AG281" t="s">
        <v>55</v>
      </c>
      <c r="AI281" t="s">
        <v>68</v>
      </c>
      <c r="AJ281" t="s">
        <v>65</v>
      </c>
      <c r="AK281" s="5">
        <v>46080.712638888886</v>
      </c>
      <c r="AO281" t="s">
        <v>195</v>
      </c>
      <c r="AP281">
        <v>0</v>
      </c>
      <c r="AR281" t="s">
        <v>195</v>
      </c>
      <c r="AS281" t="s">
        <v>195</v>
      </c>
      <c r="AT281">
        <v>4900</v>
      </c>
      <c r="AU281" t="s">
        <v>51</v>
      </c>
    </row>
    <row r="282" spans="1:47" x14ac:dyDescent="0.25">
      <c r="A282" t="s">
        <v>47</v>
      </c>
      <c r="B282" s="1">
        <v>38625</v>
      </c>
      <c r="C282" t="s">
        <v>48</v>
      </c>
      <c r="D282" t="s">
        <v>49</v>
      </c>
      <c r="E282" s="2">
        <v>46083</v>
      </c>
      <c r="F282" t="s">
        <v>172</v>
      </c>
      <c r="G282" t="s">
        <v>173</v>
      </c>
      <c r="H282" s="3">
        <v>10400</v>
      </c>
      <c r="I282" s="3">
        <v>10400</v>
      </c>
      <c r="J282">
        <v>0</v>
      </c>
      <c r="K282" s="3">
        <v>10400</v>
      </c>
      <c r="L282" s="3">
        <v>1683</v>
      </c>
      <c r="M282">
        <v>820.54</v>
      </c>
      <c r="N282" t="s">
        <v>70</v>
      </c>
      <c r="O282" t="s">
        <v>194</v>
      </c>
      <c r="P282" t="s">
        <v>194</v>
      </c>
      <c r="Q282" t="s">
        <v>194</v>
      </c>
      <c r="R282" t="s">
        <v>195</v>
      </c>
      <c r="S282" t="s">
        <v>195</v>
      </c>
      <c r="T282" t="s">
        <v>51</v>
      </c>
      <c r="U282">
        <v>9</v>
      </c>
      <c r="V282" t="s">
        <v>63</v>
      </c>
      <c r="W282">
        <v>0</v>
      </c>
      <c r="X282" s="4">
        <v>0</v>
      </c>
      <c r="Y282" t="s">
        <v>57</v>
      </c>
    </row>
    <row r="283" spans="1:47" x14ac:dyDescent="0.25">
      <c r="A283" t="s">
        <v>54</v>
      </c>
      <c r="B283">
        <v>809</v>
      </c>
      <c r="C283">
        <v>0</v>
      </c>
      <c r="D283">
        <v>874</v>
      </c>
      <c r="E283">
        <v>0</v>
      </c>
      <c r="F283">
        <v>0</v>
      </c>
      <c r="G283" s="3">
        <v>2500</v>
      </c>
      <c r="H283" t="s">
        <v>195</v>
      </c>
      <c r="I283" t="s">
        <v>55</v>
      </c>
      <c r="K283" t="s">
        <v>65</v>
      </c>
      <c r="L283" t="s">
        <v>65</v>
      </c>
      <c r="M283" s="5">
        <v>46083.385648148149</v>
      </c>
      <c r="Q283" t="s">
        <v>195</v>
      </c>
      <c r="R283">
        <v>0</v>
      </c>
      <c r="T283" t="s">
        <v>195</v>
      </c>
      <c r="U283" t="s">
        <v>195</v>
      </c>
      <c r="V283">
        <v>2581</v>
      </c>
      <c r="W283" t="s">
        <v>51</v>
      </c>
    </row>
    <row r="284" spans="1:47" x14ac:dyDescent="0.25">
      <c r="A284" t="s">
        <v>47</v>
      </c>
      <c r="B284" s="1">
        <v>38626</v>
      </c>
      <c r="C284" t="s">
        <v>48</v>
      </c>
      <c r="D284" t="s">
        <v>49</v>
      </c>
      <c r="E284" s="2">
        <v>46083</v>
      </c>
      <c r="F284" t="s">
        <v>174</v>
      </c>
      <c r="G284" t="s">
        <v>151</v>
      </c>
      <c r="H284" s="3">
        <v>12790</v>
      </c>
      <c r="I284" s="3">
        <v>12790</v>
      </c>
      <c r="J284">
        <v>0</v>
      </c>
      <c r="K284" s="3">
        <v>14708.5</v>
      </c>
      <c r="L284" s="3">
        <v>1836</v>
      </c>
      <c r="M284">
        <v>923.51</v>
      </c>
      <c r="N284" t="s">
        <v>83</v>
      </c>
      <c r="O284" t="s">
        <v>194</v>
      </c>
      <c r="P284" t="s">
        <v>194</v>
      </c>
      <c r="Q284" t="s">
        <v>194</v>
      </c>
      <c r="R284" t="s">
        <v>195</v>
      </c>
      <c r="S284" t="s">
        <v>195</v>
      </c>
      <c r="T284" t="s">
        <v>51</v>
      </c>
      <c r="U284">
        <v>145</v>
      </c>
      <c r="V284" t="s">
        <v>100</v>
      </c>
      <c r="W284" t="s">
        <v>98</v>
      </c>
      <c r="X284" s="4">
        <v>0</v>
      </c>
      <c r="Y284" t="s">
        <v>57</v>
      </c>
    </row>
    <row r="285" spans="1:47" x14ac:dyDescent="0.25">
      <c r="A285" t="s">
        <v>58</v>
      </c>
      <c r="B285" s="3">
        <v>1836</v>
      </c>
      <c r="C285">
        <v>0</v>
      </c>
      <c r="D285">
        <v>0</v>
      </c>
      <c r="E285">
        <v>0</v>
      </c>
      <c r="F285">
        <v>0</v>
      </c>
      <c r="G285" s="3">
        <v>1000</v>
      </c>
      <c r="H285" t="s">
        <v>195</v>
      </c>
      <c r="I285" t="s">
        <v>55</v>
      </c>
      <c r="K285" t="s">
        <v>65</v>
      </c>
      <c r="L285" t="s">
        <v>65</v>
      </c>
      <c r="M285" s="5">
        <v>46083.475451388891</v>
      </c>
      <c r="Q285" t="s">
        <v>195</v>
      </c>
      <c r="R285">
        <v>0</v>
      </c>
      <c r="T285" t="s">
        <v>195</v>
      </c>
      <c r="U285" t="s">
        <v>195</v>
      </c>
      <c r="V285">
        <v>5323</v>
      </c>
      <c r="W285" t="s">
        <v>51</v>
      </c>
    </row>
    <row r="286" spans="1:47" x14ac:dyDescent="0.25">
      <c r="A286" t="s">
        <v>47</v>
      </c>
      <c r="B286" s="1">
        <v>38627</v>
      </c>
      <c r="C286" t="s">
        <v>48</v>
      </c>
      <c r="D286" t="s">
        <v>49</v>
      </c>
      <c r="E286" s="2">
        <v>46083</v>
      </c>
      <c r="F286" t="s">
        <v>136</v>
      </c>
      <c r="G286" t="s">
        <v>137</v>
      </c>
      <c r="H286" s="3">
        <v>48640</v>
      </c>
      <c r="I286" s="3">
        <v>48640</v>
      </c>
      <c r="J286">
        <v>0</v>
      </c>
      <c r="K286" s="3">
        <v>48640</v>
      </c>
      <c r="L286" s="3">
        <v>6111</v>
      </c>
      <c r="M286" s="3">
        <v>3843.09</v>
      </c>
      <c r="N286" t="s">
        <v>70</v>
      </c>
      <c r="O286" t="s">
        <v>194</v>
      </c>
      <c r="P286" t="s">
        <v>194</v>
      </c>
      <c r="Q286" t="s">
        <v>194</v>
      </c>
      <c r="R286" t="s">
        <v>195</v>
      </c>
      <c r="S286" t="s">
        <v>195</v>
      </c>
      <c r="T286" t="s">
        <v>51</v>
      </c>
      <c r="U286">
        <v>9</v>
      </c>
      <c r="W286" t="s">
        <v>138</v>
      </c>
      <c r="X286" s="4">
        <v>0</v>
      </c>
      <c r="Y286" t="s">
        <v>54</v>
      </c>
      <c r="Z286">
        <v>0</v>
      </c>
      <c r="AA286">
        <v>0</v>
      </c>
      <c r="AB286" s="3">
        <v>6111</v>
      </c>
      <c r="AC286">
        <v>0</v>
      </c>
      <c r="AD286">
        <v>0</v>
      </c>
      <c r="AE286" s="3">
        <v>7000</v>
      </c>
      <c r="AF286" t="s">
        <v>195</v>
      </c>
      <c r="AG286" t="s">
        <v>55</v>
      </c>
      <c r="AI286" t="s">
        <v>75</v>
      </c>
      <c r="AJ286" t="s">
        <v>75</v>
      </c>
      <c r="AK286" s="5">
        <v>46083.472407407404</v>
      </c>
      <c r="AO286" t="s">
        <v>195</v>
      </c>
      <c r="AP286">
        <v>0</v>
      </c>
      <c r="AR286" t="s">
        <v>195</v>
      </c>
      <c r="AS286" t="s">
        <v>195</v>
      </c>
      <c r="AT286">
        <v>3124</v>
      </c>
      <c r="AU286" t="s">
        <v>51</v>
      </c>
    </row>
    <row r="287" spans="1:47" x14ac:dyDescent="0.25">
      <c r="A287" t="s">
        <v>47</v>
      </c>
      <c r="B287" s="1">
        <v>38628</v>
      </c>
      <c r="C287" t="s">
        <v>48</v>
      </c>
      <c r="D287" t="s">
        <v>49</v>
      </c>
      <c r="E287" s="2">
        <v>46083</v>
      </c>
      <c r="F287" t="s">
        <v>129</v>
      </c>
      <c r="G287" t="s">
        <v>128</v>
      </c>
      <c r="H287" s="3">
        <v>7992.3</v>
      </c>
      <c r="I287" s="3">
        <v>7992.3</v>
      </c>
      <c r="J287">
        <v>0</v>
      </c>
      <c r="K287" s="3">
        <v>9191.15</v>
      </c>
      <c r="L287" s="3">
        <v>1041.6500000000001</v>
      </c>
      <c r="M287">
        <v>611.98</v>
      </c>
      <c r="N287" t="s">
        <v>50</v>
      </c>
      <c r="O287" t="s">
        <v>194</v>
      </c>
      <c r="P287" t="s">
        <v>194</v>
      </c>
      <c r="Q287" t="s">
        <v>194</v>
      </c>
      <c r="R287" t="s">
        <v>195</v>
      </c>
      <c r="S287" t="s">
        <v>195</v>
      </c>
      <c r="T287" t="s">
        <v>51</v>
      </c>
      <c r="U287">
        <v>126</v>
      </c>
      <c r="V287" t="s">
        <v>52</v>
      </c>
      <c r="W287" t="s">
        <v>53</v>
      </c>
      <c r="X287" s="4">
        <v>0</v>
      </c>
      <c r="Y287" t="s">
        <v>57</v>
      </c>
    </row>
    <row r="288" spans="1:47" x14ac:dyDescent="0.25">
      <c r="A288" t="s">
        <v>58</v>
      </c>
      <c r="B288">
        <v>221</v>
      </c>
      <c r="C288">
        <v>0</v>
      </c>
      <c r="D288">
        <v>820.65</v>
      </c>
      <c r="E288">
        <v>0</v>
      </c>
      <c r="F288">
        <v>0</v>
      </c>
      <c r="G288" s="3">
        <v>1450</v>
      </c>
      <c r="H288" t="s">
        <v>195</v>
      </c>
      <c r="I288" t="s">
        <v>55</v>
      </c>
      <c r="J288" t="s">
        <v>130</v>
      </c>
      <c r="K288" t="s">
        <v>65</v>
      </c>
      <c r="L288" t="s">
        <v>56</v>
      </c>
      <c r="M288" s="5">
        <v>46085.627488425926</v>
      </c>
      <c r="Q288" t="s">
        <v>195</v>
      </c>
      <c r="R288">
        <v>0</v>
      </c>
      <c r="T288" t="s">
        <v>195</v>
      </c>
      <c r="U288" t="s">
        <v>195</v>
      </c>
      <c r="V288">
        <v>7006</v>
      </c>
      <c r="W288" t="s">
        <v>51</v>
      </c>
    </row>
    <row r="289" spans="1:47" x14ac:dyDescent="0.25">
      <c r="A289" t="s">
        <v>78</v>
      </c>
      <c r="B289" s="1">
        <v>38631</v>
      </c>
      <c r="C289" t="s">
        <v>48</v>
      </c>
      <c r="D289" t="s">
        <v>49</v>
      </c>
      <c r="E289" s="2">
        <v>46083</v>
      </c>
      <c r="F289" t="s">
        <v>175</v>
      </c>
      <c r="G289" t="s">
        <v>76</v>
      </c>
      <c r="H289" s="3">
        <v>14520.6</v>
      </c>
      <c r="I289" s="3">
        <v>14520.6</v>
      </c>
      <c r="J289">
        <v>0</v>
      </c>
      <c r="K289" s="3">
        <v>14520.6</v>
      </c>
      <c r="L289" s="3">
        <v>3511.72</v>
      </c>
      <c r="M289" s="3">
        <v>1354.81</v>
      </c>
      <c r="N289" t="s">
        <v>83</v>
      </c>
      <c r="O289" t="s">
        <v>194</v>
      </c>
      <c r="P289" t="s">
        <v>194</v>
      </c>
      <c r="Q289" t="s">
        <v>194</v>
      </c>
      <c r="R289" t="s">
        <v>195</v>
      </c>
      <c r="S289" t="s">
        <v>195</v>
      </c>
      <c r="T289" t="s">
        <v>51</v>
      </c>
      <c r="U289">
        <v>145</v>
      </c>
      <c r="V289" t="s">
        <v>100</v>
      </c>
      <c r="W289" t="s">
        <v>64</v>
      </c>
      <c r="X289" s="4">
        <v>0</v>
      </c>
      <c r="Y289" t="s">
        <v>57</v>
      </c>
    </row>
    <row r="290" spans="1:47" x14ac:dyDescent="0.25">
      <c r="A290" t="s">
        <v>58</v>
      </c>
      <c r="B290" s="3">
        <v>2838.12</v>
      </c>
      <c r="C290">
        <v>0</v>
      </c>
      <c r="D290">
        <v>673.6</v>
      </c>
      <c r="E290">
        <v>0</v>
      </c>
      <c r="F290">
        <v>0</v>
      </c>
      <c r="G290" s="3">
        <v>7380</v>
      </c>
      <c r="H290" t="s">
        <v>195</v>
      </c>
      <c r="I290" t="s">
        <v>55</v>
      </c>
      <c r="K290" t="s">
        <v>65</v>
      </c>
      <c r="L290" t="s">
        <v>65</v>
      </c>
      <c r="M290" s="5">
        <v>46084.414490740739</v>
      </c>
      <c r="Q290" t="s">
        <v>195</v>
      </c>
      <c r="R290">
        <v>0</v>
      </c>
      <c r="T290" t="s">
        <v>195</v>
      </c>
      <c r="U290" t="s">
        <v>195</v>
      </c>
      <c r="V290">
        <v>2412</v>
      </c>
      <c r="W290" t="s">
        <v>51</v>
      </c>
    </row>
    <row r="291" spans="1:47" x14ac:dyDescent="0.25">
      <c r="A291" t="s">
        <v>47</v>
      </c>
      <c r="B291" s="1">
        <v>38632</v>
      </c>
      <c r="C291" t="s">
        <v>48</v>
      </c>
      <c r="D291" t="s">
        <v>49</v>
      </c>
      <c r="E291" s="2">
        <v>46083</v>
      </c>
      <c r="F291" t="s">
        <v>90</v>
      </c>
      <c r="G291" t="s">
        <v>91</v>
      </c>
      <c r="H291" s="3">
        <v>5312</v>
      </c>
      <c r="I291" s="3">
        <v>5312</v>
      </c>
      <c r="J291">
        <v>0</v>
      </c>
      <c r="K291" s="3">
        <v>6108.8</v>
      </c>
      <c r="L291">
        <v>827.2</v>
      </c>
      <c r="M291">
        <v>475.64</v>
      </c>
      <c r="N291" t="s">
        <v>66</v>
      </c>
      <c r="O291" t="s">
        <v>194</v>
      </c>
      <c r="P291" t="s">
        <v>194</v>
      </c>
      <c r="Q291" t="s">
        <v>194</v>
      </c>
      <c r="R291" t="s">
        <v>195</v>
      </c>
      <c r="S291" t="s">
        <v>195</v>
      </c>
      <c r="T291" t="s">
        <v>51</v>
      </c>
      <c r="U291">
        <v>83</v>
      </c>
      <c r="W291" t="s">
        <v>71</v>
      </c>
      <c r="X291" s="4">
        <v>0</v>
      </c>
      <c r="Y291" t="s">
        <v>54</v>
      </c>
      <c r="Z291">
        <v>0</v>
      </c>
      <c r="AA291">
        <v>0</v>
      </c>
      <c r="AB291">
        <v>827.2</v>
      </c>
      <c r="AC291">
        <v>0</v>
      </c>
      <c r="AD291">
        <v>0</v>
      </c>
      <c r="AE291">
        <v>800</v>
      </c>
      <c r="AF291" t="s">
        <v>195</v>
      </c>
      <c r="AG291" t="s">
        <v>55</v>
      </c>
      <c r="AI291" t="s">
        <v>68</v>
      </c>
      <c r="AJ291" t="s">
        <v>65</v>
      </c>
      <c r="AK291" s="5">
        <v>46083.701620370368</v>
      </c>
      <c r="AO291" t="s">
        <v>195</v>
      </c>
      <c r="AP291">
        <v>0</v>
      </c>
      <c r="AR291" t="s">
        <v>195</v>
      </c>
      <c r="AS291" t="s">
        <v>195</v>
      </c>
      <c r="AT291">
        <v>4900</v>
      </c>
      <c r="AU291" t="s">
        <v>51</v>
      </c>
    </row>
    <row r="292" spans="1:47" x14ac:dyDescent="0.25">
      <c r="A292" t="s">
        <v>47</v>
      </c>
      <c r="B292" s="1">
        <v>38633</v>
      </c>
      <c r="C292" t="s">
        <v>48</v>
      </c>
      <c r="D292" t="s">
        <v>49</v>
      </c>
      <c r="E292" s="2">
        <v>46083</v>
      </c>
      <c r="F292" t="s">
        <v>80</v>
      </c>
      <c r="G292" t="s">
        <v>76</v>
      </c>
      <c r="H292" s="3">
        <v>23030</v>
      </c>
      <c r="I292" s="3">
        <v>23030</v>
      </c>
      <c r="J292">
        <v>0</v>
      </c>
      <c r="K292" s="3">
        <v>26484.5</v>
      </c>
      <c r="L292" s="3">
        <v>3401</v>
      </c>
      <c r="M292" s="3">
        <v>1947.61</v>
      </c>
      <c r="N292" t="s">
        <v>70</v>
      </c>
      <c r="O292" t="s">
        <v>194</v>
      </c>
      <c r="P292" t="s">
        <v>194</v>
      </c>
      <c r="Q292" t="s">
        <v>194</v>
      </c>
      <c r="R292" t="s">
        <v>195</v>
      </c>
      <c r="S292" t="s">
        <v>195</v>
      </c>
      <c r="T292" t="s">
        <v>51</v>
      </c>
      <c r="U292">
        <v>9</v>
      </c>
      <c r="V292" t="s">
        <v>63</v>
      </c>
      <c r="W292" t="s">
        <v>81</v>
      </c>
      <c r="X292" s="4">
        <v>0</v>
      </c>
      <c r="Z292">
        <v>710</v>
      </c>
      <c r="AA292">
        <v>0</v>
      </c>
      <c r="AB292" s="3">
        <v>2691</v>
      </c>
      <c r="AC292">
        <v>0</v>
      </c>
      <c r="AD292">
        <v>0</v>
      </c>
      <c r="AE292" s="3">
        <v>2000</v>
      </c>
      <c r="AF292" t="s">
        <v>195</v>
      </c>
      <c r="AG292" t="s">
        <v>55</v>
      </c>
      <c r="AH292" t="s">
        <v>82</v>
      </c>
      <c r="AI292" t="s">
        <v>75</v>
      </c>
      <c r="AJ292" t="s">
        <v>75</v>
      </c>
      <c r="AK292" s="5">
        <v>46083.709467592591</v>
      </c>
      <c r="AO292" t="s">
        <v>195</v>
      </c>
      <c r="AP292">
        <v>0</v>
      </c>
      <c r="AR292" t="s">
        <v>195</v>
      </c>
      <c r="AS292" t="s">
        <v>195</v>
      </c>
      <c r="AT292">
        <v>161</v>
      </c>
      <c r="AU292" t="s">
        <v>51</v>
      </c>
    </row>
    <row r="293" spans="1:47" x14ac:dyDescent="0.25">
      <c r="A293" t="s">
        <v>47</v>
      </c>
      <c r="B293" s="1">
        <v>38634</v>
      </c>
      <c r="C293" t="s">
        <v>48</v>
      </c>
      <c r="D293" t="s">
        <v>49</v>
      </c>
      <c r="E293" s="2">
        <v>46084</v>
      </c>
      <c r="F293" t="s">
        <v>102</v>
      </c>
      <c r="G293" t="s">
        <v>59</v>
      </c>
      <c r="H293">
        <v>568.6</v>
      </c>
      <c r="I293">
        <v>568.6</v>
      </c>
      <c r="J293">
        <v>0</v>
      </c>
      <c r="K293">
        <v>653.89</v>
      </c>
      <c r="L293">
        <v>45.48</v>
      </c>
      <c r="M293">
        <v>34.020000000000003</v>
      </c>
      <c r="N293" t="s">
        <v>70</v>
      </c>
      <c r="O293" t="s">
        <v>194</v>
      </c>
      <c r="P293" t="s">
        <v>194</v>
      </c>
      <c r="Q293" t="s">
        <v>194</v>
      </c>
      <c r="R293" t="s">
        <v>195</v>
      </c>
      <c r="S293" t="s">
        <v>195</v>
      </c>
      <c r="T293" t="s">
        <v>51</v>
      </c>
      <c r="U293">
        <v>9</v>
      </c>
      <c r="V293" t="s">
        <v>63</v>
      </c>
      <c r="W293" t="s">
        <v>53</v>
      </c>
      <c r="X293" s="4">
        <v>0</v>
      </c>
      <c r="Y293" t="s">
        <v>54</v>
      </c>
      <c r="Z293">
        <v>0</v>
      </c>
      <c r="AA293">
        <v>0</v>
      </c>
      <c r="AB293">
        <v>45.48</v>
      </c>
      <c r="AC293">
        <v>0</v>
      </c>
      <c r="AD293">
        <v>0</v>
      </c>
      <c r="AE293">
        <v>20</v>
      </c>
      <c r="AF293" t="s">
        <v>195</v>
      </c>
      <c r="AG293" t="s">
        <v>55</v>
      </c>
      <c r="AI293" t="s">
        <v>65</v>
      </c>
      <c r="AJ293" t="s">
        <v>65</v>
      </c>
      <c r="AK293" s="5">
        <v>46084.336053240739</v>
      </c>
      <c r="AO293" t="s">
        <v>195</v>
      </c>
      <c r="AP293">
        <v>0</v>
      </c>
      <c r="AR293" t="s">
        <v>195</v>
      </c>
      <c r="AS293" t="s">
        <v>195</v>
      </c>
      <c r="AT293">
        <v>1009</v>
      </c>
      <c r="AU293" t="s">
        <v>51</v>
      </c>
    </row>
    <row r="294" spans="1:47" x14ac:dyDescent="0.25">
      <c r="A294" t="s">
        <v>47</v>
      </c>
      <c r="B294" s="1">
        <v>38635</v>
      </c>
      <c r="C294" t="s">
        <v>48</v>
      </c>
      <c r="D294" t="s">
        <v>49</v>
      </c>
      <c r="E294" s="2">
        <v>46084</v>
      </c>
      <c r="F294" t="s">
        <v>93</v>
      </c>
      <c r="G294" t="s">
        <v>94</v>
      </c>
      <c r="H294" s="3">
        <v>7440</v>
      </c>
      <c r="I294" s="3">
        <v>7440</v>
      </c>
      <c r="J294">
        <v>0</v>
      </c>
      <c r="K294" s="3">
        <v>8556</v>
      </c>
      <c r="L294" s="3">
        <v>1575</v>
      </c>
      <c r="M294">
        <v>584.97</v>
      </c>
      <c r="N294" t="s">
        <v>50</v>
      </c>
      <c r="O294" t="s">
        <v>194</v>
      </c>
      <c r="P294" t="s">
        <v>194</v>
      </c>
      <c r="Q294" t="s">
        <v>194</v>
      </c>
      <c r="R294" t="s">
        <v>195</v>
      </c>
      <c r="S294" t="s">
        <v>195</v>
      </c>
      <c r="T294" t="s">
        <v>51</v>
      </c>
      <c r="U294">
        <v>126</v>
      </c>
      <c r="V294" t="s">
        <v>52</v>
      </c>
      <c r="W294" t="s">
        <v>126</v>
      </c>
      <c r="X294" s="4">
        <v>0</v>
      </c>
      <c r="Y294" t="s">
        <v>57</v>
      </c>
    </row>
    <row r="295" spans="1:47" x14ac:dyDescent="0.25">
      <c r="A295" t="s">
        <v>58</v>
      </c>
      <c r="B295" s="3">
        <v>1209</v>
      </c>
      <c r="C295">
        <v>0</v>
      </c>
      <c r="D295">
        <v>0</v>
      </c>
      <c r="E295">
        <v>0</v>
      </c>
      <c r="F295">
        <v>366</v>
      </c>
      <c r="G295" s="3">
        <v>3000</v>
      </c>
      <c r="H295" t="s">
        <v>195</v>
      </c>
      <c r="I295" t="s">
        <v>55</v>
      </c>
      <c r="K295" t="s">
        <v>65</v>
      </c>
      <c r="L295" t="s">
        <v>65</v>
      </c>
      <c r="M295" s="5">
        <v>46084.454791666663</v>
      </c>
      <c r="Q295" t="s">
        <v>195</v>
      </c>
      <c r="R295">
        <v>0</v>
      </c>
      <c r="T295" t="s">
        <v>195</v>
      </c>
      <c r="U295" t="s">
        <v>195</v>
      </c>
      <c r="V295">
        <v>6379</v>
      </c>
      <c r="W295" t="s">
        <v>51</v>
      </c>
    </row>
    <row r="296" spans="1:47" x14ac:dyDescent="0.25">
      <c r="A296" t="s">
        <v>78</v>
      </c>
      <c r="B296" s="1">
        <v>38636</v>
      </c>
      <c r="C296" t="s">
        <v>48</v>
      </c>
      <c r="D296" t="s">
        <v>49</v>
      </c>
      <c r="E296" s="2">
        <v>46084</v>
      </c>
      <c r="F296" t="s">
        <v>176</v>
      </c>
      <c r="G296" t="s">
        <v>151</v>
      </c>
      <c r="H296" s="3">
        <v>6420</v>
      </c>
      <c r="I296" s="3">
        <v>6420</v>
      </c>
      <c r="J296">
        <v>0</v>
      </c>
      <c r="K296" s="3">
        <v>6420</v>
      </c>
      <c r="L296" s="3">
        <v>1838</v>
      </c>
      <c r="M296">
        <v>661.68</v>
      </c>
      <c r="N296" t="s">
        <v>83</v>
      </c>
      <c r="O296" t="s">
        <v>194</v>
      </c>
      <c r="P296" t="s">
        <v>194</v>
      </c>
      <c r="Q296" t="s">
        <v>194</v>
      </c>
      <c r="R296" t="s">
        <v>195</v>
      </c>
      <c r="S296" t="s">
        <v>195</v>
      </c>
      <c r="T296" t="s">
        <v>51</v>
      </c>
      <c r="U296">
        <v>145</v>
      </c>
      <c r="V296" t="s">
        <v>100</v>
      </c>
      <c r="W296" t="s">
        <v>154</v>
      </c>
      <c r="X296" s="4">
        <v>0</v>
      </c>
      <c r="Y296" t="s">
        <v>57</v>
      </c>
    </row>
    <row r="297" spans="1:47" x14ac:dyDescent="0.25">
      <c r="A297" t="s">
        <v>58</v>
      </c>
      <c r="B297">
        <v>0</v>
      </c>
      <c r="C297" s="3">
        <v>1838</v>
      </c>
      <c r="D297">
        <v>0</v>
      </c>
      <c r="E297">
        <v>0</v>
      </c>
      <c r="F297">
        <v>0</v>
      </c>
      <c r="G297" s="3">
        <v>2000</v>
      </c>
      <c r="H297" t="s">
        <v>195</v>
      </c>
      <c r="I297" t="s">
        <v>55</v>
      </c>
      <c r="K297" t="s">
        <v>65</v>
      </c>
      <c r="L297" t="s">
        <v>65</v>
      </c>
      <c r="M297" s="5">
        <v>46084.632997685185</v>
      </c>
      <c r="Q297" t="s">
        <v>195</v>
      </c>
      <c r="R297">
        <v>0</v>
      </c>
      <c r="T297" t="s">
        <v>195</v>
      </c>
      <c r="U297" t="s">
        <v>195</v>
      </c>
      <c r="V297">
        <v>4699</v>
      </c>
      <c r="W297" t="s">
        <v>51</v>
      </c>
    </row>
    <row r="298" spans="1:47" x14ac:dyDescent="0.25">
      <c r="A298" t="s">
        <v>78</v>
      </c>
      <c r="B298" s="1">
        <v>38637</v>
      </c>
      <c r="C298" t="s">
        <v>48</v>
      </c>
      <c r="D298" t="s">
        <v>49</v>
      </c>
      <c r="E298" s="2">
        <v>46084</v>
      </c>
      <c r="F298" t="s">
        <v>177</v>
      </c>
      <c r="G298" t="s">
        <v>76</v>
      </c>
      <c r="H298" s="3">
        <v>5390</v>
      </c>
      <c r="I298" s="3">
        <v>5390</v>
      </c>
      <c r="J298">
        <v>0</v>
      </c>
      <c r="K298" s="3">
        <v>5390</v>
      </c>
      <c r="L298">
        <v>765.5</v>
      </c>
      <c r="M298">
        <v>457.77</v>
      </c>
      <c r="N298" t="s">
        <v>50</v>
      </c>
      <c r="O298" t="s">
        <v>194</v>
      </c>
      <c r="P298" t="s">
        <v>194</v>
      </c>
      <c r="Q298" t="s">
        <v>194</v>
      </c>
      <c r="R298" t="s">
        <v>195</v>
      </c>
      <c r="S298" t="s">
        <v>195</v>
      </c>
      <c r="T298" t="s">
        <v>51</v>
      </c>
      <c r="U298">
        <v>126</v>
      </c>
      <c r="V298" t="s">
        <v>52</v>
      </c>
      <c r="W298" t="s">
        <v>64</v>
      </c>
      <c r="X298" s="4">
        <v>0</v>
      </c>
      <c r="Y298" t="s">
        <v>57</v>
      </c>
    </row>
    <row r="299" spans="1:47" x14ac:dyDescent="0.25">
      <c r="A299" t="s">
        <v>58</v>
      </c>
      <c r="B299">
        <v>0</v>
      </c>
      <c r="C299">
        <v>0</v>
      </c>
      <c r="D299">
        <v>765.5</v>
      </c>
      <c r="E299">
        <v>0</v>
      </c>
      <c r="F299">
        <v>0</v>
      </c>
      <c r="G299">
        <v>500</v>
      </c>
      <c r="H299" t="s">
        <v>195</v>
      </c>
      <c r="I299" t="s">
        <v>55</v>
      </c>
      <c r="K299" t="s">
        <v>65</v>
      </c>
      <c r="L299" t="s">
        <v>56</v>
      </c>
      <c r="M299" s="5">
        <v>46085.627685185187</v>
      </c>
      <c r="Q299" t="s">
        <v>195</v>
      </c>
      <c r="R299">
        <v>0</v>
      </c>
      <c r="T299" t="s">
        <v>195</v>
      </c>
      <c r="U299" t="s">
        <v>195</v>
      </c>
      <c r="V299">
        <v>8463</v>
      </c>
      <c r="W299" t="s">
        <v>51</v>
      </c>
    </row>
    <row r="300" spans="1:47" x14ac:dyDescent="0.25">
      <c r="A300" t="s">
        <v>69</v>
      </c>
      <c r="B300" s="1">
        <v>38638</v>
      </c>
      <c r="C300" t="s">
        <v>48</v>
      </c>
      <c r="D300" t="s">
        <v>49</v>
      </c>
      <c r="E300" s="2">
        <v>46085</v>
      </c>
      <c r="F300" t="s">
        <v>142</v>
      </c>
      <c r="G300" t="s">
        <v>143</v>
      </c>
      <c r="H300" s="3">
        <v>4979</v>
      </c>
      <c r="I300" s="3">
        <v>4979</v>
      </c>
      <c r="J300">
        <v>0</v>
      </c>
      <c r="K300" s="3">
        <v>4979</v>
      </c>
      <c r="L300" s="3">
        <v>1387.1</v>
      </c>
      <c r="M300">
        <v>450.81</v>
      </c>
      <c r="N300" t="s">
        <v>66</v>
      </c>
      <c r="O300" t="s">
        <v>194</v>
      </c>
      <c r="P300" t="s">
        <v>194</v>
      </c>
      <c r="Q300" t="s">
        <v>194</v>
      </c>
      <c r="R300" t="s">
        <v>195</v>
      </c>
      <c r="S300" t="s">
        <v>195</v>
      </c>
      <c r="T300" t="s">
        <v>51</v>
      </c>
      <c r="U300">
        <v>83</v>
      </c>
      <c r="W300" t="s">
        <v>109</v>
      </c>
      <c r="X300" s="4">
        <v>0</v>
      </c>
      <c r="Y300" t="s">
        <v>54</v>
      </c>
      <c r="Z300" s="3">
        <v>1387.1</v>
      </c>
      <c r="AA300">
        <v>0</v>
      </c>
      <c r="AB300">
        <v>0</v>
      </c>
      <c r="AC300">
        <v>0</v>
      </c>
      <c r="AD300">
        <v>0</v>
      </c>
      <c r="AE300" s="3">
        <v>1300</v>
      </c>
      <c r="AF300" t="s">
        <v>195</v>
      </c>
      <c r="AG300" t="s">
        <v>55</v>
      </c>
      <c r="AH300" t="s">
        <v>82</v>
      </c>
      <c r="AI300" t="s">
        <v>68</v>
      </c>
      <c r="AJ300" t="s">
        <v>65</v>
      </c>
      <c r="AK300" s="5">
        <v>46086.357824074075</v>
      </c>
      <c r="AO300" t="s">
        <v>195</v>
      </c>
      <c r="AP300">
        <v>0</v>
      </c>
      <c r="AR300" t="s">
        <v>195</v>
      </c>
      <c r="AS300" t="s">
        <v>195</v>
      </c>
      <c r="AT300">
        <v>3465</v>
      </c>
      <c r="AU300" t="s">
        <v>51</v>
      </c>
    </row>
    <row r="301" spans="1:47" x14ac:dyDescent="0.25">
      <c r="A301" t="s">
        <v>47</v>
      </c>
      <c r="B301" s="1">
        <v>38639</v>
      </c>
      <c r="C301" t="s">
        <v>48</v>
      </c>
      <c r="D301" t="s">
        <v>49</v>
      </c>
      <c r="E301" s="2">
        <v>46085</v>
      </c>
      <c r="F301" t="s">
        <v>84</v>
      </c>
      <c r="G301" t="s">
        <v>61</v>
      </c>
      <c r="H301" s="3">
        <v>10200</v>
      </c>
      <c r="I301" s="3">
        <v>10200</v>
      </c>
      <c r="J301">
        <v>0</v>
      </c>
      <c r="K301" s="3">
        <v>11730</v>
      </c>
      <c r="L301" s="3">
        <v>2328</v>
      </c>
      <c r="M301">
        <v>907.92</v>
      </c>
      <c r="N301" t="s">
        <v>50</v>
      </c>
      <c r="O301" t="s">
        <v>194</v>
      </c>
      <c r="P301" t="s">
        <v>194</v>
      </c>
      <c r="Q301" t="s">
        <v>194</v>
      </c>
      <c r="R301" t="s">
        <v>195</v>
      </c>
      <c r="S301" t="s">
        <v>195</v>
      </c>
      <c r="T301" t="s">
        <v>51</v>
      </c>
      <c r="U301">
        <v>126</v>
      </c>
      <c r="V301" t="s">
        <v>52</v>
      </c>
      <c r="W301" t="s">
        <v>77</v>
      </c>
      <c r="X301" s="4">
        <v>0</v>
      </c>
      <c r="Y301" t="s">
        <v>54</v>
      </c>
      <c r="Z301" s="3">
        <v>2328</v>
      </c>
      <c r="AA301">
        <v>0</v>
      </c>
      <c r="AB301">
        <v>0</v>
      </c>
      <c r="AC301">
        <v>0</v>
      </c>
      <c r="AD301">
        <v>0</v>
      </c>
      <c r="AE301" s="3">
        <v>2000</v>
      </c>
      <c r="AF301" t="s">
        <v>195</v>
      </c>
      <c r="AG301" t="s">
        <v>55</v>
      </c>
      <c r="AI301" t="s">
        <v>56</v>
      </c>
      <c r="AJ301" t="s">
        <v>56</v>
      </c>
      <c r="AK301" s="5">
        <v>46085.463854166665</v>
      </c>
      <c r="AO301" t="s">
        <v>195</v>
      </c>
      <c r="AP301">
        <v>0</v>
      </c>
      <c r="AR301" t="s">
        <v>195</v>
      </c>
      <c r="AS301" t="s">
        <v>195</v>
      </c>
      <c r="AT301">
        <v>1877</v>
      </c>
      <c r="AU301" t="s">
        <v>51</v>
      </c>
    </row>
    <row r="302" spans="1:47" x14ac:dyDescent="0.25">
      <c r="A302" t="s">
        <v>78</v>
      </c>
      <c r="B302" s="1">
        <v>38640</v>
      </c>
      <c r="C302" t="s">
        <v>48</v>
      </c>
      <c r="D302" t="s">
        <v>49</v>
      </c>
      <c r="E302" s="2">
        <v>46085</v>
      </c>
      <c r="F302" t="s">
        <v>133</v>
      </c>
      <c r="G302" t="s">
        <v>73</v>
      </c>
      <c r="H302" s="3">
        <v>6264</v>
      </c>
      <c r="I302" s="3">
        <v>6264</v>
      </c>
      <c r="J302">
        <v>0</v>
      </c>
      <c r="K302" s="3">
        <v>6264</v>
      </c>
      <c r="L302" s="3">
        <v>1083.5999999999999</v>
      </c>
      <c r="M302">
        <v>650.16</v>
      </c>
      <c r="N302" t="s">
        <v>50</v>
      </c>
      <c r="O302" t="s">
        <v>195</v>
      </c>
      <c r="P302" t="s">
        <v>194</v>
      </c>
      <c r="Q302" t="s">
        <v>194</v>
      </c>
      <c r="R302" t="s">
        <v>195</v>
      </c>
      <c r="S302" t="s">
        <v>195</v>
      </c>
      <c r="T302" t="s">
        <v>51</v>
      </c>
      <c r="U302">
        <v>126</v>
      </c>
      <c r="V302" t="s">
        <v>52</v>
      </c>
      <c r="W302" t="s">
        <v>64</v>
      </c>
      <c r="X302" s="4">
        <v>0</v>
      </c>
      <c r="Z302">
        <v>0</v>
      </c>
      <c r="AA302">
        <v>0</v>
      </c>
      <c r="AB302" s="3">
        <v>1083.5999999999999</v>
      </c>
      <c r="AC302">
        <v>0</v>
      </c>
      <c r="AD302">
        <v>0</v>
      </c>
      <c r="AE302" s="3">
        <v>1200</v>
      </c>
      <c r="AF302" t="s">
        <v>195</v>
      </c>
      <c r="AG302" t="s">
        <v>55</v>
      </c>
      <c r="AI302" t="s">
        <v>56</v>
      </c>
      <c r="AO302" t="s">
        <v>195</v>
      </c>
      <c r="AP302">
        <v>0</v>
      </c>
      <c r="AR302" t="s">
        <v>195</v>
      </c>
      <c r="AS302" t="s">
        <v>195</v>
      </c>
      <c r="AT302">
        <v>7057</v>
      </c>
      <c r="AU302" t="s">
        <v>51</v>
      </c>
    </row>
    <row r="303" spans="1:47" x14ac:dyDescent="0.25">
      <c r="A303" t="s">
        <v>78</v>
      </c>
      <c r="B303" s="1">
        <v>38641</v>
      </c>
      <c r="C303" t="s">
        <v>48</v>
      </c>
      <c r="D303" t="s">
        <v>49</v>
      </c>
      <c r="E303" s="2">
        <v>46085</v>
      </c>
      <c r="F303" t="s">
        <v>149</v>
      </c>
      <c r="G303" t="s">
        <v>59</v>
      </c>
      <c r="H303" s="3">
        <v>10473.35</v>
      </c>
      <c r="I303" s="3">
        <v>10473.35</v>
      </c>
      <c r="J303">
        <v>0</v>
      </c>
      <c r="K303" s="3">
        <v>10473.35</v>
      </c>
      <c r="L303" s="3">
        <v>1912.7</v>
      </c>
      <c r="M303" s="3">
        <v>1099.8</v>
      </c>
      <c r="N303" t="s">
        <v>50</v>
      </c>
      <c r="O303" t="s">
        <v>194</v>
      </c>
      <c r="P303" t="s">
        <v>194</v>
      </c>
      <c r="Q303" t="s">
        <v>194</v>
      </c>
      <c r="R303" t="s">
        <v>195</v>
      </c>
      <c r="S303" t="s">
        <v>195</v>
      </c>
      <c r="T303" t="s">
        <v>51</v>
      </c>
      <c r="U303">
        <v>126</v>
      </c>
      <c r="V303" t="s">
        <v>52</v>
      </c>
      <c r="W303" t="s">
        <v>98</v>
      </c>
      <c r="X303" s="4">
        <v>0</v>
      </c>
      <c r="Y303" t="s">
        <v>54</v>
      </c>
      <c r="Z303">
        <v>0</v>
      </c>
      <c r="AA303">
        <v>0</v>
      </c>
      <c r="AB303" s="3">
        <v>1912.7</v>
      </c>
      <c r="AC303">
        <v>0</v>
      </c>
      <c r="AD303">
        <v>0</v>
      </c>
      <c r="AE303" s="3">
        <v>1550</v>
      </c>
      <c r="AF303" t="s">
        <v>195</v>
      </c>
      <c r="AG303" t="s">
        <v>55</v>
      </c>
      <c r="AH303" t="s">
        <v>104</v>
      </c>
      <c r="AI303" t="s">
        <v>65</v>
      </c>
      <c r="AJ303" t="s">
        <v>65</v>
      </c>
      <c r="AK303" s="5">
        <v>46086.307349537034</v>
      </c>
      <c r="AO303" t="s">
        <v>195</v>
      </c>
      <c r="AP303">
        <v>0</v>
      </c>
      <c r="AR303" t="s">
        <v>195</v>
      </c>
      <c r="AS303" t="s">
        <v>195</v>
      </c>
      <c r="AT303">
        <v>5486</v>
      </c>
      <c r="AU303" t="s">
        <v>51</v>
      </c>
    </row>
    <row r="304" spans="1:47" x14ac:dyDescent="0.25">
      <c r="A304" t="s">
        <v>47</v>
      </c>
      <c r="B304" s="1">
        <v>38642</v>
      </c>
      <c r="C304" t="s">
        <v>48</v>
      </c>
      <c r="D304" t="s">
        <v>49</v>
      </c>
      <c r="E304" s="2">
        <v>46085</v>
      </c>
      <c r="F304" t="s">
        <v>178</v>
      </c>
      <c r="G304" t="s">
        <v>61</v>
      </c>
      <c r="H304" s="3">
        <v>7534</v>
      </c>
      <c r="I304" s="3">
        <v>7534</v>
      </c>
      <c r="J304">
        <v>0</v>
      </c>
      <c r="K304" s="3">
        <v>8664.1</v>
      </c>
      <c r="L304" s="3">
        <v>1055.6099999999999</v>
      </c>
      <c r="M304">
        <v>606.97</v>
      </c>
      <c r="N304" t="s">
        <v>66</v>
      </c>
      <c r="O304" t="s">
        <v>194</v>
      </c>
      <c r="P304" t="s">
        <v>194</v>
      </c>
      <c r="Q304" t="s">
        <v>194</v>
      </c>
      <c r="R304" t="s">
        <v>195</v>
      </c>
      <c r="S304" t="s">
        <v>195</v>
      </c>
      <c r="T304" t="s">
        <v>51</v>
      </c>
      <c r="U304">
        <v>83</v>
      </c>
      <c r="W304" t="s">
        <v>64</v>
      </c>
      <c r="X304" s="4">
        <v>0</v>
      </c>
      <c r="Y304" t="s">
        <v>57</v>
      </c>
    </row>
    <row r="305" spans="1:47" x14ac:dyDescent="0.25">
      <c r="A305" t="s">
        <v>58</v>
      </c>
      <c r="B305">
        <v>0</v>
      </c>
      <c r="C305">
        <v>0</v>
      </c>
      <c r="D305" s="3">
        <v>1055.6099999999999</v>
      </c>
      <c r="E305">
        <v>0</v>
      </c>
      <c r="F305">
        <v>0</v>
      </c>
      <c r="G305" s="3">
        <v>1050</v>
      </c>
      <c r="H305" t="s">
        <v>195</v>
      </c>
      <c r="I305" t="s">
        <v>55</v>
      </c>
      <c r="K305" t="s">
        <v>68</v>
      </c>
      <c r="L305" t="s">
        <v>65</v>
      </c>
      <c r="M305" s="5">
        <v>46086.35738425926</v>
      </c>
      <c r="Q305" t="s">
        <v>195</v>
      </c>
      <c r="R305">
        <v>0</v>
      </c>
      <c r="T305" t="s">
        <v>195</v>
      </c>
      <c r="U305" t="s">
        <v>195</v>
      </c>
      <c r="V305">
        <v>8216</v>
      </c>
      <c r="W305" t="s">
        <v>51</v>
      </c>
    </row>
    <row r="306" spans="1:47" x14ac:dyDescent="0.25">
      <c r="A306" t="s">
        <v>47</v>
      </c>
      <c r="B306" s="1">
        <v>38644</v>
      </c>
      <c r="C306" t="s">
        <v>48</v>
      </c>
      <c r="D306" t="s">
        <v>49</v>
      </c>
      <c r="E306" s="2">
        <v>46086</v>
      </c>
      <c r="F306" t="s">
        <v>60</v>
      </c>
      <c r="G306" t="s">
        <v>61</v>
      </c>
      <c r="H306" s="3">
        <v>1146</v>
      </c>
      <c r="I306" s="3">
        <v>1146</v>
      </c>
      <c r="J306">
        <v>0</v>
      </c>
      <c r="K306" s="3">
        <v>1317.9</v>
      </c>
      <c r="L306">
        <v>244.2</v>
      </c>
      <c r="M306">
        <v>75.7</v>
      </c>
      <c r="N306" t="s">
        <v>62</v>
      </c>
      <c r="O306" t="s">
        <v>194</v>
      </c>
      <c r="P306" t="s">
        <v>194</v>
      </c>
      <c r="Q306" t="s">
        <v>194</v>
      </c>
      <c r="R306" t="s">
        <v>195</v>
      </c>
      <c r="S306" t="s">
        <v>195</v>
      </c>
      <c r="T306" t="s">
        <v>51</v>
      </c>
      <c r="U306">
        <v>76</v>
      </c>
      <c r="V306" t="s">
        <v>63</v>
      </c>
      <c r="W306" t="s">
        <v>64</v>
      </c>
      <c r="X306" s="4">
        <v>0</v>
      </c>
      <c r="Y306" t="s">
        <v>57</v>
      </c>
    </row>
    <row r="307" spans="1:47" x14ac:dyDescent="0.25">
      <c r="A307" t="s">
        <v>58</v>
      </c>
      <c r="B307">
        <v>0</v>
      </c>
      <c r="C307">
        <v>0</v>
      </c>
      <c r="D307">
        <v>0</v>
      </c>
      <c r="E307">
        <v>0</v>
      </c>
      <c r="F307">
        <v>244.2</v>
      </c>
      <c r="G307">
        <v>300</v>
      </c>
      <c r="H307" t="s">
        <v>195</v>
      </c>
      <c r="I307" t="s">
        <v>55</v>
      </c>
      <c r="K307" t="s">
        <v>65</v>
      </c>
      <c r="L307" t="s">
        <v>65</v>
      </c>
      <c r="M307" s="5">
        <v>46086.361793981479</v>
      </c>
      <c r="Q307" t="s">
        <v>195</v>
      </c>
      <c r="R307">
        <v>0</v>
      </c>
      <c r="T307" t="s">
        <v>195</v>
      </c>
      <c r="U307" t="s">
        <v>195</v>
      </c>
      <c r="V307">
        <v>139</v>
      </c>
      <c r="W307" t="s">
        <v>51</v>
      </c>
    </row>
    <row r="308" spans="1:47" x14ac:dyDescent="0.25">
      <c r="A308" t="s">
        <v>47</v>
      </c>
      <c r="B308" s="1">
        <v>38645</v>
      </c>
      <c r="C308" t="s">
        <v>48</v>
      </c>
      <c r="D308" t="s">
        <v>49</v>
      </c>
      <c r="E308" s="2">
        <v>46086</v>
      </c>
      <c r="F308" t="s">
        <v>102</v>
      </c>
      <c r="G308" t="s">
        <v>59</v>
      </c>
      <c r="H308" s="3">
        <v>3798.3</v>
      </c>
      <c r="I308" s="3">
        <v>3798.3</v>
      </c>
      <c r="J308">
        <v>0</v>
      </c>
      <c r="K308" s="3">
        <v>4368.05</v>
      </c>
      <c r="L308">
        <v>343.78</v>
      </c>
      <c r="M308">
        <v>257.14</v>
      </c>
      <c r="N308" t="s">
        <v>70</v>
      </c>
      <c r="O308" t="s">
        <v>194</v>
      </c>
      <c r="P308" t="s">
        <v>194</v>
      </c>
      <c r="Q308" t="s">
        <v>194</v>
      </c>
      <c r="R308" t="s">
        <v>195</v>
      </c>
      <c r="S308" t="s">
        <v>195</v>
      </c>
      <c r="T308" t="s">
        <v>51</v>
      </c>
      <c r="U308">
        <v>9</v>
      </c>
      <c r="V308" t="s">
        <v>63</v>
      </c>
      <c r="W308" t="s">
        <v>53</v>
      </c>
      <c r="X308" s="4">
        <v>0</v>
      </c>
      <c r="Y308" t="s">
        <v>54</v>
      </c>
      <c r="Z308">
        <v>0</v>
      </c>
      <c r="AA308">
        <v>0</v>
      </c>
      <c r="AB308">
        <v>343.78</v>
      </c>
      <c r="AC308">
        <v>0</v>
      </c>
      <c r="AD308">
        <v>0</v>
      </c>
      <c r="AE308">
        <v>90</v>
      </c>
      <c r="AF308" t="s">
        <v>195</v>
      </c>
      <c r="AG308" t="s">
        <v>55</v>
      </c>
      <c r="AI308" t="s">
        <v>65</v>
      </c>
      <c r="AJ308" t="s">
        <v>65</v>
      </c>
      <c r="AK308" s="5">
        <v>46086.404826388891</v>
      </c>
      <c r="AO308" t="s">
        <v>195</v>
      </c>
      <c r="AP308">
        <v>0</v>
      </c>
      <c r="AR308" t="s">
        <v>195</v>
      </c>
      <c r="AS308" t="s">
        <v>195</v>
      </c>
      <c r="AT308">
        <v>1009</v>
      </c>
      <c r="AU308" t="s">
        <v>51</v>
      </c>
    </row>
    <row r="309" spans="1:47" x14ac:dyDescent="0.25">
      <c r="A309" t="s">
        <v>47</v>
      </c>
      <c r="B309" s="1">
        <v>38646</v>
      </c>
      <c r="C309" t="s">
        <v>48</v>
      </c>
      <c r="D309" t="s">
        <v>49</v>
      </c>
      <c r="E309" s="2">
        <v>46086</v>
      </c>
      <c r="F309" t="s">
        <v>102</v>
      </c>
      <c r="G309" t="s">
        <v>59</v>
      </c>
      <c r="H309" s="3">
        <v>3444.5</v>
      </c>
      <c r="I309" s="3">
        <v>3444.5</v>
      </c>
      <c r="J309">
        <v>0</v>
      </c>
      <c r="K309" s="3">
        <v>3961.18</v>
      </c>
      <c r="L309">
        <v>327.45999999999998</v>
      </c>
      <c r="M309">
        <v>244.94</v>
      </c>
      <c r="N309" t="s">
        <v>70</v>
      </c>
      <c r="O309" t="s">
        <v>194</v>
      </c>
      <c r="P309" t="s">
        <v>194</v>
      </c>
      <c r="Q309" t="s">
        <v>194</v>
      </c>
      <c r="R309" t="s">
        <v>195</v>
      </c>
      <c r="S309" t="s">
        <v>195</v>
      </c>
      <c r="T309" t="s">
        <v>51</v>
      </c>
      <c r="U309">
        <v>9</v>
      </c>
      <c r="V309" t="s">
        <v>63</v>
      </c>
      <c r="W309" t="s">
        <v>53</v>
      </c>
      <c r="X309" s="4">
        <v>0</v>
      </c>
      <c r="Y309" t="s">
        <v>54</v>
      </c>
      <c r="Z309">
        <v>0</v>
      </c>
      <c r="AA309">
        <v>0</v>
      </c>
      <c r="AB309">
        <v>327.45999999999998</v>
      </c>
      <c r="AC309">
        <v>0</v>
      </c>
      <c r="AD309">
        <v>0</v>
      </c>
      <c r="AE309">
        <v>90</v>
      </c>
      <c r="AF309" t="s">
        <v>195</v>
      </c>
      <c r="AG309" t="s">
        <v>55</v>
      </c>
      <c r="AI309" t="s">
        <v>65</v>
      </c>
      <c r="AJ309" t="s">
        <v>65</v>
      </c>
      <c r="AK309" s="5">
        <v>46086.404895833337</v>
      </c>
      <c r="AO309" t="s">
        <v>195</v>
      </c>
      <c r="AP309">
        <v>0</v>
      </c>
      <c r="AR309" t="s">
        <v>195</v>
      </c>
      <c r="AS309" t="s">
        <v>195</v>
      </c>
      <c r="AT309">
        <v>1009</v>
      </c>
      <c r="AU309" t="s">
        <v>51</v>
      </c>
    </row>
    <row r="310" spans="1:47" x14ac:dyDescent="0.25">
      <c r="A310" t="s">
        <v>47</v>
      </c>
      <c r="B310" s="1">
        <v>38647</v>
      </c>
      <c r="C310" t="s">
        <v>48</v>
      </c>
      <c r="D310" t="s">
        <v>49</v>
      </c>
      <c r="E310" s="2">
        <v>46086</v>
      </c>
      <c r="F310" t="s">
        <v>102</v>
      </c>
      <c r="G310" t="s">
        <v>59</v>
      </c>
      <c r="H310" s="3">
        <v>5785.2</v>
      </c>
      <c r="I310" s="3">
        <v>5785.2</v>
      </c>
      <c r="J310">
        <v>0</v>
      </c>
      <c r="K310" s="3">
        <v>6227.63</v>
      </c>
      <c r="L310">
        <v>740.16</v>
      </c>
      <c r="M310">
        <v>342.7</v>
      </c>
      <c r="N310" t="s">
        <v>70</v>
      </c>
      <c r="O310" t="s">
        <v>194</v>
      </c>
      <c r="P310" t="s">
        <v>194</v>
      </c>
      <c r="Q310" t="s">
        <v>194</v>
      </c>
      <c r="R310" t="s">
        <v>195</v>
      </c>
      <c r="S310" t="s">
        <v>195</v>
      </c>
      <c r="T310" t="s">
        <v>51</v>
      </c>
      <c r="U310">
        <v>9</v>
      </c>
      <c r="V310" t="s">
        <v>63</v>
      </c>
      <c r="W310" t="s">
        <v>53</v>
      </c>
      <c r="X310" s="4">
        <v>0</v>
      </c>
      <c r="Y310" t="s">
        <v>54</v>
      </c>
      <c r="Z310">
        <v>530</v>
      </c>
      <c r="AA310">
        <v>0</v>
      </c>
      <c r="AB310">
        <v>210.16</v>
      </c>
      <c r="AC310">
        <v>0</v>
      </c>
      <c r="AD310">
        <v>0</v>
      </c>
      <c r="AE310" s="3">
        <v>1060</v>
      </c>
      <c r="AF310" t="s">
        <v>195</v>
      </c>
      <c r="AG310" t="s">
        <v>55</v>
      </c>
      <c r="AI310" t="s">
        <v>65</v>
      </c>
      <c r="AJ310" t="s">
        <v>65</v>
      </c>
      <c r="AK310" s="5">
        <v>46086.404953703706</v>
      </c>
      <c r="AO310" t="s">
        <v>195</v>
      </c>
      <c r="AP310">
        <v>0</v>
      </c>
      <c r="AR310" t="s">
        <v>195</v>
      </c>
      <c r="AS310" t="s">
        <v>195</v>
      </c>
      <c r="AT310">
        <v>1009</v>
      </c>
      <c r="AU310" t="s">
        <v>51</v>
      </c>
    </row>
    <row r="311" spans="1:47" x14ac:dyDescent="0.25">
      <c r="A311" t="s">
        <v>47</v>
      </c>
      <c r="B311" s="1">
        <v>38648</v>
      </c>
      <c r="C311" t="s">
        <v>48</v>
      </c>
      <c r="D311" t="s">
        <v>49</v>
      </c>
      <c r="E311" s="2">
        <v>46086</v>
      </c>
      <c r="F311" t="s">
        <v>102</v>
      </c>
      <c r="G311" t="s">
        <v>59</v>
      </c>
      <c r="H311" s="3">
        <v>3161.6</v>
      </c>
      <c r="I311" s="3">
        <v>3161.6</v>
      </c>
      <c r="J311">
        <v>0</v>
      </c>
      <c r="K311" s="3">
        <v>3635.84</v>
      </c>
      <c r="L311">
        <v>305.52</v>
      </c>
      <c r="M311">
        <v>228.53</v>
      </c>
      <c r="N311" t="s">
        <v>70</v>
      </c>
      <c r="O311" t="s">
        <v>194</v>
      </c>
      <c r="P311" t="s">
        <v>194</v>
      </c>
      <c r="Q311" t="s">
        <v>194</v>
      </c>
      <c r="R311" t="s">
        <v>195</v>
      </c>
      <c r="S311" t="s">
        <v>195</v>
      </c>
      <c r="T311" t="s">
        <v>51</v>
      </c>
      <c r="U311">
        <v>9</v>
      </c>
      <c r="V311" t="s">
        <v>63</v>
      </c>
      <c r="W311" t="s">
        <v>53</v>
      </c>
      <c r="X311" s="4">
        <v>0</v>
      </c>
      <c r="Y311" t="s">
        <v>54</v>
      </c>
      <c r="Z311">
        <v>0</v>
      </c>
      <c r="AA311">
        <v>0</v>
      </c>
      <c r="AB311">
        <v>305.52</v>
      </c>
      <c r="AC311">
        <v>0</v>
      </c>
      <c r="AD311">
        <v>0</v>
      </c>
      <c r="AE311">
        <v>80</v>
      </c>
      <c r="AF311" t="s">
        <v>195</v>
      </c>
      <c r="AG311" t="s">
        <v>55</v>
      </c>
      <c r="AI311" t="s">
        <v>65</v>
      </c>
      <c r="AJ311" t="s">
        <v>65</v>
      </c>
      <c r="AK311" s="5">
        <v>46086.405011574076</v>
      </c>
      <c r="AO311" t="s">
        <v>195</v>
      </c>
      <c r="AP311">
        <v>0</v>
      </c>
      <c r="AR311" t="s">
        <v>195</v>
      </c>
      <c r="AS311" t="s">
        <v>195</v>
      </c>
      <c r="AT311">
        <v>1009</v>
      </c>
      <c r="AU311" t="s">
        <v>51</v>
      </c>
    </row>
    <row r="312" spans="1:47" x14ac:dyDescent="0.25">
      <c r="A312" t="s">
        <v>69</v>
      </c>
      <c r="B312" s="1">
        <v>38651</v>
      </c>
      <c r="C312" t="s">
        <v>48</v>
      </c>
      <c r="D312" t="s">
        <v>49</v>
      </c>
      <c r="E312" s="2">
        <v>46086</v>
      </c>
      <c r="F312" t="s">
        <v>147</v>
      </c>
      <c r="G312" t="s">
        <v>137</v>
      </c>
      <c r="H312" s="3">
        <v>16080</v>
      </c>
      <c r="I312" s="3">
        <v>16080</v>
      </c>
      <c r="J312">
        <v>0</v>
      </c>
      <c r="K312" s="3">
        <v>16080</v>
      </c>
      <c r="L312" s="3">
        <v>2662</v>
      </c>
      <c r="M312" s="3">
        <v>1452.85</v>
      </c>
      <c r="N312" t="s">
        <v>66</v>
      </c>
      <c r="O312" t="s">
        <v>194</v>
      </c>
      <c r="P312" t="s">
        <v>194</v>
      </c>
      <c r="Q312" t="s">
        <v>194</v>
      </c>
      <c r="R312" t="s">
        <v>195</v>
      </c>
      <c r="S312" t="s">
        <v>195</v>
      </c>
      <c r="T312" t="s">
        <v>51</v>
      </c>
      <c r="U312">
        <v>83</v>
      </c>
      <c r="V312" t="s">
        <v>92</v>
      </c>
      <c r="W312" t="s">
        <v>148</v>
      </c>
      <c r="X312" s="4">
        <v>0</v>
      </c>
      <c r="Y312" t="s">
        <v>54</v>
      </c>
      <c r="Z312">
        <v>0</v>
      </c>
      <c r="AA312">
        <v>0</v>
      </c>
      <c r="AB312" s="3">
        <v>1921</v>
      </c>
      <c r="AC312">
        <v>0</v>
      </c>
      <c r="AD312">
        <v>741</v>
      </c>
      <c r="AE312" s="3">
        <v>4000</v>
      </c>
      <c r="AF312" t="s">
        <v>195</v>
      </c>
      <c r="AG312" t="s">
        <v>55</v>
      </c>
      <c r="AI312" t="s">
        <v>65</v>
      </c>
      <c r="AJ312" t="s">
        <v>65</v>
      </c>
      <c r="AK312" s="5">
        <v>46086.683923611112</v>
      </c>
      <c r="AO312" t="s">
        <v>195</v>
      </c>
      <c r="AP312">
        <v>0</v>
      </c>
      <c r="AR312" t="s">
        <v>195</v>
      </c>
      <c r="AS312" t="s">
        <v>195</v>
      </c>
      <c r="AT312">
        <v>4386</v>
      </c>
      <c r="AU312" t="s">
        <v>51</v>
      </c>
    </row>
    <row r="313" spans="1:47" x14ac:dyDescent="0.25">
      <c r="A313" t="s">
        <v>78</v>
      </c>
      <c r="B313" s="1">
        <v>38652</v>
      </c>
      <c r="C313" t="s">
        <v>48</v>
      </c>
      <c r="D313" t="s">
        <v>49</v>
      </c>
      <c r="E313" s="2">
        <v>46086</v>
      </c>
      <c r="F313" t="s">
        <v>145</v>
      </c>
      <c r="G313" t="s">
        <v>146</v>
      </c>
      <c r="H313" s="3">
        <v>17007.18</v>
      </c>
      <c r="I313" s="3">
        <v>17007.18</v>
      </c>
      <c r="J313">
        <v>0</v>
      </c>
      <c r="K313" s="3">
        <v>17007.18</v>
      </c>
      <c r="L313" s="3">
        <v>3232.84</v>
      </c>
      <c r="M313" s="3">
        <v>1236.25</v>
      </c>
      <c r="N313" t="s">
        <v>83</v>
      </c>
      <c r="O313" t="s">
        <v>194</v>
      </c>
      <c r="P313" t="s">
        <v>194</v>
      </c>
      <c r="Q313" t="s">
        <v>194</v>
      </c>
      <c r="R313" t="s">
        <v>195</v>
      </c>
      <c r="S313" t="s">
        <v>195</v>
      </c>
      <c r="T313" t="s">
        <v>51</v>
      </c>
      <c r="U313">
        <v>145</v>
      </c>
      <c r="V313" t="s">
        <v>100</v>
      </c>
      <c r="W313" t="s">
        <v>95</v>
      </c>
      <c r="X313" s="4">
        <v>0</v>
      </c>
      <c r="Y313" t="s">
        <v>54</v>
      </c>
      <c r="Z313" s="3">
        <v>3232.84</v>
      </c>
      <c r="AA313">
        <v>0</v>
      </c>
      <c r="AB313">
        <v>0</v>
      </c>
      <c r="AC313">
        <v>0</v>
      </c>
      <c r="AD313">
        <v>0</v>
      </c>
      <c r="AE313" s="3">
        <v>1180</v>
      </c>
      <c r="AF313" t="s">
        <v>195</v>
      </c>
      <c r="AG313" t="s">
        <v>55</v>
      </c>
      <c r="AH313" t="s">
        <v>169</v>
      </c>
      <c r="AI313" t="s">
        <v>65</v>
      </c>
      <c r="AJ313" t="s">
        <v>65</v>
      </c>
      <c r="AK313" s="5">
        <v>46086.699456018519</v>
      </c>
      <c r="AO313" t="s">
        <v>195</v>
      </c>
      <c r="AP313">
        <v>0</v>
      </c>
      <c r="AR313" t="s">
        <v>195</v>
      </c>
      <c r="AS313" t="s">
        <v>195</v>
      </c>
      <c r="AT313">
        <v>8561</v>
      </c>
      <c r="AU313" t="s">
        <v>51</v>
      </c>
    </row>
    <row r="314" spans="1:47" x14ac:dyDescent="0.25">
      <c r="A314" t="s">
        <v>69</v>
      </c>
      <c r="B314" s="1">
        <v>38653</v>
      </c>
      <c r="C314" t="s">
        <v>48</v>
      </c>
      <c r="D314" t="s">
        <v>49</v>
      </c>
      <c r="E314" s="2">
        <v>46086</v>
      </c>
      <c r="F314" t="s">
        <v>139</v>
      </c>
      <c r="G314" t="s">
        <v>72</v>
      </c>
      <c r="H314" s="3">
        <v>8500</v>
      </c>
      <c r="I314" s="3">
        <v>8500</v>
      </c>
      <c r="J314">
        <v>0</v>
      </c>
      <c r="K314" s="3">
        <v>8500</v>
      </c>
      <c r="L314" s="3">
        <v>1638</v>
      </c>
      <c r="M314">
        <v>982.8</v>
      </c>
      <c r="N314" t="s">
        <v>66</v>
      </c>
      <c r="O314" t="s">
        <v>194</v>
      </c>
      <c r="P314" t="s">
        <v>194</v>
      </c>
      <c r="Q314" t="s">
        <v>194</v>
      </c>
      <c r="R314" t="s">
        <v>195</v>
      </c>
      <c r="S314" t="s">
        <v>195</v>
      </c>
      <c r="T314" t="s">
        <v>51</v>
      </c>
      <c r="U314">
        <v>83</v>
      </c>
      <c r="V314" t="s">
        <v>52</v>
      </c>
      <c r="W314" t="s">
        <v>87</v>
      </c>
      <c r="X314" s="4">
        <v>0</v>
      </c>
      <c r="Y314" t="s">
        <v>54</v>
      </c>
      <c r="Z314">
        <v>0</v>
      </c>
      <c r="AA314">
        <v>0</v>
      </c>
      <c r="AB314" s="3">
        <v>1638</v>
      </c>
      <c r="AC314">
        <v>0</v>
      </c>
      <c r="AD314">
        <v>0</v>
      </c>
      <c r="AE314" s="3">
        <v>1000</v>
      </c>
      <c r="AF314" t="s">
        <v>195</v>
      </c>
      <c r="AG314" t="s">
        <v>55</v>
      </c>
      <c r="AI314" t="s">
        <v>68</v>
      </c>
      <c r="AJ314" t="s">
        <v>65</v>
      </c>
      <c r="AK314" s="5">
        <v>46086.699131944442</v>
      </c>
      <c r="AO314" t="s">
        <v>195</v>
      </c>
      <c r="AP314">
        <v>0</v>
      </c>
      <c r="AR314" t="s">
        <v>195</v>
      </c>
      <c r="AS314" t="s">
        <v>195</v>
      </c>
      <c r="AT314">
        <v>5289</v>
      </c>
      <c r="AU314" t="s">
        <v>51</v>
      </c>
    </row>
    <row r="315" spans="1:47" x14ac:dyDescent="0.25">
      <c r="A315" t="s">
        <v>69</v>
      </c>
      <c r="B315" s="1">
        <v>38654</v>
      </c>
      <c r="C315" t="s">
        <v>48</v>
      </c>
      <c r="D315" t="s">
        <v>49</v>
      </c>
      <c r="E315" s="2">
        <v>46086</v>
      </c>
      <c r="F315" t="s">
        <v>139</v>
      </c>
      <c r="G315" t="s">
        <v>72</v>
      </c>
      <c r="H315" s="3">
        <v>5528</v>
      </c>
      <c r="I315" s="3">
        <v>5528</v>
      </c>
      <c r="J315">
        <v>0</v>
      </c>
      <c r="K315" s="3">
        <v>5528</v>
      </c>
      <c r="L315" s="3">
        <v>1057.5999999999999</v>
      </c>
      <c r="M315">
        <v>634.55999999999995</v>
      </c>
      <c r="N315" t="s">
        <v>66</v>
      </c>
      <c r="O315" t="s">
        <v>194</v>
      </c>
      <c r="P315" t="s">
        <v>194</v>
      </c>
      <c r="Q315" t="s">
        <v>194</v>
      </c>
      <c r="R315" t="s">
        <v>195</v>
      </c>
      <c r="S315" t="s">
        <v>195</v>
      </c>
      <c r="T315" t="s">
        <v>51</v>
      </c>
      <c r="U315">
        <v>83</v>
      </c>
      <c r="V315" t="s">
        <v>52</v>
      </c>
      <c r="W315">
        <v>0</v>
      </c>
      <c r="X315" s="4">
        <v>0</v>
      </c>
      <c r="Y315" t="s">
        <v>54</v>
      </c>
      <c r="Z315">
        <v>0</v>
      </c>
      <c r="AA315">
        <v>0</v>
      </c>
      <c r="AB315" s="3">
        <v>1057.5999999999999</v>
      </c>
      <c r="AC315">
        <v>0</v>
      </c>
      <c r="AD315">
        <v>0</v>
      </c>
      <c r="AE315">
        <v>800</v>
      </c>
      <c r="AF315" t="s">
        <v>195</v>
      </c>
      <c r="AG315" t="s">
        <v>55</v>
      </c>
      <c r="AI315" t="s">
        <v>68</v>
      </c>
      <c r="AJ315" t="s">
        <v>65</v>
      </c>
      <c r="AK315" s="5">
        <v>46086.703206018516</v>
      </c>
      <c r="AO315" t="s">
        <v>195</v>
      </c>
      <c r="AP315">
        <v>0</v>
      </c>
      <c r="AR315" t="s">
        <v>195</v>
      </c>
      <c r="AS315" t="s">
        <v>195</v>
      </c>
      <c r="AT315">
        <v>5289</v>
      </c>
      <c r="AU315" t="s">
        <v>51</v>
      </c>
    </row>
    <row r="316" spans="1:47" x14ac:dyDescent="0.25">
      <c r="A316" t="s">
        <v>47</v>
      </c>
      <c r="B316" s="1">
        <v>38655</v>
      </c>
      <c r="C316" t="s">
        <v>48</v>
      </c>
      <c r="D316" t="s">
        <v>49</v>
      </c>
      <c r="E316" s="2">
        <v>46086</v>
      </c>
      <c r="F316" t="s">
        <v>80</v>
      </c>
      <c r="G316" t="s">
        <v>76</v>
      </c>
      <c r="H316" s="3">
        <v>24970</v>
      </c>
      <c r="I316" s="3">
        <v>24970</v>
      </c>
      <c r="J316">
        <v>0</v>
      </c>
      <c r="K316" s="3">
        <v>28715.5</v>
      </c>
      <c r="L316" s="3">
        <v>3815</v>
      </c>
      <c r="M316" s="3">
        <v>2092.5100000000002</v>
      </c>
      <c r="N316" t="s">
        <v>70</v>
      </c>
      <c r="O316" t="s">
        <v>194</v>
      </c>
      <c r="P316" t="s">
        <v>194</v>
      </c>
      <c r="Q316" t="s">
        <v>194</v>
      </c>
      <c r="R316" t="s">
        <v>195</v>
      </c>
      <c r="S316" t="s">
        <v>195</v>
      </c>
      <c r="T316" t="s">
        <v>51</v>
      </c>
      <c r="U316">
        <v>9</v>
      </c>
      <c r="V316" t="s">
        <v>63</v>
      </c>
      <c r="W316" t="s">
        <v>81</v>
      </c>
      <c r="X316" s="4">
        <v>0</v>
      </c>
      <c r="Z316" s="3">
        <v>1124</v>
      </c>
      <c r="AA316">
        <v>0</v>
      </c>
      <c r="AB316" s="3">
        <v>2691</v>
      </c>
      <c r="AC316">
        <v>0</v>
      </c>
      <c r="AD316">
        <v>0</v>
      </c>
      <c r="AE316" s="3">
        <v>4000</v>
      </c>
      <c r="AF316" t="s">
        <v>195</v>
      </c>
      <c r="AG316" t="s">
        <v>55</v>
      </c>
      <c r="AH316" t="s">
        <v>82</v>
      </c>
      <c r="AI316" t="s">
        <v>75</v>
      </c>
      <c r="AJ316" t="s">
        <v>75</v>
      </c>
      <c r="AK316" s="5">
        <v>46086.730081018519</v>
      </c>
      <c r="AO316" t="s">
        <v>195</v>
      </c>
      <c r="AP316">
        <v>0</v>
      </c>
      <c r="AR316" t="s">
        <v>195</v>
      </c>
      <c r="AS316" t="s">
        <v>195</v>
      </c>
      <c r="AT316">
        <v>161</v>
      </c>
      <c r="AU316" t="s">
        <v>51</v>
      </c>
    </row>
    <row r="317" spans="1:47" x14ac:dyDescent="0.25">
      <c r="A317" t="s">
        <v>78</v>
      </c>
      <c r="B317" s="1">
        <v>38656</v>
      </c>
      <c r="C317" t="s">
        <v>48</v>
      </c>
      <c r="D317" t="s">
        <v>49</v>
      </c>
      <c r="E317" s="2">
        <v>46086</v>
      </c>
      <c r="F317" t="s">
        <v>152</v>
      </c>
      <c r="G317" t="s">
        <v>61</v>
      </c>
      <c r="H317" s="3">
        <v>17970</v>
      </c>
      <c r="I317" s="3">
        <v>17970</v>
      </c>
      <c r="J317">
        <v>0</v>
      </c>
      <c r="K317" s="3">
        <v>17970</v>
      </c>
      <c r="L317" s="3">
        <v>2604</v>
      </c>
      <c r="M317" s="3">
        <v>1366.95</v>
      </c>
      <c r="N317" t="s">
        <v>50</v>
      </c>
      <c r="O317" t="s">
        <v>194</v>
      </c>
      <c r="P317" t="s">
        <v>194</v>
      </c>
      <c r="Q317" t="s">
        <v>194</v>
      </c>
      <c r="R317" t="s">
        <v>195</v>
      </c>
      <c r="S317" t="s">
        <v>195</v>
      </c>
      <c r="T317" t="s">
        <v>51</v>
      </c>
      <c r="U317">
        <v>126</v>
      </c>
      <c r="V317" t="s">
        <v>52</v>
      </c>
      <c r="W317" t="s">
        <v>106</v>
      </c>
      <c r="X317" s="4">
        <v>0</v>
      </c>
      <c r="Y317" t="s">
        <v>57</v>
      </c>
    </row>
    <row r="318" spans="1:47" x14ac:dyDescent="0.25">
      <c r="A318" t="s">
        <v>58</v>
      </c>
      <c r="B318">
        <v>0</v>
      </c>
      <c r="C318">
        <v>0</v>
      </c>
      <c r="D318">
        <v>234</v>
      </c>
      <c r="E318">
        <v>0</v>
      </c>
      <c r="F318" s="3">
        <v>2370</v>
      </c>
      <c r="G318" s="3">
        <v>6000</v>
      </c>
      <c r="H318" t="s">
        <v>195</v>
      </c>
      <c r="I318" t="s">
        <v>55</v>
      </c>
      <c r="J318" t="s">
        <v>67</v>
      </c>
      <c r="K318" t="s">
        <v>56</v>
      </c>
      <c r="L318" t="s">
        <v>56</v>
      </c>
      <c r="M318" s="5">
        <v>46086.772812499999</v>
      </c>
      <c r="Q318" t="s">
        <v>195</v>
      </c>
      <c r="R318">
        <v>0</v>
      </c>
      <c r="T318" t="s">
        <v>195</v>
      </c>
      <c r="U318" t="s">
        <v>195</v>
      </c>
      <c r="V318">
        <v>8105</v>
      </c>
      <c r="W318" t="s">
        <v>51</v>
      </c>
    </row>
    <row r="319" spans="1:47" x14ac:dyDescent="0.25">
      <c r="A319" t="s">
        <v>47</v>
      </c>
      <c r="B319" s="1">
        <v>38657</v>
      </c>
      <c r="C319" t="s">
        <v>48</v>
      </c>
      <c r="D319" t="s">
        <v>49</v>
      </c>
      <c r="E319" s="2">
        <v>46087</v>
      </c>
      <c r="F319" t="s">
        <v>60</v>
      </c>
      <c r="G319" t="s">
        <v>61</v>
      </c>
      <c r="H319" s="3">
        <v>2825</v>
      </c>
      <c r="I319" s="3">
        <v>2825</v>
      </c>
      <c r="J319">
        <v>0</v>
      </c>
      <c r="K319" s="3">
        <v>3203.51</v>
      </c>
      <c r="L319">
        <v>571.6</v>
      </c>
      <c r="M319">
        <v>194.3</v>
      </c>
      <c r="N319" t="s">
        <v>62</v>
      </c>
      <c r="O319" t="s">
        <v>194</v>
      </c>
      <c r="P319" t="s">
        <v>194</v>
      </c>
      <c r="Q319" t="s">
        <v>194</v>
      </c>
      <c r="R319" t="s">
        <v>195</v>
      </c>
      <c r="S319" t="s">
        <v>195</v>
      </c>
      <c r="T319" t="s">
        <v>51</v>
      </c>
      <c r="U319">
        <v>76</v>
      </c>
      <c r="V319" t="s">
        <v>63</v>
      </c>
      <c r="W319" t="s">
        <v>64</v>
      </c>
      <c r="X319" s="4">
        <v>0</v>
      </c>
      <c r="Y319" t="s">
        <v>57</v>
      </c>
    </row>
    <row r="320" spans="1:47" x14ac:dyDescent="0.25">
      <c r="A320" t="s">
        <v>58</v>
      </c>
      <c r="B320">
        <v>512.79999999999995</v>
      </c>
      <c r="C320">
        <v>0</v>
      </c>
      <c r="D320">
        <v>0</v>
      </c>
      <c r="E320">
        <v>0</v>
      </c>
      <c r="F320">
        <v>58.8</v>
      </c>
      <c r="G320" s="3">
        <v>1500</v>
      </c>
      <c r="H320" t="s">
        <v>195</v>
      </c>
      <c r="I320" t="s">
        <v>55</v>
      </c>
      <c r="K320" t="s">
        <v>65</v>
      </c>
      <c r="L320" t="s">
        <v>65</v>
      </c>
      <c r="M320" s="5">
        <v>46087.381678240738</v>
      </c>
      <c r="Q320" t="s">
        <v>195</v>
      </c>
      <c r="R320">
        <v>0</v>
      </c>
      <c r="T320" t="s">
        <v>195</v>
      </c>
      <c r="U320" t="s">
        <v>195</v>
      </c>
      <c r="V320">
        <v>139</v>
      </c>
      <c r="W320" t="s">
        <v>51</v>
      </c>
    </row>
    <row r="321" spans="1:47" x14ac:dyDescent="0.25">
      <c r="A321" t="s">
        <v>69</v>
      </c>
      <c r="B321" s="1">
        <v>38659</v>
      </c>
      <c r="C321" t="s">
        <v>48</v>
      </c>
      <c r="D321" t="s">
        <v>49</v>
      </c>
      <c r="E321" s="2">
        <v>46087</v>
      </c>
      <c r="F321" t="s">
        <v>139</v>
      </c>
      <c r="G321" t="s">
        <v>72</v>
      </c>
      <c r="H321" s="3">
        <v>8500</v>
      </c>
      <c r="I321" s="3">
        <v>8500</v>
      </c>
      <c r="J321">
        <v>0</v>
      </c>
      <c r="K321" s="3">
        <v>8500</v>
      </c>
      <c r="L321" s="3">
        <v>1638</v>
      </c>
      <c r="M321">
        <v>982.8</v>
      </c>
      <c r="N321" t="s">
        <v>66</v>
      </c>
      <c r="O321" t="s">
        <v>194</v>
      </c>
      <c r="P321" t="s">
        <v>194</v>
      </c>
      <c r="Q321" t="s">
        <v>194</v>
      </c>
      <c r="R321" t="s">
        <v>195</v>
      </c>
      <c r="S321" t="s">
        <v>195</v>
      </c>
      <c r="T321" t="s">
        <v>51</v>
      </c>
      <c r="U321">
        <v>83</v>
      </c>
      <c r="V321" t="s">
        <v>52</v>
      </c>
      <c r="W321" t="s">
        <v>87</v>
      </c>
      <c r="X321" s="4">
        <v>0</v>
      </c>
      <c r="Y321" t="s">
        <v>54</v>
      </c>
      <c r="Z321">
        <v>0</v>
      </c>
      <c r="AA321">
        <v>0</v>
      </c>
      <c r="AB321" s="3">
        <v>1638</v>
      </c>
      <c r="AC321">
        <v>0</v>
      </c>
      <c r="AD321">
        <v>0</v>
      </c>
      <c r="AE321" s="3">
        <v>1000</v>
      </c>
      <c r="AF321" t="s">
        <v>195</v>
      </c>
      <c r="AG321" t="s">
        <v>55</v>
      </c>
      <c r="AI321" t="s">
        <v>68</v>
      </c>
      <c r="AJ321" t="s">
        <v>65</v>
      </c>
      <c r="AK321" s="5">
        <v>46087.638715277775</v>
      </c>
      <c r="AO321" t="s">
        <v>195</v>
      </c>
      <c r="AP321">
        <v>0</v>
      </c>
      <c r="AR321" t="s">
        <v>195</v>
      </c>
      <c r="AS321" t="s">
        <v>195</v>
      </c>
      <c r="AT321">
        <v>5289</v>
      </c>
      <c r="AU321" t="s">
        <v>51</v>
      </c>
    </row>
    <row r="322" spans="1:47" x14ac:dyDescent="0.25">
      <c r="A322" t="s">
        <v>47</v>
      </c>
      <c r="B322" s="1">
        <v>38660</v>
      </c>
      <c r="C322" t="s">
        <v>48</v>
      </c>
      <c r="D322" t="s">
        <v>49</v>
      </c>
      <c r="E322" s="2">
        <v>46087</v>
      </c>
      <c r="F322" t="s">
        <v>170</v>
      </c>
      <c r="G322" t="s">
        <v>61</v>
      </c>
      <c r="H322" s="3">
        <v>3470</v>
      </c>
      <c r="I322" s="3">
        <v>3470</v>
      </c>
      <c r="J322">
        <v>0</v>
      </c>
      <c r="K322" s="3">
        <v>3990.5</v>
      </c>
      <c r="L322">
        <v>450</v>
      </c>
      <c r="M322">
        <v>211.5</v>
      </c>
      <c r="N322" t="s">
        <v>66</v>
      </c>
      <c r="O322" t="s">
        <v>194</v>
      </c>
      <c r="P322" t="s">
        <v>194</v>
      </c>
      <c r="Q322" t="s">
        <v>194</v>
      </c>
      <c r="R322" t="s">
        <v>195</v>
      </c>
      <c r="S322" t="s">
        <v>195</v>
      </c>
      <c r="T322" t="s">
        <v>51</v>
      </c>
      <c r="U322">
        <v>83</v>
      </c>
      <c r="V322" t="s">
        <v>92</v>
      </c>
      <c r="W322" t="s">
        <v>171</v>
      </c>
      <c r="X322" s="4">
        <v>0</v>
      </c>
      <c r="Y322" t="s">
        <v>54</v>
      </c>
      <c r="Z322">
        <v>0</v>
      </c>
      <c r="AA322">
        <v>0</v>
      </c>
      <c r="AB322">
        <v>0</v>
      </c>
      <c r="AC322">
        <v>0</v>
      </c>
      <c r="AD322">
        <v>450</v>
      </c>
      <c r="AE322">
        <v>500</v>
      </c>
      <c r="AF322" t="s">
        <v>195</v>
      </c>
      <c r="AG322" t="s">
        <v>55</v>
      </c>
      <c r="AI322" t="s">
        <v>68</v>
      </c>
      <c r="AJ322" t="s">
        <v>65</v>
      </c>
      <c r="AK322" s="5">
        <v>46087.638495370367</v>
      </c>
      <c r="AO322" t="s">
        <v>195</v>
      </c>
      <c r="AP322">
        <v>0</v>
      </c>
      <c r="AR322" t="s">
        <v>195</v>
      </c>
      <c r="AS322" t="s">
        <v>195</v>
      </c>
      <c r="AT322">
        <v>5455</v>
      </c>
      <c r="AU322" t="s">
        <v>51</v>
      </c>
    </row>
    <row r="323" spans="1:47" x14ac:dyDescent="0.25">
      <c r="A323" t="s">
        <v>47</v>
      </c>
      <c r="B323" s="1">
        <v>38662</v>
      </c>
      <c r="C323" t="s">
        <v>48</v>
      </c>
      <c r="D323" t="s">
        <v>49</v>
      </c>
      <c r="E323" s="2">
        <v>46090</v>
      </c>
      <c r="F323" t="s">
        <v>80</v>
      </c>
      <c r="G323" t="s">
        <v>76</v>
      </c>
      <c r="H323" s="3">
        <v>16990</v>
      </c>
      <c r="I323" s="3">
        <v>16990</v>
      </c>
      <c r="J323">
        <v>0</v>
      </c>
      <c r="K323" s="3">
        <v>19538.5</v>
      </c>
      <c r="L323" s="3">
        <v>3207</v>
      </c>
      <c r="M323" s="3">
        <v>1154.49</v>
      </c>
      <c r="N323" t="s">
        <v>70</v>
      </c>
      <c r="O323" t="s">
        <v>194</v>
      </c>
      <c r="P323" t="s">
        <v>194</v>
      </c>
      <c r="Q323" t="s">
        <v>194</v>
      </c>
      <c r="R323" t="s">
        <v>195</v>
      </c>
      <c r="S323" t="s">
        <v>195</v>
      </c>
      <c r="T323" t="s">
        <v>51</v>
      </c>
      <c r="U323">
        <v>9</v>
      </c>
      <c r="V323" t="s">
        <v>63</v>
      </c>
      <c r="W323" t="s">
        <v>81</v>
      </c>
      <c r="X323" s="4">
        <v>0</v>
      </c>
      <c r="Z323" s="3">
        <v>3207</v>
      </c>
      <c r="AA323">
        <v>0</v>
      </c>
      <c r="AB323">
        <v>0</v>
      </c>
      <c r="AC323">
        <v>0</v>
      </c>
      <c r="AD323">
        <v>0</v>
      </c>
      <c r="AE323" s="3">
        <v>7000</v>
      </c>
      <c r="AF323" t="s">
        <v>195</v>
      </c>
      <c r="AG323" t="s">
        <v>55</v>
      </c>
      <c r="AH323" t="s">
        <v>82</v>
      </c>
      <c r="AI323" t="s">
        <v>163</v>
      </c>
      <c r="AJ323" t="s">
        <v>75</v>
      </c>
      <c r="AK323" s="5">
        <v>46090.697835648149</v>
      </c>
      <c r="AO323" t="s">
        <v>195</v>
      </c>
      <c r="AP323">
        <v>0</v>
      </c>
      <c r="AR323" t="s">
        <v>195</v>
      </c>
      <c r="AS323" t="s">
        <v>195</v>
      </c>
      <c r="AT323">
        <v>161</v>
      </c>
      <c r="AU323" t="s">
        <v>51</v>
      </c>
    </row>
    <row r="324" spans="1:47" x14ac:dyDescent="0.25">
      <c r="A324" t="s">
        <v>47</v>
      </c>
      <c r="B324" s="1">
        <v>38663</v>
      </c>
      <c r="C324" t="s">
        <v>48</v>
      </c>
      <c r="D324" t="s">
        <v>49</v>
      </c>
      <c r="E324" s="2">
        <v>46090</v>
      </c>
      <c r="F324" t="s">
        <v>85</v>
      </c>
      <c r="G324" t="s">
        <v>86</v>
      </c>
      <c r="H324" s="3">
        <v>16260</v>
      </c>
      <c r="I324" s="3">
        <v>16260</v>
      </c>
      <c r="J324">
        <v>0</v>
      </c>
      <c r="K324" s="3">
        <v>16260</v>
      </c>
      <c r="L324" s="3">
        <v>2216</v>
      </c>
      <c r="M324" s="3">
        <v>1309.83</v>
      </c>
      <c r="N324" t="s">
        <v>50</v>
      </c>
      <c r="O324" t="s">
        <v>194</v>
      </c>
      <c r="P324" t="s">
        <v>194</v>
      </c>
      <c r="Q324" t="s">
        <v>194</v>
      </c>
      <c r="R324" t="s">
        <v>195</v>
      </c>
      <c r="S324" t="s">
        <v>195</v>
      </c>
      <c r="T324" t="s">
        <v>51</v>
      </c>
      <c r="U324">
        <v>126</v>
      </c>
      <c r="V324" t="s">
        <v>52</v>
      </c>
      <c r="W324">
        <v>0</v>
      </c>
      <c r="X324" s="4">
        <v>0</v>
      </c>
      <c r="Y324" t="s">
        <v>54</v>
      </c>
      <c r="Z324" s="3">
        <v>1118</v>
      </c>
      <c r="AA324">
        <v>0</v>
      </c>
      <c r="AB324" s="3">
        <v>1098</v>
      </c>
      <c r="AC324">
        <v>0</v>
      </c>
      <c r="AD324">
        <v>0</v>
      </c>
      <c r="AE324" s="3">
        <v>3500</v>
      </c>
      <c r="AF324" t="s">
        <v>195</v>
      </c>
      <c r="AG324" t="s">
        <v>55</v>
      </c>
      <c r="AH324" t="s">
        <v>88</v>
      </c>
      <c r="AI324" t="s">
        <v>163</v>
      </c>
      <c r="AJ324" t="s">
        <v>75</v>
      </c>
      <c r="AK324" s="5">
        <v>46090.699467592596</v>
      </c>
      <c r="AO324" t="s">
        <v>195</v>
      </c>
      <c r="AP324">
        <v>0</v>
      </c>
      <c r="AR324" t="s">
        <v>195</v>
      </c>
      <c r="AS324" t="s">
        <v>195</v>
      </c>
      <c r="AT324">
        <v>4089</v>
      </c>
      <c r="AU324" t="s">
        <v>51</v>
      </c>
    </row>
    <row r="325" spans="1:47" x14ac:dyDescent="0.25">
      <c r="A325" t="s">
        <v>47</v>
      </c>
      <c r="B325" s="1">
        <v>38666</v>
      </c>
      <c r="C325" t="s">
        <v>48</v>
      </c>
      <c r="D325" t="s">
        <v>49</v>
      </c>
      <c r="E325" s="2">
        <v>46091</v>
      </c>
      <c r="F325" t="s">
        <v>123</v>
      </c>
      <c r="G325" t="s">
        <v>124</v>
      </c>
      <c r="H325" s="3">
        <v>18960.349999999999</v>
      </c>
      <c r="I325" s="3">
        <v>18960.349999999999</v>
      </c>
      <c r="J325">
        <v>0</v>
      </c>
      <c r="K325" s="3">
        <v>21804.400000000001</v>
      </c>
      <c r="L325" s="3">
        <v>2488.92</v>
      </c>
      <c r="M325" s="3">
        <v>1530.03</v>
      </c>
      <c r="N325" t="s">
        <v>125</v>
      </c>
      <c r="O325" t="s">
        <v>194</v>
      </c>
      <c r="P325" t="s">
        <v>194</v>
      </c>
      <c r="Q325" t="s">
        <v>194</v>
      </c>
      <c r="R325" t="s">
        <v>195</v>
      </c>
      <c r="S325" t="s">
        <v>195</v>
      </c>
      <c r="T325" t="s">
        <v>51</v>
      </c>
      <c r="U325">
        <v>43</v>
      </c>
      <c r="W325" t="s">
        <v>64</v>
      </c>
      <c r="X325" s="4">
        <v>0</v>
      </c>
      <c r="Y325" t="s">
        <v>54</v>
      </c>
      <c r="Z325">
        <v>0</v>
      </c>
      <c r="AA325">
        <v>0</v>
      </c>
      <c r="AB325" s="3">
        <v>2488.92</v>
      </c>
      <c r="AC325">
        <v>0</v>
      </c>
      <c r="AD325">
        <v>0</v>
      </c>
      <c r="AE325" s="3">
        <v>2035</v>
      </c>
      <c r="AF325" t="s">
        <v>195</v>
      </c>
      <c r="AG325" t="s">
        <v>55</v>
      </c>
      <c r="AI325" t="s">
        <v>65</v>
      </c>
      <c r="AJ325" t="s">
        <v>65</v>
      </c>
      <c r="AK325" s="5">
        <v>46091.707175925927</v>
      </c>
      <c r="AO325" t="s">
        <v>195</v>
      </c>
      <c r="AP325">
        <v>0</v>
      </c>
      <c r="AR325" t="s">
        <v>195</v>
      </c>
      <c r="AS325" t="s">
        <v>195</v>
      </c>
      <c r="AT325">
        <v>4694</v>
      </c>
      <c r="AU325" t="s">
        <v>51</v>
      </c>
    </row>
    <row r="326" spans="1:47" x14ac:dyDescent="0.25">
      <c r="A326" t="s">
        <v>47</v>
      </c>
      <c r="B326" s="1">
        <v>38667</v>
      </c>
      <c r="C326" t="s">
        <v>48</v>
      </c>
      <c r="D326" t="s">
        <v>49</v>
      </c>
      <c r="E326" s="2">
        <v>46091</v>
      </c>
      <c r="F326" t="s">
        <v>123</v>
      </c>
      <c r="G326" t="s">
        <v>124</v>
      </c>
      <c r="H326" s="3">
        <v>18206.32</v>
      </c>
      <c r="I326" s="3">
        <v>18206.32</v>
      </c>
      <c r="J326">
        <v>0</v>
      </c>
      <c r="K326" s="3">
        <v>20937.27</v>
      </c>
      <c r="L326" s="3">
        <v>2404.56</v>
      </c>
      <c r="M326" s="3">
        <v>1472.08</v>
      </c>
      <c r="N326" t="s">
        <v>125</v>
      </c>
      <c r="O326" t="s">
        <v>194</v>
      </c>
      <c r="P326" t="s">
        <v>194</v>
      </c>
      <c r="Q326" t="s">
        <v>194</v>
      </c>
      <c r="R326" t="s">
        <v>195</v>
      </c>
      <c r="S326" t="s">
        <v>195</v>
      </c>
      <c r="T326" t="s">
        <v>51</v>
      </c>
      <c r="U326">
        <v>43</v>
      </c>
      <c r="W326" t="s">
        <v>64</v>
      </c>
      <c r="X326" s="4">
        <v>0</v>
      </c>
      <c r="Y326" t="s">
        <v>54</v>
      </c>
      <c r="Z326">
        <v>0</v>
      </c>
      <c r="AA326">
        <v>0</v>
      </c>
      <c r="AB326" s="3">
        <v>2404.56</v>
      </c>
      <c r="AC326">
        <v>0</v>
      </c>
      <c r="AD326">
        <v>0</v>
      </c>
      <c r="AE326" s="3">
        <v>1976</v>
      </c>
      <c r="AF326" t="s">
        <v>195</v>
      </c>
      <c r="AG326" t="s">
        <v>55</v>
      </c>
      <c r="AI326" t="s">
        <v>65</v>
      </c>
      <c r="AJ326" t="s">
        <v>65</v>
      </c>
      <c r="AK326" s="5">
        <v>46091.707870370374</v>
      </c>
      <c r="AO326" t="s">
        <v>195</v>
      </c>
      <c r="AP326">
        <v>0</v>
      </c>
      <c r="AR326" t="s">
        <v>195</v>
      </c>
      <c r="AS326" t="s">
        <v>195</v>
      </c>
      <c r="AT326">
        <v>4694</v>
      </c>
      <c r="AU326" t="s">
        <v>51</v>
      </c>
    </row>
    <row r="327" spans="1:47" x14ac:dyDescent="0.25">
      <c r="A327" t="s">
        <v>47</v>
      </c>
      <c r="B327" s="1">
        <v>38668</v>
      </c>
      <c r="C327" t="s">
        <v>48</v>
      </c>
      <c r="D327" t="s">
        <v>49</v>
      </c>
      <c r="E327" s="2">
        <v>46091</v>
      </c>
      <c r="F327" t="s">
        <v>136</v>
      </c>
      <c r="G327" t="s">
        <v>137</v>
      </c>
      <c r="H327" s="3">
        <v>49310</v>
      </c>
      <c r="I327" s="3">
        <v>49310</v>
      </c>
      <c r="J327">
        <v>0</v>
      </c>
      <c r="K327" s="3">
        <v>49310</v>
      </c>
      <c r="L327" s="3">
        <v>6073</v>
      </c>
      <c r="M327" s="3">
        <v>3763.14</v>
      </c>
      <c r="N327" t="s">
        <v>70</v>
      </c>
      <c r="O327" t="s">
        <v>194</v>
      </c>
      <c r="P327" t="s">
        <v>194</v>
      </c>
      <c r="Q327" t="s">
        <v>194</v>
      </c>
      <c r="R327" t="s">
        <v>195</v>
      </c>
      <c r="S327" t="s">
        <v>195</v>
      </c>
      <c r="T327" t="s">
        <v>51</v>
      </c>
      <c r="U327">
        <v>9</v>
      </c>
      <c r="W327" t="s">
        <v>179</v>
      </c>
      <c r="X327" s="4">
        <v>0</v>
      </c>
      <c r="Y327" t="s">
        <v>57</v>
      </c>
    </row>
    <row r="328" spans="1:47" x14ac:dyDescent="0.25">
      <c r="A328" t="s">
        <v>58</v>
      </c>
      <c r="B328">
        <v>0</v>
      </c>
      <c r="C328">
        <v>0</v>
      </c>
      <c r="D328" s="3">
        <v>6073</v>
      </c>
      <c r="E328">
        <v>0</v>
      </c>
      <c r="F328">
        <v>0</v>
      </c>
      <c r="G328" s="3">
        <v>6000</v>
      </c>
      <c r="H328" t="s">
        <v>195</v>
      </c>
      <c r="I328" t="s">
        <v>55</v>
      </c>
      <c r="J328" t="s">
        <v>107</v>
      </c>
      <c r="K328" t="s">
        <v>65</v>
      </c>
      <c r="L328" t="s">
        <v>65</v>
      </c>
      <c r="M328" s="5">
        <v>46091.722951388889</v>
      </c>
      <c r="Q328" t="s">
        <v>195</v>
      </c>
      <c r="R328">
        <v>0</v>
      </c>
      <c r="T328" t="s">
        <v>195</v>
      </c>
      <c r="U328" t="s">
        <v>195</v>
      </c>
      <c r="V328">
        <v>3124</v>
      </c>
      <c r="W328" t="s">
        <v>51</v>
      </c>
    </row>
    <row r="329" spans="1:47" x14ac:dyDescent="0.25">
      <c r="A329" t="s">
        <v>78</v>
      </c>
      <c r="B329" s="1">
        <v>38669</v>
      </c>
      <c r="C329" t="s">
        <v>48</v>
      </c>
      <c r="D329" t="s">
        <v>49</v>
      </c>
      <c r="E329" s="2">
        <v>46092</v>
      </c>
      <c r="F329" t="s">
        <v>110</v>
      </c>
      <c r="G329" t="s">
        <v>59</v>
      </c>
      <c r="H329" s="3">
        <v>2650</v>
      </c>
      <c r="I329" s="3">
        <v>2650</v>
      </c>
      <c r="J329">
        <v>0</v>
      </c>
      <c r="K329" s="3">
        <v>2650</v>
      </c>
      <c r="L329">
        <v>707</v>
      </c>
      <c r="M329">
        <v>205.03</v>
      </c>
      <c r="N329" t="s">
        <v>50</v>
      </c>
      <c r="O329" t="s">
        <v>194</v>
      </c>
      <c r="P329" t="s">
        <v>194</v>
      </c>
      <c r="Q329" t="s">
        <v>194</v>
      </c>
      <c r="R329" t="s">
        <v>195</v>
      </c>
      <c r="S329" t="s">
        <v>195</v>
      </c>
      <c r="T329" t="s">
        <v>51</v>
      </c>
      <c r="U329">
        <v>126</v>
      </c>
      <c r="V329" t="s">
        <v>52</v>
      </c>
      <c r="W329" t="s">
        <v>150</v>
      </c>
      <c r="X329" s="4">
        <v>0</v>
      </c>
      <c r="Y329" t="s">
        <v>54</v>
      </c>
      <c r="Z329">
        <v>707</v>
      </c>
      <c r="AA329">
        <v>0</v>
      </c>
      <c r="AB329">
        <v>0</v>
      </c>
      <c r="AC329">
        <v>0</v>
      </c>
      <c r="AD329">
        <v>0</v>
      </c>
      <c r="AE329" s="3">
        <v>1000</v>
      </c>
      <c r="AF329" t="s">
        <v>195</v>
      </c>
      <c r="AG329" t="s">
        <v>55</v>
      </c>
      <c r="AH329" t="s">
        <v>104</v>
      </c>
      <c r="AI329" t="s">
        <v>56</v>
      </c>
      <c r="AJ329" t="s">
        <v>56</v>
      </c>
      <c r="AK329" s="5">
        <v>46092.418726851851</v>
      </c>
      <c r="AO329" t="s">
        <v>195</v>
      </c>
      <c r="AP329">
        <v>0</v>
      </c>
      <c r="AR329" t="s">
        <v>195</v>
      </c>
      <c r="AS329" t="s">
        <v>195</v>
      </c>
      <c r="AT329">
        <v>4759</v>
      </c>
      <c r="AU329" t="s">
        <v>51</v>
      </c>
    </row>
    <row r="330" spans="1:47" x14ac:dyDescent="0.25">
      <c r="A330" t="s">
        <v>78</v>
      </c>
      <c r="B330" s="1">
        <v>38670</v>
      </c>
      <c r="C330" t="s">
        <v>48</v>
      </c>
      <c r="D330" t="s">
        <v>49</v>
      </c>
      <c r="E330" s="2">
        <v>46092</v>
      </c>
      <c r="F330" t="s">
        <v>134</v>
      </c>
      <c r="G330" t="s">
        <v>76</v>
      </c>
      <c r="H330" s="3">
        <v>2709</v>
      </c>
      <c r="I330" s="3">
        <v>2709</v>
      </c>
      <c r="J330">
        <v>0</v>
      </c>
      <c r="K330" s="3">
        <v>2709</v>
      </c>
      <c r="L330">
        <v>231.6</v>
      </c>
      <c r="M330">
        <v>147.76</v>
      </c>
      <c r="N330" t="s">
        <v>83</v>
      </c>
      <c r="O330" t="s">
        <v>194</v>
      </c>
      <c r="P330" t="s">
        <v>194</v>
      </c>
      <c r="Q330" t="s">
        <v>194</v>
      </c>
      <c r="R330" t="s">
        <v>195</v>
      </c>
      <c r="S330" t="s">
        <v>195</v>
      </c>
      <c r="T330" t="s">
        <v>51</v>
      </c>
      <c r="U330">
        <v>145</v>
      </c>
      <c r="V330" t="s">
        <v>79</v>
      </c>
      <c r="W330" t="s">
        <v>135</v>
      </c>
      <c r="X330" s="4">
        <v>0</v>
      </c>
      <c r="Y330" t="s">
        <v>57</v>
      </c>
    </row>
    <row r="331" spans="1:47" x14ac:dyDescent="0.25">
      <c r="A331" t="s">
        <v>58</v>
      </c>
      <c r="B331">
        <v>0</v>
      </c>
      <c r="C331">
        <v>0</v>
      </c>
      <c r="D331">
        <v>231.6</v>
      </c>
      <c r="E331">
        <v>0</v>
      </c>
      <c r="F331">
        <v>0</v>
      </c>
      <c r="G331">
        <v>150</v>
      </c>
      <c r="H331" t="s">
        <v>195</v>
      </c>
      <c r="I331" t="s">
        <v>55</v>
      </c>
      <c r="J331" t="s">
        <v>107</v>
      </c>
      <c r="K331" t="s">
        <v>65</v>
      </c>
      <c r="L331" t="s">
        <v>65</v>
      </c>
      <c r="M331" s="5">
        <v>46092.491041666668</v>
      </c>
      <c r="Q331" t="s">
        <v>195</v>
      </c>
      <c r="R331">
        <v>0</v>
      </c>
      <c r="T331" t="s">
        <v>195</v>
      </c>
      <c r="U331" t="s">
        <v>195</v>
      </c>
      <c r="V331">
        <v>8632</v>
      </c>
      <c r="W331" t="s">
        <v>51</v>
      </c>
    </row>
    <row r="332" spans="1:47" x14ac:dyDescent="0.25">
      <c r="A332" t="s">
        <v>47</v>
      </c>
      <c r="B332" s="1">
        <v>38671</v>
      </c>
      <c r="C332" t="s">
        <v>48</v>
      </c>
      <c r="D332" t="s">
        <v>49</v>
      </c>
      <c r="E332" s="2">
        <v>46092</v>
      </c>
      <c r="F332" t="s">
        <v>180</v>
      </c>
      <c r="G332" t="s">
        <v>59</v>
      </c>
      <c r="H332" s="3">
        <v>7120</v>
      </c>
      <c r="I332" s="3">
        <v>7120</v>
      </c>
      <c r="J332">
        <v>0</v>
      </c>
      <c r="K332" s="3">
        <v>8188</v>
      </c>
      <c r="L332" s="3">
        <v>1267</v>
      </c>
      <c r="M332">
        <v>435.97</v>
      </c>
      <c r="N332" t="s">
        <v>50</v>
      </c>
      <c r="O332" t="s">
        <v>194</v>
      </c>
      <c r="P332" t="s">
        <v>194</v>
      </c>
      <c r="Q332" t="s">
        <v>194</v>
      </c>
      <c r="R332" t="s">
        <v>195</v>
      </c>
      <c r="S332" t="s">
        <v>195</v>
      </c>
      <c r="T332" t="s">
        <v>51</v>
      </c>
      <c r="U332">
        <v>126</v>
      </c>
      <c r="W332" t="s">
        <v>98</v>
      </c>
      <c r="X332" s="4">
        <v>0</v>
      </c>
      <c r="Y332" t="s">
        <v>57</v>
      </c>
    </row>
    <row r="333" spans="1:47" x14ac:dyDescent="0.25">
      <c r="A333" t="s">
        <v>58</v>
      </c>
      <c r="B333" s="3">
        <v>1267</v>
      </c>
      <c r="C333">
        <v>0</v>
      </c>
      <c r="D333">
        <v>0</v>
      </c>
      <c r="E333">
        <v>0</v>
      </c>
      <c r="F333">
        <v>0</v>
      </c>
      <c r="G333" s="3">
        <v>6000</v>
      </c>
      <c r="H333" t="s">
        <v>195</v>
      </c>
      <c r="I333" t="s">
        <v>55</v>
      </c>
      <c r="K333" t="s">
        <v>56</v>
      </c>
      <c r="L333" t="s">
        <v>56</v>
      </c>
      <c r="M333" s="5">
        <v>46094.474965277775</v>
      </c>
      <c r="Q333" t="s">
        <v>195</v>
      </c>
      <c r="R333">
        <v>0</v>
      </c>
      <c r="T333" t="s">
        <v>195</v>
      </c>
      <c r="U333" t="s">
        <v>195</v>
      </c>
      <c r="V333">
        <v>8892</v>
      </c>
      <c r="W333" t="s">
        <v>51</v>
      </c>
    </row>
    <row r="334" spans="1:47" x14ac:dyDescent="0.25">
      <c r="A334" t="s">
        <v>47</v>
      </c>
      <c r="B334" s="1">
        <v>38672</v>
      </c>
      <c r="C334" t="s">
        <v>48</v>
      </c>
      <c r="D334" t="s">
        <v>49</v>
      </c>
      <c r="E334" s="2">
        <v>46092</v>
      </c>
      <c r="F334" t="s">
        <v>180</v>
      </c>
      <c r="G334" t="s">
        <v>59</v>
      </c>
      <c r="H334" s="3">
        <v>6877</v>
      </c>
      <c r="I334" s="3">
        <v>6877</v>
      </c>
      <c r="J334">
        <v>0</v>
      </c>
      <c r="K334" s="3">
        <v>7908.55</v>
      </c>
      <c r="L334" s="3">
        <v>1249</v>
      </c>
      <c r="M334">
        <v>416.41</v>
      </c>
      <c r="N334" t="s">
        <v>50</v>
      </c>
      <c r="O334" t="s">
        <v>194</v>
      </c>
      <c r="P334" t="s">
        <v>194</v>
      </c>
      <c r="Q334" t="s">
        <v>194</v>
      </c>
      <c r="R334" t="s">
        <v>195</v>
      </c>
      <c r="S334" t="s">
        <v>195</v>
      </c>
      <c r="T334" t="s">
        <v>51</v>
      </c>
      <c r="U334">
        <v>126</v>
      </c>
      <c r="W334" t="s">
        <v>98</v>
      </c>
      <c r="X334" s="4">
        <v>0</v>
      </c>
      <c r="Y334" t="s">
        <v>57</v>
      </c>
    </row>
    <row r="335" spans="1:47" x14ac:dyDescent="0.25">
      <c r="A335" t="s">
        <v>58</v>
      </c>
      <c r="B335" s="3">
        <v>1249</v>
      </c>
      <c r="C335">
        <v>0</v>
      </c>
      <c r="D335">
        <v>0</v>
      </c>
      <c r="E335">
        <v>0</v>
      </c>
      <c r="F335">
        <v>0</v>
      </c>
      <c r="G335" s="3">
        <v>5500</v>
      </c>
      <c r="H335" t="s">
        <v>195</v>
      </c>
      <c r="I335" t="s">
        <v>55</v>
      </c>
      <c r="K335" t="s">
        <v>56</v>
      </c>
      <c r="L335" t="s">
        <v>56</v>
      </c>
      <c r="M335" s="5">
        <v>46094.474780092591</v>
      </c>
      <c r="Q335" t="s">
        <v>195</v>
      </c>
      <c r="R335">
        <v>0</v>
      </c>
      <c r="T335" t="s">
        <v>195</v>
      </c>
      <c r="U335" t="s">
        <v>195</v>
      </c>
      <c r="V335">
        <v>8892</v>
      </c>
      <c r="W335" t="s">
        <v>51</v>
      </c>
    </row>
    <row r="336" spans="1:47" x14ac:dyDescent="0.25">
      <c r="A336" t="s">
        <v>47</v>
      </c>
      <c r="B336" s="1">
        <v>38673</v>
      </c>
      <c r="C336" t="s">
        <v>48</v>
      </c>
      <c r="D336" t="s">
        <v>49</v>
      </c>
      <c r="E336" s="2">
        <v>46092</v>
      </c>
      <c r="F336" t="s">
        <v>111</v>
      </c>
      <c r="G336" t="s">
        <v>91</v>
      </c>
      <c r="H336" s="3">
        <v>4417.5</v>
      </c>
      <c r="I336" s="3">
        <v>4417.5</v>
      </c>
      <c r="J336">
        <v>0</v>
      </c>
      <c r="K336" s="3">
        <v>5080.13</v>
      </c>
      <c r="L336" s="3">
        <v>1001.25</v>
      </c>
      <c r="M336">
        <v>310.39</v>
      </c>
      <c r="N336" t="s">
        <v>50</v>
      </c>
      <c r="O336" t="s">
        <v>194</v>
      </c>
      <c r="P336" t="s">
        <v>194</v>
      </c>
      <c r="Q336" t="s">
        <v>194</v>
      </c>
      <c r="R336" t="s">
        <v>195</v>
      </c>
      <c r="S336" t="s">
        <v>195</v>
      </c>
      <c r="T336" t="s">
        <v>51</v>
      </c>
      <c r="U336">
        <v>126</v>
      </c>
      <c r="V336" t="s">
        <v>52</v>
      </c>
      <c r="W336" t="s">
        <v>64</v>
      </c>
      <c r="X336" s="4">
        <v>0</v>
      </c>
      <c r="Y336" t="s">
        <v>54</v>
      </c>
      <c r="Z336">
        <v>0</v>
      </c>
      <c r="AA336">
        <v>0</v>
      </c>
      <c r="AB336">
        <v>0</v>
      </c>
      <c r="AC336">
        <v>0</v>
      </c>
      <c r="AD336" s="3">
        <v>1001.25</v>
      </c>
      <c r="AE336">
        <v>750</v>
      </c>
      <c r="AF336" t="s">
        <v>195</v>
      </c>
      <c r="AG336" t="s">
        <v>55</v>
      </c>
      <c r="AH336" t="s">
        <v>112</v>
      </c>
      <c r="AI336" t="s">
        <v>56</v>
      </c>
      <c r="AJ336" t="s">
        <v>56</v>
      </c>
      <c r="AK336" s="5">
        <v>46092.554965277777</v>
      </c>
      <c r="AO336" t="s">
        <v>195</v>
      </c>
      <c r="AP336">
        <v>0</v>
      </c>
      <c r="AR336" t="s">
        <v>195</v>
      </c>
      <c r="AS336" t="s">
        <v>195</v>
      </c>
      <c r="AT336">
        <v>6910</v>
      </c>
      <c r="AU336" t="s">
        <v>51</v>
      </c>
    </row>
    <row r="337" spans="1:47" x14ac:dyDescent="0.25">
      <c r="A337" t="s">
        <v>47</v>
      </c>
      <c r="B337" s="1">
        <v>38674</v>
      </c>
      <c r="C337" t="s">
        <v>48</v>
      </c>
      <c r="D337" t="s">
        <v>49</v>
      </c>
      <c r="E337" s="2">
        <v>46092</v>
      </c>
      <c r="F337" t="s">
        <v>181</v>
      </c>
      <c r="G337" t="s">
        <v>73</v>
      </c>
      <c r="H337" s="3">
        <v>6051.5</v>
      </c>
      <c r="I337" s="3">
        <v>6051.5</v>
      </c>
      <c r="J337">
        <v>0</v>
      </c>
      <c r="K337" s="3">
        <v>6959.23</v>
      </c>
      <c r="L337" s="3">
        <v>1006.96</v>
      </c>
      <c r="M337">
        <v>464.2</v>
      </c>
      <c r="N337" t="s">
        <v>50</v>
      </c>
      <c r="O337" t="s">
        <v>194</v>
      </c>
      <c r="P337" t="s">
        <v>194</v>
      </c>
      <c r="Q337" t="s">
        <v>194</v>
      </c>
      <c r="R337" t="s">
        <v>195</v>
      </c>
      <c r="S337" t="s">
        <v>195</v>
      </c>
      <c r="T337" t="s">
        <v>51</v>
      </c>
      <c r="U337">
        <v>126</v>
      </c>
      <c r="V337" t="s">
        <v>52</v>
      </c>
      <c r="W337" t="s">
        <v>77</v>
      </c>
      <c r="X337" s="4">
        <v>0</v>
      </c>
      <c r="Y337" t="s">
        <v>54</v>
      </c>
      <c r="Z337">
        <v>0</v>
      </c>
      <c r="AA337" s="3">
        <v>1006.96</v>
      </c>
      <c r="AB337">
        <v>0</v>
      </c>
      <c r="AC337">
        <v>0</v>
      </c>
      <c r="AD337">
        <v>0</v>
      </c>
      <c r="AE337">
        <v>350</v>
      </c>
      <c r="AF337" t="s">
        <v>195</v>
      </c>
      <c r="AG337" t="s">
        <v>55</v>
      </c>
      <c r="AI337" t="s">
        <v>56</v>
      </c>
      <c r="AJ337" t="s">
        <v>56</v>
      </c>
      <c r="AK337" s="5">
        <v>46094.455509259256</v>
      </c>
      <c r="AO337" t="s">
        <v>195</v>
      </c>
      <c r="AP337">
        <v>0</v>
      </c>
      <c r="AR337" t="s">
        <v>195</v>
      </c>
      <c r="AS337" t="s">
        <v>195</v>
      </c>
      <c r="AT337">
        <v>6614</v>
      </c>
      <c r="AU337" t="s">
        <v>51</v>
      </c>
    </row>
    <row r="338" spans="1:47" x14ac:dyDescent="0.25">
      <c r="A338" t="s">
        <v>47</v>
      </c>
      <c r="B338" s="1">
        <v>38678</v>
      </c>
      <c r="C338" t="s">
        <v>48</v>
      </c>
      <c r="D338" t="s">
        <v>49</v>
      </c>
      <c r="E338" s="2">
        <v>46092</v>
      </c>
      <c r="F338" t="s">
        <v>182</v>
      </c>
      <c r="G338" t="s">
        <v>127</v>
      </c>
      <c r="H338" s="3">
        <v>55792</v>
      </c>
      <c r="I338" s="3">
        <v>55792</v>
      </c>
      <c r="J338">
        <v>0</v>
      </c>
      <c r="K338" s="3">
        <v>64160.800000000003</v>
      </c>
      <c r="L338" s="3">
        <v>6547.2</v>
      </c>
      <c r="M338" s="3">
        <v>4537.22</v>
      </c>
      <c r="N338" t="s">
        <v>183</v>
      </c>
      <c r="O338" t="s">
        <v>194</v>
      </c>
      <c r="P338" t="s">
        <v>194</v>
      </c>
      <c r="Q338" t="s">
        <v>194</v>
      </c>
      <c r="R338" t="s">
        <v>195</v>
      </c>
      <c r="S338" t="s">
        <v>195</v>
      </c>
      <c r="T338" t="s">
        <v>51</v>
      </c>
      <c r="U338">
        <v>41</v>
      </c>
      <c r="V338" t="s">
        <v>75</v>
      </c>
      <c r="W338" t="s">
        <v>77</v>
      </c>
      <c r="X338" s="4">
        <v>0</v>
      </c>
      <c r="Y338" t="s">
        <v>57</v>
      </c>
    </row>
    <row r="339" spans="1:47" x14ac:dyDescent="0.25">
      <c r="A339" t="s">
        <v>58</v>
      </c>
      <c r="B339">
        <v>0</v>
      </c>
      <c r="C339">
        <v>0</v>
      </c>
      <c r="D339" s="3">
        <v>6547.2</v>
      </c>
      <c r="E339">
        <v>0</v>
      </c>
      <c r="F339">
        <v>0</v>
      </c>
      <c r="G339" s="3">
        <v>4400</v>
      </c>
      <c r="H339" t="s">
        <v>195</v>
      </c>
      <c r="I339" t="s">
        <v>55</v>
      </c>
      <c r="K339" t="s">
        <v>163</v>
      </c>
      <c r="L339" t="s">
        <v>75</v>
      </c>
      <c r="M339" s="5">
        <v>46092.608761574076</v>
      </c>
      <c r="Q339" t="s">
        <v>195</v>
      </c>
      <c r="R339">
        <v>0</v>
      </c>
      <c r="T339" t="s">
        <v>195</v>
      </c>
      <c r="U339" t="s">
        <v>195</v>
      </c>
      <c r="V339">
        <v>1274</v>
      </c>
      <c r="W339" t="s">
        <v>51</v>
      </c>
    </row>
    <row r="340" spans="1:47" x14ac:dyDescent="0.25">
      <c r="A340" t="s">
        <v>96</v>
      </c>
      <c r="B340" s="1">
        <v>38680</v>
      </c>
      <c r="C340" t="s">
        <v>48</v>
      </c>
      <c r="D340" t="s">
        <v>49</v>
      </c>
      <c r="E340" s="2">
        <v>46092</v>
      </c>
      <c r="F340" t="s">
        <v>184</v>
      </c>
      <c r="G340" t="s">
        <v>185</v>
      </c>
      <c r="H340" s="3">
        <v>13500</v>
      </c>
      <c r="I340" s="3">
        <v>13500</v>
      </c>
      <c r="J340">
        <v>0</v>
      </c>
      <c r="K340" s="3">
        <v>13500</v>
      </c>
      <c r="L340" s="3">
        <v>3980</v>
      </c>
      <c r="M340" s="3">
        <v>1615.88</v>
      </c>
      <c r="N340" t="s">
        <v>186</v>
      </c>
      <c r="O340" t="s">
        <v>194</v>
      </c>
      <c r="P340" t="s">
        <v>194</v>
      </c>
      <c r="Q340" t="s">
        <v>194</v>
      </c>
      <c r="R340" t="s">
        <v>195</v>
      </c>
      <c r="S340" t="s">
        <v>195</v>
      </c>
      <c r="T340" t="s">
        <v>51</v>
      </c>
      <c r="U340">
        <v>164</v>
      </c>
      <c r="V340" t="s">
        <v>75</v>
      </c>
      <c r="W340" t="s">
        <v>89</v>
      </c>
      <c r="X340" s="4">
        <v>0</v>
      </c>
      <c r="Z340" s="3">
        <v>3980</v>
      </c>
      <c r="AA340">
        <v>0</v>
      </c>
      <c r="AB340">
        <v>0</v>
      </c>
      <c r="AC340">
        <v>0</v>
      </c>
      <c r="AD340">
        <v>0</v>
      </c>
      <c r="AE340" s="3">
        <v>10000</v>
      </c>
      <c r="AF340" t="s">
        <v>195</v>
      </c>
      <c r="AG340" t="s">
        <v>55</v>
      </c>
      <c r="AI340" t="s">
        <v>75</v>
      </c>
      <c r="AJ340" t="s">
        <v>75</v>
      </c>
      <c r="AK340" s="5">
        <v>46094.647094907406</v>
      </c>
      <c r="AO340" t="s">
        <v>195</v>
      </c>
      <c r="AP340">
        <v>0</v>
      </c>
      <c r="AR340" t="s">
        <v>195</v>
      </c>
      <c r="AS340" t="s">
        <v>195</v>
      </c>
      <c r="AT340">
        <v>8890</v>
      </c>
      <c r="AU340" t="s">
        <v>51</v>
      </c>
    </row>
    <row r="341" spans="1:47" x14ac:dyDescent="0.25">
      <c r="A341" t="s">
        <v>47</v>
      </c>
      <c r="B341" s="1">
        <v>38681</v>
      </c>
      <c r="C341" t="s">
        <v>48</v>
      </c>
      <c r="D341" t="s">
        <v>49</v>
      </c>
      <c r="E341" s="2">
        <v>46092</v>
      </c>
      <c r="F341" t="s">
        <v>102</v>
      </c>
      <c r="G341" t="s">
        <v>59</v>
      </c>
      <c r="H341">
        <v>696.2</v>
      </c>
      <c r="I341">
        <v>696.2</v>
      </c>
      <c r="J341">
        <v>0</v>
      </c>
      <c r="K341">
        <v>800.63</v>
      </c>
      <c r="L341">
        <v>71.92</v>
      </c>
      <c r="M341">
        <v>53.8</v>
      </c>
      <c r="N341" t="s">
        <v>70</v>
      </c>
      <c r="O341" t="s">
        <v>194</v>
      </c>
      <c r="P341" t="s">
        <v>194</v>
      </c>
      <c r="Q341" t="s">
        <v>194</v>
      </c>
      <c r="R341" t="s">
        <v>195</v>
      </c>
      <c r="S341" t="s">
        <v>195</v>
      </c>
      <c r="T341" t="s">
        <v>51</v>
      </c>
      <c r="U341">
        <v>9</v>
      </c>
      <c r="V341" t="s">
        <v>63</v>
      </c>
      <c r="W341" t="s">
        <v>53</v>
      </c>
      <c r="X341" s="4">
        <v>0</v>
      </c>
      <c r="Y341" t="s">
        <v>54</v>
      </c>
      <c r="Z341">
        <v>0</v>
      </c>
      <c r="AA341">
        <v>0</v>
      </c>
      <c r="AB341">
        <v>71.92</v>
      </c>
      <c r="AC341">
        <v>0</v>
      </c>
      <c r="AD341">
        <v>0</v>
      </c>
      <c r="AE341">
        <v>20</v>
      </c>
      <c r="AF341" t="s">
        <v>195</v>
      </c>
      <c r="AG341" t="s">
        <v>55</v>
      </c>
      <c r="AI341" t="s">
        <v>65</v>
      </c>
      <c r="AJ341" t="s">
        <v>65</v>
      </c>
      <c r="AK341" s="5">
        <v>46092.723981481482</v>
      </c>
      <c r="AO341" t="s">
        <v>195</v>
      </c>
      <c r="AP341">
        <v>0</v>
      </c>
      <c r="AR341" t="s">
        <v>195</v>
      </c>
      <c r="AS341" t="s">
        <v>195</v>
      </c>
      <c r="AT341">
        <v>1009</v>
      </c>
      <c r="AU341" t="s">
        <v>51</v>
      </c>
    </row>
    <row r="342" spans="1:47" x14ac:dyDescent="0.25">
      <c r="A342" t="s">
        <v>78</v>
      </c>
      <c r="B342" s="1">
        <v>38682</v>
      </c>
      <c r="C342" t="s">
        <v>48</v>
      </c>
      <c r="D342" t="s">
        <v>49</v>
      </c>
      <c r="E342" s="2">
        <v>46092</v>
      </c>
      <c r="F342" t="s">
        <v>155</v>
      </c>
      <c r="G342" t="s">
        <v>127</v>
      </c>
      <c r="H342" s="3">
        <v>1390</v>
      </c>
      <c r="I342" s="3">
        <v>1390</v>
      </c>
      <c r="J342">
        <v>0</v>
      </c>
      <c r="K342" s="3">
        <v>1390</v>
      </c>
      <c r="L342">
        <v>271</v>
      </c>
      <c r="M342">
        <v>105.69</v>
      </c>
      <c r="N342" t="s">
        <v>83</v>
      </c>
      <c r="O342" t="s">
        <v>194</v>
      </c>
      <c r="P342" t="s">
        <v>194</v>
      </c>
      <c r="Q342" t="s">
        <v>194</v>
      </c>
      <c r="R342" t="s">
        <v>195</v>
      </c>
      <c r="S342" t="s">
        <v>195</v>
      </c>
      <c r="T342" t="s">
        <v>51</v>
      </c>
      <c r="U342">
        <v>145</v>
      </c>
      <c r="V342" t="s">
        <v>100</v>
      </c>
      <c r="W342" t="s">
        <v>103</v>
      </c>
      <c r="X342" s="4">
        <v>0</v>
      </c>
      <c r="Y342" t="s">
        <v>57</v>
      </c>
    </row>
    <row r="343" spans="1:47" x14ac:dyDescent="0.25">
      <c r="A343" t="s">
        <v>58</v>
      </c>
      <c r="B343">
        <v>271</v>
      </c>
      <c r="C343">
        <v>0</v>
      </c>
      <c r="D343">
        <v>0</v>
      </c>
      <c r="E343">
        <v>0</v>
      </c>
      <c r="F343">
        <v>0</v>
      </c>
      <c r="G343">
        <v>500</v>
      </c>
      <c r="H343" t="s">
        <v>195</v>
      </c>
      <c r="I343" t="s">
        <v>55</v>
      </c>
      <c r="K343" t="s">
        <v>65</v>
      </c>
      <c r="L343" t="s">
        <v>65</v>
      </c>
      <c r="M343" s="5">
        <v>46092.727453703701</v>
      </c>
      <c r="Q343" t="s">
        <v>195</v>
      </c>
      <c r="R343">
        <v>0</v>
      </c>
      <c r="T343" t="s">
        <v>195</v>
      </c>
      <c r="U343" t="s">
        <v>195</v>
      </c>
      <c r="V343">
        <v>7610</v>
      </c>
      <c r="W343" t="s">
        <v>51</v>
      </c>
    </row>
    <row r="344" spans="1:47" x14ac:dyDescent="0.25">
      <c r="A344" t="s">
        <v>78</v>
      </c>
      <c r="B344" s="1">
        <v>38683</v>
      </c>
      <c r="C344" t="s">
        <v>48</v>
      </c>
      <c r="D344" t="s">
        <v>49</v>
      </c>
      <c r="E344" s="2">
        <v>46093</v>
      </c>
      <c r="F344" t="s">
        <v>105</v>
      </c>
      <c r="G344" t="s">
        <v>61</v>
      </c>
      <c r="H344" s="3">
        <v>6870</v>
      </c>
      <c r="I344" s="3">
        <v>6870</v>
      </c>
      <c r="J344">
        <v>0</v>
      </c>
      <c r="K344" s="3">
        <v>6870</v>
      </c>
      <c r="L344" s="3">
        <v>1207.5</v>
      </c>
      <c r="M344">
        <v>694.31</v>
      </c>
      <c r="N344" t="s">
        <v>50</v>
      </c>
      <c r="O344" t="s">
        <v>194</v>
      </c>
      <c r="P344" t="s">
        <v>194</v>
      </c>
      <c r="Q344" t="s">
        <v>194</v>
      </c>
      <c r="R344" t="s">
        <v>195</v>
      </c>
      <c r="S344" t="s">
        <v>195</v>
      </c>
      <c r="T344" t="s">
        <v>51</v>
      </c>
      <c r="U344">
        <v>126</v>
      </c>
      <c r="V344" t="s">
        <v>52</v>
      </c>
      <c r="W344" t="s">
        <v>103</v>
      </c>
      <c r="X344" s="4">
        <v>0</v>
      </c>
      <c r="Y344" t="s">
        <v>54</v>
      </c>
      <c r="Z344">
        <v>0</v>
      </c>
      <c r="AA344">
        <v>0</v>
      </c>
      <c r="AB344" s="3">
        <v>1207.5</v>
      </c>
      <c r="AC344">
        <v>0</v>
      </c>
      <c r="AD344">
        <v>0</v>
      </c>
      <c r="AE344" s="3">
        <v>1500</v>
      </c>
      <c r="AF344" t="s">
        <v>195</v>
      </c>
      <c r="AG344" t="s">
        <v>55</v>
      </c>
      <c r="AI344" t="s">
        <v>56</v>
      </c>
      <c r="AJ344" t="s">
        <v>56</v>
      </c>
      <c r="AK344" s="5">
        <v>46093.520370370374</v>
      </c>
      <c r="AO344" t="s">
        <v>195</v>
      </c>
      <c r="AP344">
        <v>0</v>
      </c>
      <c r="AR344" t="s">
        <v>195</v>
      </c>
      <c r="AS344" t="s">
        <v>195</v>
      </c>
      <c r="AT344">
        <v>322</v>
      </c>
      <c r="AU344" t="s">
        <v>51</v>
      </c>
    </row>
    <row r="345" spans="1:47" x14ac:dyDescent="0.25">
      <c r="A345" t="s">
        <v>96</v>
      </c>
      <c r="B345" s="1">
        <v>38684</v>
      </c>
      <c r="C345" t="s">
        <v>48</v>
      </c>
      <c r="D345" t="s">
        <v>49</v>
      </c>
      <c r="E345" s="2">
        <v>46093</v>
      </c>
      <c r="F345" t="s">
        <v>121</v>
      </c>
      <c r="G345" t="s">
        <v>122</v>
      </c>
      <c r="H345" s="3">
        <v>25800</v>
      </c>
      <c r="I345" s="3">
        <v>25800</v>
      </c>
      <c r="J345">
        <v>0</v>
      </c>
      <c r="K345" s="3">
        <v>25800</v>
      </c>
      <c r="L345" s="3">
        <v>6175</v>
      </c>
      <c r="M345" s="3">
        <v>1790.75</v>
      </c>
      <c r="N345" t="s">
        <v>66</v>
      </c>
      <c r="O345" t="s">
        <v>194</v>
      </c>
      <c r="P345" t="s">
        <v>194</v>
      </c>
      <c r="Q345" t="s">
        <v>194</v>
      </c>
      <c r="R345" t="s">
        <v>195</v>
      </c>
      <c r="S345" t="s">
        <v>195</v>
      </c>
      <c r="T345" t="s">
        <v>51</v>
      </c>
      <c r="U345">
        <v>83</v>
      </c>
      <c r="W345" t="s">
        <v>87</v>
      </c>
      <c r="X345" s="4">
        <v>0</v>
      </c>
      <c r="Y345" t="s">
        <v>57</v>
      </c>
    </row>
    <row r="346" spans="1:47" x14ac:dyDescent="0.25">
      <c r="A346" t="s">
        <v>58</v>
      </c>
      <c r="B346" s="3">
        <v>6175</v>
      </c>
      <c r="C346">
        <v>0</v>
      </c>
      <c r="D346">
        <v>0</v>
      </c>
      <c r="E346">
        <v>0</v>
      </c>
      <c r="F346">
        <v>0</v>
      </c>
      <c r="G346" s="3">
        <v>15000</v>
      </c>
      <c r="H346" t="s">
        <v>195</v>
      </c>
      <c r="I346" t="s">
        <v>55</v>
      </c>
      <c r="K346" t="s">
        <v>68</v>
      </c>
      <c r="L346" t="s">
        <v>65</v>
      </c>
      <c r="M346" s="5">
        <v>46093.722025462965</v>
      </c>
      <c r="Q346" t="s">
        <v>195</v>
      </c>
      <c r="R346">
        <v>0</v>
      </c>
      <c r="T346" t="s">
        <v>195</v>
      </c>
      <c r="U346" t="s">
        <v>195</v>
      </c>
      <c r="V346">
        <v>4212</v>
      </c>
      <c r="W346" t="s">
        <v>51</v>
      </c>
    </row>
    <row r="347" spans="1:47" x14ac:dyDescent="0.25">
      <c r="A347" t="s">
        <v>47</v>
      </c>
      <c r="B347" s="1">
        <v>38685</v>
      </c>
      <c r="C347" t="s">
        <v>48</v>
      </c>
      <c r="D347" t="s">
        <v>49</v>
      </c>
      <c r="E347" s="2">
        <v>46093</v>
      </c>
      <c r="F347" t="s">
        <v>90</v>
      </c>
      <c r="G347" t="s">
        <v>91</v>
      </c>
      <c r="H347" s="3">
        <v>1774.8</v>
      </c>
      <c r="I347" s="3">
        <v>1774.8</v>
      </c>
      <c r="J347">
        <v>0</v>
      </c>
      <c r="K347" s="3">
        <v>2041.02</v>
      </c>
      <c r="L347">
        <v>273</v>
      </c>
      <c r="M347">
        <v>156.97999999999999</v>
      </c>
      <c r="N347" t="s">
        <v>66</v>
      </c>
      <c r="O347" t="s">
        <v>194</v>
      </c>
      <c r="P347" t="s">
        <v>194</v>
      </c>
      <c r="Q347" t="s">
        <v>194</v>
      </c>
      <c r="R347" t="s">
        <v>195</v>
      </c>
      <c r="S347" t="s">
        <v>195</v>
      </c>
      <c r="T347" t="s">
        <v>51</v>
      </c>
      <c r="U347">
        <v>83</v>
      </c>
      <c r="W347" t="s">
        <v>71</v>
      </c>
      <c r="X347" s="4">
        <v>0</v>
      </c>
      <c r="Y347" t="s">
        <v>54</v>
      </c>
      <c r="Z347">
        <v>0</v>
      </c>
      <c r="AA347">
        <v>0</v>
      </c>
      <c r="AB347">
        <v>273</v>
      </c>
      <c r="AC347">
        <v>0</v>
      </c>
      <c r="AD347">
        <v>0</v>
      </c>
      <c r="AE347">
        <v>120</v>
      </c>
      <c r="AF347" t="s">
        <v>195</v>
      </c>
      <c r="AG347" t="s">
        <v>55</v>
      </c>
      <c r="AI347" t="s">
        <v>68</v>
      </c>
      <c r="AJ347" t="s">
        <v>65</v>
      </c>
      <c r="AK347" s="5">
        <v>46093.721643518518</v>
      </c>
      <c r="AO347" t="s">
        <v>195</v>
      </c>
      <c r="AP347">
        <v>0</v>
      </c>
      <c r="AR347" t="s">
        <v>195</v>
      </c>
      <c r="AS347" t="s">
        <v>195</v>
      </c>
      <c r="AT347">
        <v>4900</v>
      </c>
      <c r="AU347" t="s">
        <v>51</v>
      </c>
    </row>
    <row r="348" spans="1:47" x14ac:dyDescent="0.25">
      <c r="A348" t="s">
        <v>47</v>
      </c>
      <c r="B348" s="1">
        <v>38686</v>
      </c>
      <c r="C348" t="s">
        <v>48</v>
      </c>
      <c r="D348" t="s">
        <v>49</v>
      </c>
      <c r="E348" s="2">
        <v>46093</v>
      </c>
      <c r="F348" t="s">
        <v>90</v>
      </c>
      <c r="G348" t="s">
        <v>91</v>
      </c>
      <c r="H348" s="3">
        <v>1774.8</v>
      </c>
      <c r="I348" s="3">
        <v>1774.8</v>
      </c>
      <c r="J348">
        <v>0</v>
      </c>
      <c r="K348" s="3">
        <v>2041.02</v>
      </c>
      <c r="L348">
        <v>273</v>
      </c>
      <c r="M348">
        <v>156.97999999999999</v>
      </c>
      <c r="N348" t="s">
        <v>66</v>
      </c>
      <c r="O348" t="s">
        <v>194</v>
      </c>
      <c r="P348" t="s">
        <v>194</v>
      </c>
      <c r="Q348" t="s">
        <v>194</v>
      </c>
      <c r="R348" t="s">
        <v>195</v>
      </c>
      <c r="S348" t="s">
        <v>195</v>
      </c>
      <c r="T348" t="s">
        <v>51</v>
      </c>
      <c r="U348">
        <v>83</v>
      </c>
      <c r="W348" t="s">
        <v>71</v>
      </c>
      <c r="X348" s="4">
        <v>0</v>
      </c>
      <c r="Y348" t="s">
        <v>54</v>
      </c>
      <c r="Z348">
        <v>0</v>
      </c>
      <c r="AA348">
        <v>0</v>
      </c>
      <c r="AB348">
        <v>273</v>
      </c>
      <c r="AC348">
        <v>0</v>
      </c>
      <c r="AD348">
        <v>0</v>
      </c>
      <c r="AE348">
        <v>120</v>
      </c>
      <c r="AF348" t="s">
        <v>195</v>
      </c>
      <c r="AG348" t="s">
        <v>55</v>
      </c>
      <c r="AI348" t="s">
        <v>68</v>
      </c>
      <c r="AJ348" t="s">
        <v>65</v>
      </c>
      <c r="AK348" s="5">
        <v>46093.721805555557</v>
      </c>
      <c r="AO348" t="s">
        <v>195</v>
      </c>
      <c r="AP348">
        <v>0</v>
      </c>
      <c r="AR348" t="s">
        <v>195</v>
      </c>
      <c r="AS348" t="s">
        <v>195</v>
      </c>
      <c r="AT348">
        <v>4900</v>
      </c>
      <c r="AU348" t="s">
        <v>51</v>
      </c>
    </row>
    <row r="349" spans="1:47" x14ac:dyDescent="0.25">
      <c r="A349" t="s">
        <v>47</v>
      </c>
      <c r="B349" s="1">
        <v>38687</v>
      </c>
      <c r="C349" t="s">
        <v>48</v>
      </c>
      <c r="D349" t="s">
        <v>49</v>
      </c>
      <c r="E349" s="2">
        <v>46093</v>
      </c>
      <c r="F349" t="s">
        <v>141</v>
      </c>
      <c r="G349" t="s">
        <v>73</v>
      </c>
      <c r="H349" s="3">
        <v>3600</v>
      </c>
      <c r="I349" s="3">
        <v>3600</v>
      </c>
      <c r="J349">
        <v>0</v>
      </c>
      <c r="K349" s="3">
        <v>4140</v>
      </c>
      <c r="L349">
        <v>439</v>
      </c>
      <c r="M349">
        <v>280.08</v>
      </c>
      <c r="N349" t="s">
        <v>50</v>
      </c>
      <c r="O349" t="s">
        <v>194</v>
      </c>
      <c r="P349" t="s">
        <v>194</v>
      </c>
      <c r="Q349" t="s">
        <v>194</v>
      </c>
      <c r="R349" t="s">
        <v>195</v>
      </c>
      <c r="S349" t="s">
        <v>195</v>
      </c>
      <c r="T349" t="s">
        <v>51</v>
      </c>
      <c r="U349">
        <v>126</v>
      </c>
      <c r="V349" t="s">
        <v>52</v>
      </c>
      <c r="W349" t="s">
        <v>77</v>
      </c>
      <c r="X349" s="4">
        <v>0</v>
      </c>
      <c r="Y349" t="s">
        <v>54</v>
      </c>
      <c r="Z349">
        <v>0</v>
      </c>
      <c r="AA349">
        <v>0</v>
      </c>
      <c r="AB349">
        <v>439</v>
      </c>
      <c r="AC349">
        <v>0</v>
      </c>
      <c r="AD349">
        <v>0</v>
      </c>
      <c r="AE349">
        <v>500</v>
      </c>
      <c r="AF349" t="s">
        <v>195</v>
      </c>
      <c r="AG349" t="s">
        <v>55</v>
      </c>
      <c r="AI349" t="s">
        <v>75</v>
      </c>
      <c r="AJ349" t="s">
        <v>75</v>
      </c>
      <c r="AK349" s="5">
        <v>46093.718842592592</v>
      </c>
      <c r="AO349" t="s">
        <v>195</v>
      </c>
      <c r="AP349">
        <v>0</v>
      </c>
      <c r="AR349" t="s">
        <v>195</v>
      </c>
      <c r="AS349" t="s">
        <v>195</v>
      </c>
      <c r="AT349">
        <v>7224</v>
      </c>
      <c r="AU349" t="s">
        <v>51</v>
      </c>
    </row>
    <row r="350" spans="1:47" x14ac:dyDescent="0.25">
      <c r="A350" t="s">
        <v>78</v>
      </c>
      <c r="B350" s="1">
        <v>38688</v>
      </c>
      <c r="C350" t="s">
        <v>48</v>
      </c>
      <c r="D350" t="s">
        <v>49</v>
      </c>
      <c r="E350" s="2">
        <v>46094</v>
      </c>
      <c r="F350" t="s">
        <v>161</v>
      </c>
      <c r="G350" t="s">
        <v>73</v>
      </c>
      <c r="H350" s="3">
        <v>7725</v>
      </c>
      <c r="I350" s="3">
        <v>7725</v>
      </c>
      <c r="J350">
        <v>0</v>
      </c>
      <c r="K350" s="3">
        <v>7725</v>
      </c>
      <c r="L350" s="3">
        <v>1210.5</v>
      </c>
      <c r="M350">
        <v>762.62</v>
      </c>
      <c r="N350" t="s">
        <v>50</v>
      </c>
      <c r="O350" t="s">
        <v>194</v>
      </c>
      <c r="P350" t="s">
        <v>194</v>
      </c>
      <c r="Q350" t="s">
        <v>194</v>
      </c>
      <c r="R350" t="s">
        <v>195</v>
      </c>
      <c r="S350" t="s">
        <v>195</v>
      </c>
      <c r="T350" t="s">
        <v>51</v>
      </c>
      <c r="U350">
        <v>126</v>
      </c>
      <c r="V350" t="s">
        <v>52</v>
      </c>
      <c r="W350" t="s">
        <v>162</v>
      </c>
      <c r="X350" s="4">
        <v>0</v>
      </c>
      <c r="Y350" t="s">
        <v>54</v>
      </c>
      <c r="Z350">
        <v>0</v>
      </c>
      <c r="AA350">
        <v>0</v>
      </c>
      <c r="AB350" s="3">
        <v>1210.5</v>
      </c>
      <c r="AC350">
        <v>0</v>
      </c>
      <c r="AD350">
        <v>0</v>
      </c>
      <c r="AE350" s="3">
        <v>1500</v>
      </c>
      <c r="AF350" t="s">
        <v>195</v>
      </c>
      <c r="AG350" t="s">
        <v>55</v>
      </c>
      <c r="AH350" t="s">
        <v>101</v>
      </c>
      <c r="AI350" t="s">
        <v>56</v>
      </c>
      <c r="AJ350" t="s">
        <v>56</v>
      </c>
      <c r="AK350" s="5">
        <v>46094.498877314814</v>
      </c>
      <c r="AO350" t="s">
        <v>195</v>
      </c>
      <c r="AP350">
        <v>0</v>
      </c>
      <c r="AR350" t="s">
        <v>195</v>
      </c>
      <c r="AS350" t="s">
        <v>195</v>
      </c>
      <c r="AT350">
        <v>5603</v>
      </c>
      <c r="AU350" t="s">
        <v>51</v>
      </c>
    </row>
    <row r="351" spans="1:47" x14ac:dyDescent="0.25">
      <c r="A351" t="s">
        <v>69</v>
      </c>
      <c r="B351" s="1">
        <v>38690</v>
      </c>
      <c r="C351" t="s">
        <v>48</v>
      </c>
      <c r="D351" t="s">
        <v>49</v>
      </c>
      <c r="E351" s="2">
        <v>46097</v>
      </c>
      <c r="F351" t="s">
        <v>139</v>
      </c>
      <c r="G351" t="s">
        <v>72</v>
      </c>
      <c r="H351" s="3">
        <v>6280</v>
      </c>
      <c r="I351" s="3">
        <v>6280</v>
      </c>
      <c r="J351">
        <v>0</v>
      </c>
      <c r="K351" s="3">
        <v>6280</v>
      </c>
      <c r="L351" s="3">
        <v>1184</v>
      </c>
      <c r="M351">
        <v>710.4</v>
      </c>
      <c r="N351" t="s">
        <v>66</v>
      </c>
      <c r="O351" t="s">
        <v>194</v>
      </c>
      <c r="P351" t="s">
        <v>194</v>
      </c>
      <c r="Q351" t="s">
        <v>194</v>
      </c>
      <c r="R351" t="s">
        <v>195</v>
      </c>
      <c r="S351" t="s">
        <v>195</v>
      </c>
      <c r="T351" t="s">
        <v>51</v>
      </c>
      <c r="U351">
        <v>83</v>
      </c>
      <c r="V351" t="s">
        <v>52</v>
      </c>
      <c r="W351">
        <v>0</v>
      </c>
      <c r="X351" s="4">
        <v>0</v>
      </c>
      <c r="Y351" t="s">
        <v>54</v>
      </c>
      <c r="Z351">
        <v>0</v>
      </c>
      <c r="AA351">
        <v>0</v>
      </c>
      <c r="AB351" s="3">
        <v>1184</v>
      </c>
      <c r="AC351">
        <v>0</v>
      </c>
      <c r="AD351">
        <v>0</v>
      </c>
      <c r="AE351" s="3">
        <v>2000</v>
      </c>
      <c r="AF351" t="s">
        <v>195</v>
      </c>
      <c r="AG351" t="s">
        <v>55</v>
      </c>
      <c r="AI351" t="s">
        <v>68</v>
      </c>
      <c r="AJ351" t="s">
        <v>65</v>
      </c>
      <c r="AK351" s="5">
        <v>46097.585601851853</v>
      </c>
      <c r="AO351" t="s">
        <v>195</v>
      </c>
      <c r="AP351">
        <v>0</v>
      </c>
      <c r="AR351" t="s">
        <v>195</v>
      </c>
      <c r="AS351" t="s">
        <v>195</v>
      </c>
      <c r="AT351">
        <v>5289</v>
      </c>
      <c r="AU351" t="s">
        <v>51</v>
      </c>
    </row>
    <row r="352" spans="1:47" x14ac:dyDescent="0.25">
      <c r="A352" t="s">
        <v>69</v>
      </c>
      <c r="B352" s="1">
        <v>38691</v>
      </c>
      <c r="C352" t="s">
        <v>48</v>
      </c>
      <c r="D352" t="s">
        <v>49</v>
      </c>
      <c r="E352" s="2">
        <v>46097</v>
      </c>
      <c r="F352" t="s">
        <v>139</v>
      </c>
      <c r="G352" t="s">
        <v>72</v>
      </c>
      <c r="H352" s="3">
        <v>6280</v>
      </c>
      <c r="I352" s="3">
        <v>6280</v>
      </c>
      <c r="J352">
        <v>0</v>
      </c>
      <c r="K352" s="3">
        <v>6280</v>
      </c>
      <c r="L352" s="3">
        <v>1184</v>
      </c>
      <c r="M352">
        <v>710.4</v>
      </c>
      <c r="N352" t="s">
        <v>66</v>
      </c>
      <c r="O352" t="s">
        <v>194</v>
      </c>
      <c r="P352" t="s">
        <v>194</v>
      </c>
      <c r="Q352" t="s">
        <v>194</v>
      </c>
      <c r="R352" t="s">
        <v>195</v>
      </c>
      <c r="S352" t="s">
        <v>195</v>
      </c>
      <c r="T352" t="s">
        <v>51</v>
      </c>
      <c r="U352">
        <v>83</v>
      </c>
      <c r="V352" t="s">
        <v>52</v>
      </c>
      <c r="W352">
        <v>0</v>
      </c>
      <c r="X352" s="4">
        <v>0</v>
      </c>
      <c r="Y352" t="s">
        <v>54</v>
      </c>
      <c r="Z352">
        <v>0</v>
      </c>
      <c r="AA352">
        <v>0</v>
      </c>
      <c r="AB352" s="3">
        <v>1184</v>
      </c>
      <c r="AC352">
        <v>0</v>
      </c>
      <c r="AD352">
        <v>0</v>
      </c>
      <c r="AE352" s="3">
        <v>2000</v>
      </c>
      <c r="AF352" t="s">
        <v>195</v>
      </c>
      <c r="AG352" t="s">
        <v>55</v>
      </c>
      <c r="AI352" t="s">
        <v>68</v>
      </c>
      <c r="AJ352" t="s">
        <v>65</v>
      </c>
      <c r="AK352" s="5">
        <v>46097.585729166669</v>
      </c>
      <c r="AO352" t="s">
        <v>195</v>
      </c>
      <c r="AP352">
        <v>0</v>
      </c>
      <c r="AR352" t="s">
        <v>195</v>
      </c>
      <c r="AS352" t="s">
        <v>195</v>
      </c>
      <c r="AT352">
        <v>5289</v>
      </c>
      <c r="AU352" t="s">
        <v>51</v>
      </c>
    </row>
    <row r="353" spans="1:47" x14ac:dyDescent="0.25">
      <c r="A353" t="s">
        <v>69</v>
      </c>
      <c r="B353" s="1">
        <v>38692</v>
      </c>
      <c r="C353" t="s">
        <v>48</v>
      </c>
      <c r="D353" t="s">
        <v>49</v>
      </c>
      <c r="E353" s="2">
        <v>46097</v>
      </c>
      <c r="F353" t="s">
        <v>139</v>
      </c>
      <c r="G353" t="s">
        <v>72</v>
      </c>
      <c r="H353" s="3">
        <v>2460</v>
      </c>
      <c r="I353" s="3">
        <v>2460</v>
      </c>
      <c r="J353">
        <v>0</v>
      </c>
      <c r="K353" s="3">
        <v>2460</v>
      </c>
      <c r="L353">
        <v>667</v>
      </c>
      <c r="M353">
        <v>216.78</v>
      </c>
      <c r="N353" t="s">
        <v>66</v>
      </c>
      <c r="O353" t="s">
        <v>194</v>
      </c>
      <c r="P353" t="s">
        <v>194</v>
      </c>
      <c r="Q353" t="s">
        <v>194</v>
      </c>
      <c r="R353" t="s">
        <v>195</v>
      </c>
      <c r="S353" t="s">
        <v>195</v>
      </c>
      <c r="T353" t="s">
        <v>51</v>
      </c>
      <c r="U353">
        <v>83</v>
      </c>
      <c r="V353" t="s">
        <v>52</v>
      </c>
      <c r="W353">
        <v>0</v>
      </c>
      <c r="X353" s="4">
        <v>0</v>
      </c>
      <c r="Y353" t="s">
        <v>54</v>
      </c>
      <c r="Z353">
        <v>667</v>
      </c>
      <c r="AA353">
        <v>0</v>
      </c>
      <c r="AB353">
        <v>0</v>
      </c>
      <c r="AC353">
        <v>0</v>
      </c>
      <c r="AD353">
        <v>0</v>
      </c>
      <c r="AE353" s="3">
        <v>1000</v>
      </c>
      <c r="AF353" t="s">
        <v>195</v>
      </c>
      <c r="AG353" t="s">
        <v>55</v>
      </c>
      <c r="AI353" t="s">
        <v>68</v>
      </c>
      <c r="AJ353" t="s">
        <v>65</v>
      </c>
      <c r="AK353" s="5">
        <v>46097.585914351854</v>
      </c>
      <c r="AO353" t="s">
        <v>195</v>
      </c>
      <c r="AP353">
        <v>0</v>
      </c>
      <c r="AR353" t="s">
        <v>195</v>
      </c>
      <c r="AS353" t="s">
        <v>195</v>
      </c>
      <c r="AT353">
        <v>5289</v>
      </c>
      <c r="AU353" t="s">
        <v>51</v>
      </c>
    </row>
    <row r="354" spans="1:47" x14ac:dyDescent="0.25">
      <c r="A354" t="s">
        <v>78</v>
      </c>
      <c r="B354" s="1">
        <v>38694</v>
      </c>
      <c r="C354" t="s">
        <v>48</v>
      </c>
      <c r="D354" t="s">
        <v>49</v>
      </c>
      <c r="E354" s="2">
        <v>46097</v>
      </c>
      <c r="F354" t="s">
        <v>155</v>
      </c>
      <c r="G354" t="s">
        <v>127</v>
      </c>
      <c r="H354" s="3">
        <v>1390</v>
      </c>
      <c r="I354" s="3">
        <v>1390</v>
      </c>
      <c r="J354">
        <v>0</v>
      </c>
      <c r="K354" s="3">
        <v>1390</v>
      </c>
      <c r="L354">
        <v>271</v>
      </c>
      <c r="M354">
        <v>105.69</v>
      </c>
      <c r="N354" t="s">
        <v>83</v>
      </c>
      <c r="O354" t="s">
        <v>194</v>
      </c>
      <c r="P354" t="s">
        <v>194</v>
      </c>
      <c r="Q354" t="s">
        <v>194</v>
      </c>
      <c r="R354" t="s">
        <v>195</v>
      </c>
      <c r="S354" t="s">
        <v>195</v>
      </c>
      <c r="T354" t="s">
        <v>51</v>
      </c>
      <c r="U354">
        <v>145</v>
      </c>
      <c r="V354" t="s">
        <v>100</v>
      </c>
      <c r="W354" t="s">
        <v>103</v>
      </c>
      <c r="X354" s="4">
        <v>0</v>
      </c>
      <c r="Y354" t="s">
        <v>57</v>
      </c>
    </row>
    <row r="355" spans="1:47" x14ac:dyDescent="0.25">
      <c r="A355" t="s">
        <v>58</v>
      </c>
      <c r="B355">
        <v>271</v>
      </c>
      <c r="C355">
        <v>0</v>
      </c>
      <c r="D355">
        <v>0</v>
      </c>
      <c r="E355">
        <v>0</v>
      </c>
      <c r="F355">
        <v>0</v>
      </c>
      <c r="G355">
        <v>500</v>
      </c>
      <c r="H355" t="s">
        <v>195</v>
      </c>
      <c r="I355" t="s">
        <v>55</v>
      </c>
      <c r="K355" t="s">
        <v>65</v>
      </c>
      <c r="L355" t="s">
        <v>65</v>
      </c>
      <c r="M355" s="5">
        <v>46097.580416666664</v>
      </c>
      <c r="Q355" t="s">
        <v>195</v>
      </c>
      <c r="R355">
        <v>0</v>
      </c>
      <c r="T355" t="s">
        <v>195</v>
      </c>
      <c r="U355" t="s">
        <v>195</v>
      </c>
      <c r="V355">
        <v>7610</v>
      </c>
      <c r="W355" t="s">
        <v>51</v>
      </c>
    </row>
    <row r="356" spans="1:47" x14ac:dyDescent="0.25">
      <c r="A356" t="s">
        <v>78</v>
      </c>
      <c r="B356" s="1">
        <v>38695</v>
      </c>
      <c r="C356" t="s">
        <v>48</v>
      </c>
      <c r="D356" t="s">
        <v>49</v>
      </c>
      <c r="E356" s="2">
        <v>46097</v>
      </c>
      <c r="F356" t="s">
        <v>113</v>
      </c>
      <c r="G356" t="s">
        <v>73</v>
      </c>
      <c r="H356" s="3">
        <v>5700</v>
      </c>
      <c r="I356" s="3">
        <v>5700</v>
      </c>
      <c r="J356">
        <v>0</v>
      </c>
      <c r="K356" s="3">
        <v>5700</v>
      </c>
      <c r="L356">
        <v>918</v>
      </c>
      <c r="M356">
        <v>477.36</v>
      </c>
      <c r="N356" t="s">
        <v>50</v>
      </c>
      <c r="O356" t="s">
        <v>194</v>
      </c>
      <c r="P356" t="s">
        <v>194</v>
      </c>
      <c r="Q356" t="s">
        <v>194</v>
      </c>
      <c r="R356" t="s">
        <v>195</v>
      </c>
      <c r="S356" t="s">
        <v>195</v>
      </c>
      <c r="T356" t="s">
        <v>51</v>
      </c>
      <c r="U356">
        <v>126</v>
      </c>
      <c r="V356" t="s">
        <v>52</v>
      </c>
      <c r="W356" t="s">
        <v>74</v>
      </c>
      <c r="X356" s="4">
        <v>0</v>
      </c>
      <c r="Y356" t="s">
        <v>57</v>
      </c>
    </row>
    <row r="357" spans="1:47" x14ac:dyDescent="0.25">
      <c r="A357" t="s">
        <v>58</v>
      </c>
      <c r="B357">
        <v>0</v>
      </c>
      <c r="C357">
        <v>0</v>
      </c>
      <c r="D357">
        <v>0</v>
      </c>
      <c r="E357">
        <v>0</v>
      </c>
      <c r="F357">
        <v>918</v>
      </c>
      <c r="G357" s="3">
        <v>2000</v>
      </c>
      <c r="H357" t="s">
        <v>195</v>
      </c>
      <c r="I357" t="s">
        <v>55</v>
      </c>
      <c r="K357" t="s">
        <v>56</v>
      </c>
      <c r="L357" t="s">
        <v>56</v>
      </c>
      <c r="M357" s="5">
        <v>46097.631504629629</v>
      </c>
      <c r="Q357" t="s">
        <v>195</v>
      </c>
      <c r="R357">
        <v>0</v>
      </c>
      <c r="T357" t="s">
        <v>195</v>
      </c>
      <c r="U357" t="s">
        <v>195</v>
      </c>
      <c r="V357">
        <v>8070</v>
      </c>
      <c r="W357" t="s">
        <v>51</v>
      </c>
    </row>
    <row r="358" spans="1:47" x14ac:dyDescent="0.25">
      <c r="A358" t="s">
        <v>78</v>
      </c>
      <c r="B358" s="1">
        <v>38696</v>
      </c>
      <c r="C358" t="s">
        <v>48</v>
      </c>
      <c r="D358" t="s">
        <v>49</v>
      </c>
      <c r="E358" s="2">
        <v>46097</v>
      </c>
      <c r="F358" t="s">
        <v>97</v>
      </c>
      <c r="G358" t="s">
        <v>76</v>
      </c>
      <c r="H358" s="3">
        <v>8082</v>
      </c>
      <c r="I358" s="3">
        <v>8082</v>
      </c>
      <c r="J358">
        <v>0</v>
      </c>
      <c r="K358" s="3">
        <v>8082</v>
      </c>
      <c r="L358" s="3">
        <v>2114.1999999999998</v>
      </c>
      <c r="M358">
        <v>613.12</v>
      </c>
      <c r="N358" t="s">
        <v>83</v>
      </c>
      <c r="O358" t="s">
        <v>194</v>
      </c>
      <c r="P358" t="s">
        <v>194</v>
      </c>
      <c r="Q358" t="s">
        <v>194</v>
      </c>
      <c r="R358" t="s">
        <v>195</v>
      </c>
      <c r="S358" t="s">
        <v>195</v>
      </c>
      <c r="T358" t="s">
        <v>51</v>
      </c>
      <c r="U358">
        <v>145</v>
      </c>
      <c r="W358" t="s">
        <v>98</v>
      </c>
      <c r="X358" s="4">
        <v>0</v>
      </c>
      <c r="Y358" t="s">
        <v>57</v>
      </c>
    </row>
    <row r="359" spans="1:47" x14ac:dyDescent="0.25">
      <c r="A359" t="s">
        <v>58</v>
      </c>
      <c r="B359" s="3">
        <v>2114.1999999999998</v>
      </c>
      <c r="C359">
        <v>0</v>
      </c>
      <c r="D359">
        <v>0</v>
      </c>
      <c r="E359">
        <v>0</v>
      </c>
      <c r="F359">
        <v>0</v>
      </c>
      <c r="G359" s="3">
        <v>4000</v>
      </c>
      <c r="H359" t="s">
        <v>195</v>
      </c>
      <c r="I359" t="s">
        <v>55</v>
      </c>
      <c r="J359" t="s">
        <v>99</v>
      </c>
      <c r="K359" t="s">
        <v>65</v>
      </c>
      <c r="L359" t="s">
        <v>65</v>
      </c>
      <c r="M359" s="5">
        <v>46097.737141203703</v>
      </c>
      <c r="Q359" t="s">
        <v>195</v>
      </c>
      <c r="R359">
        <v>0</v>
      </c>
      <c r="T359" t="s">
        <v>195</v>
      </c>
      <c r="U359" t="s">
        <v>195</v>
      </c>
      <c r="V359">
        <v>8241</v>
      </c>
      <c r="W359" t="s">
        <v>51</v>
      </c>
    </row>
    <row r="360" spans="1:47" x14ac:dyDescent="0.25">
      <c r="A360" t="s">
        <v>78</v>
      </c>
      <c r="B360" s="1">
        <v>38697</v>
      </c>
      <c r="C360" t="s">
        <v>48</v>
      </c>
      <c r="D360" t="s">
        <v>49</v>
      </c>
      <c r="E360" s="2">
        <v>46098</v>
      </c>
      <c r="F360" t="s">
        <v>164</v>
      </c>
      <c r="G360" t="s">
        <v>165</v>
      </c>
      <c r="H360" s="3">
        <v>7520</v>
      </c>
      <c r="I360" s="3">
        <v>7520</v>
      </c>
      <c r="J360">
        <v>0</v>
      </c>
      <c r="K360" s="3">
        <v>7520</v>
      </c>
      <c r="L360" s="3">
        <v>1944</v>
      </c>
      <c r="M360">
        <v>631.79999999999995</v>
      </c>
      <c r="N360" t="s">
        <v>50</v>
      </c>
      <c r="O360" t="s">
        <v>194</v>
      </c>
      <c r="P360" t="s">
        <v>194</v>
      </c>
      <c r="Q360" t="s">
        <v>194</v>
      </c>
      <c r="R360" t="s">
        <v>195</v>
      </c>
      <c r="S360" t="s">
        <v>195</v>
      </c>
      <c r="T360" t="s">
        <v>51</v>
      </c>
      <c r="U360">
        <v>126</v>
      </c>
      <c r="V360" t="s">
        <v>52</v>
      </c>
      <c r="W360" t="s">
        <v>166</v>
      </c>
      <c r="X360" s="4">
        <v>0</v>
      </c>
      <c r="Y360" t="s">
        <v>167</v>
      </c>
    </row>
    <row r="361" spans="1:47" x14ac:dyDescent="0.25">
      <c r="A361" t="s">
        <v>57</v>
      </c>
      <c r="M361"/>
    </row>
    <row r="362" spans="1:47" x14ac:dyDescent="0.25">
      <c r="A362" t="s">
        <v>58</v>
      </c>
      <c r="B362" s="3">
        <v>1944</v>
      </c>
      <c r="C362">
        <v>0</v>
      </c>
      <c r="D362">
        <v>0</v>
      </c>
      <c r="E362">
        <v>0</v>
      </c>
      <c r="F362">
        <v>0</v>
      </c>
      <c r="G362" s="3">
        <v>4000</v>
      </c>
      <c r="H362" t="s">
        <v>195</v>
      </c>
      <c r="I362" t="s">
        <v>55</v>
      </c>
      <c r="K362" t="s">
        <v>56</v>
      </c>
      <c r="L362" t="s">
        <v>56</v>
      </c>
      <c r="M362" s="5">
        <v>46098.513553240744</v>
      </c>
      <c r="Q362" t="s">
        <v>195</v>
      </c>
      <c r="R362">
        <v>0</v>
      </c>
      <c r="T362" t="s">
        <v>195</v>
      </c>
      <c r="U362" t="s">
        <v>195</v>
      </c>
      <c r="V362">
        <v>482</v>
      </c>
      <c r="W362" t="s">
        <v>51</v>
      </c>
    </row>
    <row r="363" spans="1:47" x14ac:dyDescent="0.25">
      <c r="A363" t="s">
        <v>47</v>
      </c>
      <c r="B363" s="1">
        <v>38698</v>
      </c>
      <c r="C363" t="s">
        <v>48</v>
      </c>
      <c r="D363" t="s">
        <v>49</v>
      </c>
      <c r="E363" s="2">
        <v>46098</v>
      </c>
      <c r="F363" t="s">
        <v>84</v>
      </c>
      <c r="G363" t="s">
        <v>61</v>
      </c>
      <c r="H363" s="3">
        <v>15300</v>
      </c>
      <c r="I363" s="3">
        <v>15300</v>
      </c>
      <c r="J363">
        <v>0</v>
      </c>
      <c r="K363" s="3">
        <v>17595</v>
      </c>
      <c r="L363" s="3">
        <v>3492</v>
      </c>
      <c r="M363" s="3">
        <v>1361.88</v>
      </c>
      <c r="N363" t="s">
        <v>50</v>
      </c>
      <c r="O363" t="s">
        <v>194</v>
      </c>
      <c r="P363" t="s">
        <v>194</v>
      </c>
      <c r="Q363" t="s">
        <v>194</v>
      </c>
      <c r="R363" t="s">
        <v>195</v>
      </c>
      <c r="S363" t="s">
        <v>195</v>
      </c>
      <c r="T363" t="s">
        <v>51</v>
      </c>
      <c r="U363">
        <v>126</v>
      </c>
      <c r="V363" t="s">
        <v>52</v>
      </c>
      <c r="W363" t="s">
        <v>77</v>
      </c>
      <c r="X363" s="4">
        <v>0</v>
      </c>
      <c r="Y363" t="s">
        <v>54</v>
      </c>
      <c r="Z363" s="3">
        <v>3492</v>
      </c>
      <c r="AA363">
        <v>0</v>
      </c>
      <c r="AB363">
        <v>0</v>
      </c>
      <c r="AC363">
        <v>0</v>
      </c>
      <c r="AD363">
        <v>0</v>
      </c>
      <c r="AE363" s="3">
        <v>3000</v>
      </c>
      <c r="AF363" t="s">
        <v>195</v>
      </c>
      <c r="AG363" t="s">
        <v>55</v>
      </c>
      <c r="AI363" t="s">
        <v>56</v>
      </c>
      <c r="AJ363" t="s">
        <v>56</v>
      </c>
      <c r="AK363" s="5">
        <v>46098.563680555555</v>
      </c>
      <c r="AO363" t="s">
        <v>195</v>
      </c>
      <c r="AP363">
        <v>0</v>
      </c>
      <c r="AR363" t="s">
        <v>195</v>
      </c>
      <c r="AS363" t="s">
        <v>195</v>
      </c>
      <c r="AT363">
        <v>1877</v>
      </c>
      <c r="AU363" t="s">
        <v>51</v>
      </c>
    </row>
    <row r="364" spans="1:47" x14ac:dyDescent="0.25">
      <c r="A364" t="s">
        <v>78</v>
      </c>
      <c r="B364" s="1">
        <v>38699</v>
      </c>
      <c r="C364" t="s">
        <v>48</v>
      </c>
      <c r="D364" t="s">
        <v>49</v>
      </c>
      <c r="E364" s="2">
        <v>46098</v>
      </c>
      <c r="F364" t="s">
        <v>188</v>
      </c>
      <c r="G364" t="s">
        <v>61</v>
      </c>
      <c r="H364" s="3">
        <v>10918</v>
      </c>
      <c r="I364" s="3">
        <v>10918</v>
      </c>
      <c r="J364">
        <v>0</v>
      </c>
      <c r="K364" s="3">
        <v>10918</v>
      </c>
      <c r="L364" s="3">
        <v>1361.66</v>
      </c>
      <c r="M364">
        <v>708.06</v>
      </c>
      <c r="N364" t="s">
        <v>50</v>
      </c>
      <c r="O364" t="s">
        <v>194</v>
      </c>
      <c r="P364" t="s">
        <v>194</v>
      </c>
      <c r="Q364" t="s">
        <v>194</v>
      </c>
      <c r="R364" t="s">
        <v>195</v>
      </c>
      <c r="S364" t="s">
        <v>195</v>
      </c>
      <c r="T364" t="s">
        <v>51</v>
      </c>
      <c r="U364">
        <v>126</v>
      </c>
      <c r="V364" t="s">
        <v>52</v>
      </c>
      <c r="W364" t="s">
        <v>179</v>
      </c>
      <c r="X364" s="4">
        <v>0</v>
      </c>
      <c r="Y364" t="s">
        <v>57</v>
      </c>
    </row>
    <row r="365" spans="1:47" x14ac:dyDescent="0.25">
      <c r="A365" t="s">
        <v>58</v>
      </c>
      <c r="B365">
        <v>0</v>
      </c>
      <c r="C365">
        <v>0</v>
      </c>
      <c r="D365">
        <v>0</v>
      </c>
      <c r="E365">
        <v>0</v>
      </c>
      <c r="F365" s="3">
        <v>1361.66</v>
      </c>
      <c r="G365" s="3">
        <v>2060</v>
      </c>
      <c r="H365" t="s">
        <v>195</v>
      </c>
      <c r="I365" t="s">
        <v>55</v>
      </c>
      <c r="J365" t="s">
        <v>107</v>
      </c>
      <c r="K365" t="s">
        <v>56</v>
      </c>
      <c r="L365" t="s">
        <v>65</v>
      </c>
      <c r="M365" s="5">
        <v>46098.637118055558</v>
      </c>
      <c r="Q365" t="s">
        <v>195</v>
      </c>
      <c r="R365">
        <v>0</v>
      </c>
      <c r="T365" t="s">
        <v>195</v>
      </c>
      <c r="U365" t="s">
        <v>195</v>
      </c>
      <c r="V365">
        <v>8456</v>
      </c>
      <c r="W365" t="s">
        <v>51</v>
      </c>
    </row>
    <row r="366" spans="1:47" x14ac:dyDescent="0.25">
      <c r="A366" t="s">
        <v>47</v>
      </c>
      <c r="B366" s="1">
        <v>38700</v>
      </c>
      <c r="C366" t="s">
        <v>48</v>
      </c>
      <c r="D366" t="s">
        <v>49</v>
      </c>
      <c r="E366" s="2">
        <v>46098</v>
      </c>
      <c r="F366" t="s">
        <v>187</v>
      </c>
      <c r="G366" t="s">
        <v>73</v>
      </c>
      <c r="H366" s="3">
        <v>33350</v>
      </c>
      <c r="I366" s="3">
        <v>33350</v>
      </c>
      <c r="J366">
        <v>0</v>
      </c>
      <c r="K366" s="3">
        <v>38352.5</v>
      </c>
      <c r="L366" s="3">
        <v>5077.5</v>
      </c>
      <c r="M366" s="3">
        <v>3239.45</v>
      </c>
      <c r="N366" t="s">
        <v>50</v>
      </c>
      <c r="O366" t="s">
        <v>194</v>
      </c>
      <c r="P366" t="s">
        <v>194</v>
      </c>
      <c r="Q366" t="s">
        <v>194</v>
      </c>
      <c r="R366" t="s">
        <v>195</v>
      </c>
      <c r="S366" t="s">
        <v>195</v>
      </c>
      <c r="T366" t="s">
        <v>51</v>
      </c>
      <c r="U366">
        <v>126</v>
      </c>
      <c r="V366" t="s">
        <v>52</v>
      </c>
      <c r="W366" t="s">
        <v>77</v>
      </c>
      <c r="X366" s="4">
        <v>0</v>
      </c>
      <c r="Y366" t="s">
        <v>57</v>
      </c>
    </row>
    <row r="367" spans="1:47" x14ac:dyDescent="0.25">
      <c r="A367" t="s">
        <v>58</v>
      </c>
      <c r="B367">
        <v>0</v>
      </c>
      <c r="C367">
        <v>0</v>
      </c>
      <c r="D367" s="3">
        <v>5077.5</v>
      </c>
      <c r="E367">
        <v>0</v>
      </c>
      <c r="F367">
        <v>0</v>
      </c>
      <c r="G367" s="3">
        <v>2500</v>
      </c>
      <c r="H367" t="s">
        <v>195</v>
      </c>
      <c r="I367" t="s">
        <v>55</v>
      </c>
      <c r="J367" t="s">
        <v>101</v>
      </c>
      <c r="K367" t="s">
        <v>56</v>
      </c>
      <c r="L367" t="s">
        <v>56</v>
      </c>
      <c r="M367" s="5">
        <v>46098.572511574072</v>
      </c>
      <c r="Q367" t="s">
        <v>195</v>
      </c>
      <c r="R367">
        <v>0</v>
      </c>
      <c r="T367" t="s">
        <v>195</v>
      </c>
      <c r="U367" t="s">
        <v>195</v>
      </c>
      <c r="V367">
        <v>8478</v>
      </c>
      <c r="W367" t="s">
        <v>51</v>
      </c>
    </row>
    <row r="368" spans="1:47" x14ac:dyDescent="0.25">
      <c r="A368" t="s">
        <v>47</v>
      </c>
      <c r="B368" s="1">
        <v>38701</v>
      </c>
      <c r="C368" t="s">
        <v>48</v>
      </c>
      <c r="D368" t="s">
        <v>49</v>
      </c>
      <c r="E368" s="2">
        <v>46098</v>
      </c>
      <c r="F368" t="s">
        <v>187</v>
      </c>
      <c r="G368" t="s">
        <v>73</v>
      </c>
      <c r="H368" s="3">
        <v>33350</v>
      </c>
      <c r="I368" s="3">
        <v>33350</v>
      </c>
      <c r="J368">
        <v>0</v>
      </c>
      <c r="K368" s="3">
        <v>38352.5</v>
      </c>
      <c r="L368" s="3">
        <v>5077.5</v>
      </c>
      <c r="M368" s="3">
        <v>3239.45</v>
      </c>
      <c r="N368" t="s">
        <v>50</v>
      </c>
      <c r="O368" t="s">
        <v>194</v>
      </c>
      <c r="P368" t="s">
        <v>194</v>
      </c>
      <c r="Q368" t="s">
        <v>194</v>
      </c>
      <c r="R368" t="s">
        <v>195</v>
      </c>
      <c r="S368" t="s">
        <v>195</v>
      </c>
      <c r="T368" t="s">
        <v>51</v>
      </c>
      <c r="U368">
        <v>126</v>
      </c>
      <c r="V368" t="s">
        <v>52</v>
      </c>
      <c r="W368" t="s">
        <v>77</v>
      </c>
      <c r="X368" s="4">
        <v>0</v>
      </c>
      <c r="Y368" t="s">
        <v>57</v>
      </c>
    </row>
    <row r="369" spans="1:47" x14ac:dyDescent="0.25">
      <c r="A369" t="s">
        <v>58</v>
      </c>
      <c r="B369">
        <v>0</v>
      </c>
      <c r="C369">
        <v>0</v>
      </c>
      <c r="D369" s="3">
        <v>5077.5</v>
      </c>
      <c r="E369">
        <v>0</v>
      </c>
      <c r="F369">
        <v>0</v>
      </c>
      <c r="G369" s="3">
        <v>2500</v>
      </c>
      <c r="H369" t="s">
        <v>195</v>
      </c>
      <c r="I369" t="s">
        <v>55</v>
      </c>
      <c r="J369" t="s">
        <v>101</v>
      </c>
      <c r="K369" t="s">
        <v>56</v>
      </c>
      <c r="L369" t="s">
        <v>56</v>
      </c>
      <c r="M369" s="5">
        <v>46098.573969907404</v>
      </c>
      <c r="Q369" t="s">
        <v>195</v>
      </c>
      <c r="R369">
        <v>0</v>
      </c>
      <c r="T369" t="s">
        <v>195</v>
      </c>
      <c r="U369" t="s">
        <v>195</v>
      </c>
      <c r="V369">
        <v>8478</v>
      </c>
      <c r="W369" t="s">
        <v>51</v>
      </c>
    </row>
    <row r="370" spans="1:47" x14ac:dyDescent="0.25">
      <c r="A370" t="s">
        <v>47</v>
      </c>
      <c r="B370" s="1">
        <v>38702</v>
      </c>
      <c r="C370" t="s">
        <v>48</v>
      </c>
      <c r="D370" t="s">
        <v>49</v>
      </c>
      <c r="E370" s="2">
        <v>46098</v>
      </c>
      <c r="F370" t="s">
        <v>168</v>
      </c>
      <c r="G370" t="s">
        <v>76</v>
      </c>
      <c r="H370" s="3">
        <v>31820</v>
      </c>
      <c r="I370" s="3">
        <v>31820</v>
      </c>
      <c r="J370">
        <v>0</v>
      </c>
      <c r="K370" s="3">
        <v>31820</v>
      </c>
      <c r="L370" s="3">
        <v>2584</v>
      </c>
      <c r="M370" s="3">
        <v>2351.2600000000002</v>
      </c>
      <c r="N370" t="s">
        <v>70</v>
      </c>
      <c r="O370" t="s">
        <v>194</v>
      </c>
      <c r="P370" t="s">
        <v>194</v>
      </c>
      <c r="Q370" t="s">
        <v>194</v>
      </c>
      <c r="R370" t="s">
        <v>195</v>
      </c>
      <c r="S370" t="s">
        <v>195</v>
      </c>
      <c r="T370" t="s">
        <v>51</v>
      </c>
      <c r="U370">
        <v>9</v>
      </c>
      <c r="V370" t="s">
        <v>120</v>
      </c>
      <c r="W370" t="s">
        <v>77</v>
      </c>
      <c r="X370" s="4">
        <v>0</v>
      </c>
      <c r="Y370" t="s">
        <v>57</v>
      </c>
    </row>
    <row r="371" spans="1:47" x14ac:dyDescent="0.25">
      <c r="A371" t="s">
        <v>58</v>
      </c>
      <c r="B371">
        <v>0</v>
      </c>
      <c r="C371">
        <v>0</v>
      </c>
      <c r="D371" s="3">
        <v>2584</v>
      </c>
      <c r="E371">
        <v>0</v>
      </c>
      <c r="F371">
        <v>0</v>
      </c>
      <c r="G371" s="3">
        <v>4000</v>
      </c>
      <c r="H371" t="s">
        <v>195</v>
      </c>
      <c r="I371" t="s">
        <v>55</v>
      </c>
      <c r="K371" t="s">
        <v>65</v>
      </c>
      <c r="L371" t="s">
        <v>65</v>
      </c>
      <c r="M371" s="5">
        <v>46098.579606481479</v>
      </c>
      <c r="Q371" t="s">
        <v>195</v>
      </c>
      <c r="R371">
        <v>0</v>
      </c>
      <c r="T371" t="s">
        <v>195</v>
      </c>
      <c r="U371" t="s">
        <v>195</v>
      </c>
      <c r="V371">
        <v>8871</v>
      </c>
      <c r="W371" t="s">
        <v>51</v>
      </c>
    </row>
    <row r="372" spans="1:47" x14ac:dyDescent="0.25">
      <c r="A372" t="s">
        <v>96</v>
      </c>
      <c r="B372" s="1">
        <v>38703</v>
      </c>
      <c r="C372" t="s">
        <v>48</v>
      </c>
      <c r="D372" t="s">
        <v>49</v>
      </c>
      <c r="E372" s="2">
        <v>46098</v>
      </c>
      <c r="F372" t="s">
        <v>189</v>
      </c>
      <c r="G372" t="s">
        <v>190</v>
      </c>
      <c r="H372" s="3">
        <v>20250</v>
      </c>
      <c r="I372" s="3">
        <v>20250</v>
      </c>
      <c r="J372">
        <v>0</v>
      </c>
      <c r="K372" s="3">
        <v>20250</v>
      </c>
      <c r="L372" s="3">
        <v>5940</v>
      </c>
      <c r="M372" s="3">
        <v>1722.6</v>
      </c>
      <c r="N372" t="s">
        <v>186</v>
      </c>
      <c r="O372" t="s">
        <v>194</v>
      </c>
      <c r="P372" t="s">
        <v>194</v>
      </c>
      <c r="Q372" t="s">
        <v>194</v>
      </c>
      <c r="R372" t="s">
        <v>195</v>
      </c>
      <c r="S372" t="s">
        <v>195</v>
      </c>
      <c r="T372" t="s">
        <v>51</v>
      </c>
      <c r="U372">
        <v>164</v>
      </c>
      <c r="W372" t="s">
        <v>64</v>
      </c>
      <c r="X372" s="4">
        <v>0</v>
      </c>
      <c r="Y372" t="s">
        <v>57</v>
      </c>
    </row>
    <row r="373" spans="1:47" x14ac:dyDescent="0.25">
      <c r="A373" t="s">
        <v>58</v>
      </c>
      <c r="B373" s="3">
        <v>5940</v>
      </c>
      <c r="C373">
        <v>0</v>
      </c>
      <c r="D373">
        <v>0</v>
      </c>
      <c r="E373">
        <v>0</v>
      </c>
      <c r="F373">
        <v>0</v>
      </c>
      <c r="G373" s="3">
        <v>15000</v>
      </c>
      <c r="H373" t="s">
        <v>195</v>
      </c>
      <c r="I373" t="s">
        <v>55</v>
      </c>
      <c r="K373" t="s">
        <v>75</v>
      </c>
      <c r="L373" t="s">
        <v>75</v>
      </c>
      <c r="M373" s="5">
        <v>46098.701979166668</v>
      </c>
      <c r="Q373" t="s">
        <v>195</v>
      </c>
      <c r="R373">
        <v>0</v>
      </c>
      <c r="T373" t="s">
        <v>195</v>
      </c>
      <c r="U373" t="s">
        <v>195</v>
      </c>
      <c r="V373">
        <v>8903</v>
      </c>
      <c r="W373" t="s">
        <v>51</v>
      </c>
    </row>
    <row r="374" spans="1:47" x14ac:dyDescent="0.25">
      <c r="A374" t="s">
        <v>96</v>
      </c>
      <c r="B374" s="1">
        <v>38705</v>
      </c>
      <c r="C374" t="s">
        <v>48</v>
      </c>
      <c r="D374" t="s">
        <v>49</v>
      </c>
      <c r="E374" s="2">
        <v>46098</v>
      </c>
      <c r="F374" t="s">
        <v>191</v>
      </c>
      <c r="G374" t="s">
        <v>190</v>
      </c>
      <c r="H374" s="3">
        <v>6750</v>
      </c>
      <c r="I374" s="3">
        <v>6750</v>
      </c>
      <c r="J374">
        <v>0</v>
      </c>
      <c r="K374" s="3">
        <v>6750</v>
      </c>
      <c r="L374" s="3">
        <v>2005</v>
      </c>
      <c r="M374">
        <v>581.45000000000005</v>
      </c>
      <c r="N374" t="s">
        <v>186</v>
      </c>
      <c r="O374" t="s">
        <v>194</v>
      </c>
      <c r="P374" t="s">
        <v>194</v>
      </c>
      <c r="Q374" t="s">
        <v>194</v>
      </c>
      <c r="R374" t="s">
        <v>195</v>
      </c>
      <c r="S374" t="s">
        <v>195</v>
      </c>
      <c r="T374" t="s">
        <v>51</v>
      </c>
      <c r="U374">
        <v>164</v>
      </c>
      <c r="W374" t="s">
        <v>64</v>
      </c>
      <c r="X374" s="4">
        <v>0</v>
      </c>
      <c r="Y374" t="s">
        <v>57</v>
      </c>
    </row>
    <row r="375" spans="1:47" x14ac:dyDescent="0.25">
      <c r="A375" t="s">
        <v>58</v>
      </c>
      <c r="B375" s="3">
        <v>2005</v>
      </c>
      <c r="C375">
        <v>0</v>
      </c>
      <c r="D375">
        <v>0</v>
      </c>
      <c r="E375">
        <v>0</v>
      </c>
      <c r="F375">
        <v>0</v>
      </c>
      <c r="G375" s="3">
        <v>5000</v>
      </c>
      <c r="H375" t="s">
        <v>195</v>
      </c>
      <c r="I375" t="s">
        <v>55</v>
      </c>
      <c r="K375" t="s">
        <v>75</v>
      </c>
      <c r="L375" t="s">
        <v>75</v>
      </c>
      <c r="M375" s="5">
        <v>46098.717569444445</v>
      </c>
      <c r="Q375" t="s">
        <v>195</v>
      </c>
      <c r="R375">
        <v>0</v>
      </c>
      <c r="T375" t="s">
        <v>195</v>
      </c>
      <c r="U375" t="s">
        <v>195</v>
      </c>
      <c r="V375">
        <v>8904</v>
      </c>
      <c r="W375" t="s">
        <v>51</v>
      </c>
    </row>
    <row r="376" spans="1:47" x14ac:dyDescent="0.25">
      <c r="A376" t="s">
        <v>47</v>
      </c>
      <c r="B376" s="1">
        <v>38707</v>
      </c>
      <c r="C376" t="s">
        <v>48</v>
      </c>
      <c r="D376" t="s">
        <v>49</v>
      </c>
      <c r="E376" s="2">
        <v>46099</v>
      </c>
      <c r="F376" t="s">
        <v>144</v>
      </c>
      <c r="G376" t="s">
        <v>73</v>
      </c>
      <c r="H376" s="3">
        <v>3110</v>
      </c>
      <c r="I376" s="3">
        <v>3110</v>
      </c>
      <c r="J376">
        <v>0</v>
      </c>
      <c r="K376" s="3">
        <v>3576.5</v>
      </c>
      <c r="L376">
        <v>648</v>
      </c>
      <c r="M376">
        <v>237.82</v>
      </c>
      <c r="N376" t="s">
        <v>83</v>
      </c>
      <c r="O376" t="s">
        <v>194</v>
      </c>
      <c r="P376" t="s">
        <v>194</v>
      </c>
      <c r="Q376" t="s">
        <v>194</v>
      </c>
      <c r="R376" t="s">
        <v>195</v>
      </c>
      <c r="S376" t="s">
        <v>195</v>
      </c>
      <c r="T376" t="s">
        <v>51</v>
      </c>
      <c r="U376">
        <v>145</v>
      </c>
      <c r="V376" t="s">
        <v>100</v>
      </c>
      <c r="W376" t="s">
        <v>71</v>
      </c>
      <c r="X376" s="4">
        <v>0</v>
      </c>
      <c r="Y376" t="s">
        <v>57</v>
      </c>
    </row>
    <row r="377" spans="1:47" x14ac:dyDescent="0.25">
      <c r="A377" t="s">
        <v>58</v>
      </c>
      <c r="B377">
        <v>648</v>
      </c>
      <c r="C377">
        <v>0</v>
      </c>
      <c r="D377">
        <v>0</v>
      </c>
      <c r="E377">
        <v>0</v>
      </c>
      <c r="F377">
        <v>0</v>
      </c>
      <c r="G377" s="3">
        <v>1000</v>
      </c>
      <c r="H377" t="s">
        <v>195</v>
      </c>
      <c r="I377" t="s">
        <v>55</v>
      </c>
      <c r="J377" t="s">
        <v>101</v>
      </c>
      <c r="K377" t="s">
        <v>65</v>
      </c>
      <c r="L377" t="s">
        <v>65</v>
      </c>
      <c r="M377" s="5">
        <v>46099.381504629629</v>
      </c>
      <c r="Q377" t="s">
        <v>195</v>
      </c>
      <c r="R377">
        <v>0</v>
      </c>
      <c r="T377" t="s">
        <v>195</v>
      </c>
      <c r="U377" t="s">
        <v>195</v>
      </c>
      <c r="V377">
        <v>7814</v>
      </c>
      <c r="W377" t="s">
        <v>51</v>
      </c>
    </row>
    <row r="378" spans="1:47" x14ac:dyDescent="0.25">
      <c r="A378" t="s">
        <v>47</v>
      </c>
      <c r="B378" s="1">
        <v>38708</v>
      </c>
      <c r="C378" t="s">
        <v>48</v>
      </c>
      <c r="D378" t="s">
        <v>49</v>
      </c>
      <c r="E378" s="2">
        <v>46099</v>
      </c>
      <c r="F378" t="s">
        <v>144</v>
      </c>
      <c r="G378" t="s">
        <v>73</v>
      </c>
      <c r="H378" s="3">
        <v>3110</v>
      </c>
      <c r="I378" s="3">
        <v>3110</v>
      </c>
      <c r="J378">
        <v>0</v>
      </c>
      <c r="K378" s="3">
        <v>3576.5</v>
      </c>
      <c r="L378">
        <v>648</v>
      </c>
      <c r="M378">
        <v>237.82</v>
      </c>
      <c r="N378" t="s">
        <v>83</v>
      </c>
      <c r="O378" t="s">
        <v>194</v>
      </c>
      <c r="P378" t="s">
        <v>194</v>
      </c>
      <c r="Q378" t="s">
        <v>194</v>
      </c>
      <c r="R378" t="s">
        <v>195</v>
      </c>
      <c r="S378" t="s">
        <v>195</v>
      </c>
      <c r="T378" t="s">
        <v>51</v>
      </c>
      <c r="U378">
        <v>145</v>
      </c>
      <c r="V378" t="s">
        <v>100</v>
      </c>
      <c r="W378" t="s">
        <v>71</v>
      </c>
      <c r="X378" s="4">
        <v>0</v>
      </c>
      <c r="Y378" t="s">
        <v>57</v>
      </c>
    </row>
    <row r="379" spans="1:47" x14ac:dyDescent="0.25">
      <c r="A379" t="s">
        <v>58</v>
      </c>
      <c r="B379">
        <v>648</v>
      </c>
      <c r="C379">
        <v>0</v>
      </c>
      <c r="D379">
        <v>0</v>
      </c>
      <c r="E379">
        <v>0</v>
      </c>
      <c r="F379">
        <v>0</v>
      </c>
      <c r="G379" s="3">
        <v>1000</v>
      </c>
      <c r="H379" t="s">
        <v>195</v>
      </c>
      <c r="I379" t="s">
        <v>55</v>
      </c>
      <c r="J379" t="s">
        <v>101</v>
      </c>
      <c r="K379" t="s">
        <v>65</v>
      </c>
      <c r="L379" t="s">
        <v>65</v>
      </c>
      <c r="M379" s="5">
        <v>46099.382627314815</v>
      </c>
      <c r="Q379" t="s">
        <v>195</v>
      </c>
      <c r="R379">
        <v>0</v>
      </c>
      <c r="T379" t="s">
        <v>195</v>
      </c>
      <c r="U379" t="s">
        <v>195</v>
      </c>
      <c r="V379">
        <v>7814</v>
      </c>
      <c r="W379" t="s">
        <v>51</v>
      </c>
    </row>
    <row r="380" spans="1:47" x14ac:dyDescent="0.25">
      <c r="A380" t="s">
        <v>47</v>
      </c>
      <c r="B380" s="1">
        <v>38709</v>
      </c>
      <c r="C380" t="s">
        <v>48</v>
      </c>
      <c r="D380" t="s">
        <v>49</v>
      </c>
      <c r="E380" s="2">
        <v>46099</v>
      </c>
      <c r="F380" t="s">
        <v>144</v>
      </c>
      <c r="G380" t="s">
        <v>73</v>
      </c>
      <c r="H380" s="3">
        <v>3110</v>
      </c>
      <c r="I380" s="3">
        <v>3110</v>
      </c>
      <c r="J380">
        <v>0</v>
      </c>
      <c r="K380" s="3">
        <v>3576.5</v>
      </c>
      <c r="L380">
        <v>648</v>
      </c>
      <c r="M380">
        <v>237.82</v>
      </c>
      <c r="N380" t="s">
        <v>83</v>
      </c>
      <c r="O380" t="s">
        <v>194</v>
      </c>
      <c r="P380" t="s">
        <v>194</v>
      </c>
      <c r="Q380" t="s">
        <v>194</v>
      </c>
      <c r="R380" t="s">
        <v>195</v>
      </c>
      <c r="S380" t="s">
        <v>195</v>
      </c>
      <c r="T380" t="s">
        <v>51</v>
      </c>
      <c r="U380">
        <v>145</v>
      </c>
      <c r="V380" t="s">
        <v>100</v>
      </c>
      <c r="W380" t="s">
        <v>71</v>
      </c>
      <c r="X380" s="4">
        <v>0</v>
      </c>
      <c r="Y380" t="s">
        <v>57</v>
      </c>
    </row>
    <row r="381" spans="1:47" x14ac:dyDescent="0.25">
      <c r="A381" t="s">
        <v>58</v>
      </c>
      <c r="B381">
        <v>648</v>
      </c>
      <c r="C381">
        <v>0</v>
      </c>
      <c r="D381">
        <v>0</v>
      </c>
      <c r="E381">
        <v>0</v>
      </c>
      <c r="F381">
        <v>0</v>
      </c>
      <c r="G381" s="3">
        <v>1000</v>
      </c>
      <c r="H381" t="s">
        <v>195</v>
      </c>
      <c r="I381" t="s">
        <v>55</v>
      </c>
      <c r="J381" t="s">
        <v>101</v>
      </c>
      <c r="K381" t="s">
        <v>65</v>
      </c>
      <c r="L381" t="s">
        <v>65</v>
      </c>
      <c r="M381" s="5">
        <v>46099.383703703701</v>
      </c>
      <c r="Q381" t="s">
        <v>195</v>
      </c>
      <c r="R381">
        <v>0</v>
      </c>
      <c r="T381" t="s">
        <v>195</v>
      </c>
      <c r="U381" t="s">
        <v>195</v>
      </c>
      <c r="V381">
        <v>7814</v>
      </c>
      <c r="W381" t="s">
        <v>51</v>
      </c>
    </row>
    <row r="382" spans="1:47" x14ac:dyDescent="0.25">
      <c r="A382" t="s">
        <v>78</v>
      </c>
      <c r="B382" s="1">
        <v>38710</v>
      </c>
      <c r="C382" t="s">
        <v>48</v>
      </c>
      <c r="D382" t="s">
        <v>49</v>
      </c>
      <c r="E382" s="2">
        <v>46100</v>
      </c>
      <c r="F382" t="s">
        <v>145</v>
      </c>
      <c r="G382" t="s">
        <v>146</v>
      </c>
      <c r="H382" s="3">
        <v>3956</v>
      </c>
      <c r="I382" s="3">
        <v>3956</v>
      </c>
      <c r="J382">
        <v>0</v>
      </c>
      <c r="K382" s="3">
        <v>3956</v>
      </c>
      <c r="L382">
        <v>658</v>
      </c>
      <c r="M382">
        <v>256.62</v>
      </c>
      <c r="N382" t="s">
        <v>83</v>
      </c>
      <c r="O382" t="s">
        <v>194</v>
      </c>
      <c r="P382" t="s">
        <v>194</v>
      </c>
      <c r="Q382" t="s">
        <v>194</v>
      </c>
      <c r="R382" t="s">
        <v>195</v>
      </c>
      <c r="S382" t="s">
        <v>195</v>
      </c>
      <c r="T382" t="s">
        <v>51</v>
      </c>
      <c r="U382">
        <v>145</v>
      </c>
      <c r="V382" t="s">
        <v>100</v>
      </c>
      <c r="W382" t="s">
        <v>95</v>
      </c>
      <c r="X382" s="4">
        <v>0</v>
      </c>
      <c r="Y382" t="s">
        <v>54</v>
      </c>
      <c r="Z382">
        <v>658</v>
      </c>
      <c r="AA382">
        <v>0</v>
      </c>
      <c r="AB382">
        <v>0</v>
      </c>
      <c r="AC382">
        <v>0</v>
      </c>
      <c r="AD382">
        <v>0</v>
      </c>
      <c r="AE382">
        <v>600</v>
      </c>
      <c r="AF382" t="s">
        <v>195</v>
      </c>
      <c r="AG382" t="s">
        <v>55</v>
      </c>
      <c r="AH382" t="s">
        <v>169</v>
      </c>
      <c r="AI382" t="s">
        <v>65</v>
      </c>
      <c r="AJ382" t="s">
        <v>65</v>
      </c>
      <c r="AK382" s="5">
        <v>46100.412372685183</v>
      </c>
      <c r="AO382" t="s">
        <v>195</v>
      </c>
      <c r="AP382">
        <v>0</v>
      </c>
      <c r="AR382" t="s">
        <v>195</v>
      </c>
      <c r="AS382" t="s">
        <v>195</v>
      </c>
      <c r="AT382">
        <v>8561</v>
      </c>
      <c r="AU382" t="s">
        <v>51</v>
      </c>
    </row>
    <row r="383" spans="1:47" x14ac:dyDescent="0.25">
      <c r="A383" t="s">
        <v>47</v>
      </c>
      <c r="B383" s="1">
        <v>38711</v>
      </c>
      <c r="C383" t="s">
        <v>48</v>
      </c>
      <c r="D383" t="s">
        <v>49</v>
      </c>
      <c r="E383" s="2">
        <v>46100</v>
      </c>
      <c r="F383" t="s">
        <v>192</v>
      </c>
      <c r="G383" t="s">
        <v>61</v>
      </c>
      <c r="H383" s="3">
        <v>3703</v>
      </c>
      <c r="I383" s="3">
        <v>3703</v>
      </c>
      <c r="J383">
        <v>0</v>
      </c>
      <c r="K383" s="3">
        <v>4258.45</v>
      </c>
      <c r="L383">
        <v>476.7</v>
      </c>
      <c r="M383">
        <v>300.32</v>
      </c>
      <c r="N383" t="s">
        <v>66</v>
      </c>
      <c r="O383" t="s">
        <v>194</v>
      </c>
      <c r="P383" t="s">
        <v>194</v>
      </c>
      <c r="Q383" t="s">
        <v>194</v>
      </c>
      <c r="R383" t="s">
        <v>195</v>
      </c>
      <c r="S383" t="s">
        <v>195</v>
      </c>
      <c r="T383" t="s">
        <v>51</v>
      </c>
      <c r="U383">
        <v>83</v>
      </c>
      <c r="W383" t="s">
        <v>103</v>
      </c>
      <c r="X383" s="4">
        <v>0</v>
      </c>
      <c r="Y383" t="s">
        <v>57</v>
      </c>
    </row>
    <row r="384" spans="1:47" x14ac:dyDescent="0.25">
      <c r="A384" t="s">
        <v>58</v>
      </c>
      <c r="B384">
        <v>0</v>
      </c>
      <c r="C384">
        <v>0</v>
      </c>
      <c r="D384">
        <v>476.7</v>
      </c>
      <c r="E384">
        <v>0</v>
      </c>
      <c r="F384">
        <v>0</v>
      </c>
      <c r="G384">
        <v>700</v>
      </c>
      <c r="H384" t="s">
        <v>195</v>
      </c>
      <c r="I384" t="s">
        <v>55</v>
      </c>
      <c r="K384" t="s">
        <v>68</v>
      </c>
      <c r="L384" t="s">
        <v>65</v>
      </c>
      <c r="M384" s="5">
        <v>46104.688090277778</v>
      </c>
      <c r="Q384" t="s">
        <v>195</v>
      </c>
      <c r="R384">
        <v>0</v>
      </c>
      <c r="T384" t="s">
        <v>195</v>
      </c>
      <c r="U384" t="s">
        <v>195</v>
      </c>
      <c r="V384">
        <v>8535</v>
      </c>
      <c r="W384" t="s">
        <v>51</v>
      </c>
    </row>
    <row r="385" spans="1:47" x14ac:dyDescent="0.25">
      <c r="A385" t="s">
        <v>96</v>
      </c>
      <c r="B385" s="1">
        <v>38712</v>
      </c>
      <c r="C385" t="s">
        <v>48</v>
      </c>
      <c r="D385" t="s">
        <v>49</v>
      </c>
      <c r="E385" s="2">
        <v>46100</v>
      </c>
      <c r="F385" t="s">
        <v>121</v>
      </c>
      <c r="G385" t="s">
        <v>122</v>
      </c>
      <c r="H385" s="3">
        <v>25800</v>
      </c>
      <c r="I385" s="3">
        <v>25800</v>
      </c>
      <c r="J385">
        <v>0</v>
      </c>
      <c r="K385" s="3">
        <v>25800</v>
      </c>
      <c r="L385" s="3">
        <v>6175</v>
      </c>
      <c r="M385" s="3">
        <v>1790.75</v>
      </c>
      <c r="N385" t="s">
        <v>66</v>
      </c>
      <c r="O385" t="s">
        <v>194</v>
      </c>
      <c r="P385" t="s">
        <v>194</v>
      </c>
      <c r="Q385" t="s">
        <v>194</v>
      </c>
      <c r="R385" t="s">
        <v>195</v>
      </c>
      <c r="S385" t="s">
        <v>195</v>
      </c>
      <c r="T385" t="s">
        <v>51</v>
      </c>
      <c r="U385">
        <v>83</v>
      </c>
      <c r="W385" t="s">
        <v>87</v>
      </c>
      <c r="X385" s="4">
        <v>0</v>
      </c>
      <c r="Y385" t="s">
        <v>57</v>
      </c>
    </row>
    <row r="386" spans="1:47" x14ac:dyDescent="0.25">
      <c r="A386" t="s">
        <v>58</v>
      </c>
      <c r="B386" s="3">
        <v>6175</v>
      </c>
      <c r="C386">
        <v>0</v>
      </c>
      <c r="D386">
        <v>0</v>
      </c>
      <c r="E386">
        <v>0</v>
      </c>
      <c r="F386">
        <v>0</v>
      </c>
      <c r="G386" s="3">
        <v>15000</v>
      </c>
      <c r="H386" t="s">
        <v>195</v>
      </c>
      <c r="I386" t="s">
        <v>55</v>
      </c>
      <c r="K386" t="s">
        <v>68</v>
      </c>
      <c r="L386" t="s">
        <v>65</v>
      </c>
      <c r="M386" s="5">
        <v>46101.317754629628</v>
      </c>
      <c r="Q386" t="s">
        <v>195</v>
      </c>
      <c r="R386">
        <v>0</v>
      </c>
      <c r="T386" t="s">
        <v>195</v>
      </c>
      <c r="U386" t="s">
        <v>195</v>
      </c>
      <c r="V386">
        <v>4212</v>
      </c>
      <c r="W386" t="s">
        <v>51</v>
      </c>
    </row>
    <row r="387" spans="1:47" x14ac:dyDescent="0.25">
      <c r="A387" t="s">
        <v>69</v>
      </c>
      <c r="B387" s="1">
        <v>38714</v>
      </c>
      <c r="C387" t="s">
        <v>48</v>
      </c>
      <c r="D387" t="s">
        <v>49</v>
      </c>
      <c r="E387" s="2">
        <v>46101</v>
      </c>
      <c r="F387" t="s">
        <v>131</v>
      </c>
      <c r="G387" t="s">
        <v>76</v>
      </c>
      <c r="H387" s="3">
        <v>12760</v>
      </c>
      <c r="I387" s="3">
        <v>12760</v>
      </c>
      <c r="J387">
        <v>0</v>
      </c>
      <c r="K387" s="3">
        <v>12760</v>
      </c>
      <c r="L387" s="3">
        <v>3132</v>
      </c>
      <c r="M387" s="3">
        <v>1149.44</v>
      </c>
      <c r="N387" t="s">
        <v>83</v>
      </c>
      <c r="O387" t="s">
        <v>195</v>
      </c>
      <c r="P387" t="s">
        <v>194</v>
      </c>
      <c r="Q387" t="s">
        <v>194</v>
      </c>
      <c r="R387" t="s">
        <v>195</v>
      </c>
      <c r="S387" t="s">
        <v>195</v>
      </c>
      <c r="T387" t="s">
        <v>51</v>
      </c>
      <c r="U387">
        <v>145</v>
      </c>
      <c r="V387" t="s">
        <v>79</v>
      </c>
      <c r="W387" t="s">
        <v>132</v>
      </c>
      <c r="X387" s="4">
        <v>0</v>
      </c>
      <c r="Z387" s="3">
        <v>3132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195</v>
      </c>
      <c r="AG387" t="s">
        <v>55</v>
      </c>
      <c r="AI387" t="s">
        <v>65</v>
      </c>
      <c r="AO387" t="s">
        <v>195</v>
      </c>
      <c r="AP387">
        <v>0</v>
      </c>
      <c r="AR387" t="s">
        <v>195</v>
      </c>
      <c r="AS387" t="s">
        <v>195</v>
      </c>
      <c r="AT387">
        <v>2778</v>
      </c>
      <c r="AU387" t="s">
        <v>51</v>
      </c>
    </row>
    <row r="388" spans="1:47" x14ac:dyDescent="0.25">
      <c r="A388" t="s">
        <v>47</v>
      </c>
      <c r="B388" s="1">
        <v>38715</v>
      </c>
      <c r="C388" t="s">
        <v>48</v>
      </c>
      <c r="D388" t="s">
        <v>49</v>
      </c>
      <c r="E388" s="2">
        <v>46101</v>
      </c>
      <c r="F388" t="s">
        <v>140</v>
      </c>
      <c r="G388" t="s">
        <v>73</v>
      </c>
      <c r="H388" s="3">
        <v>10630</v>
      </c>
      <c r="I388" s="3">
        <v>10630</v>
      </c>
      <c r="J388">
        <v>0</v>
      </c>
      <c r="K388" s="3">
        <v>12224.5</v>
      </c>
      <c r="L388" s="3">
        <v>1685</v>
      </c>
      <c r="M388">
        <v>876.2</v>
      </c>
      <c r="N388" t="s">
        <v>50</v>
      </c>
      <c r="O388" t="s">
        <v>194</v>
      </c>
      <c r="P388" t="s">
        <v>194</v>
      </c>
      <c r="Q388" t="s">
        <v>194</v>
      </c>
      <c r="R388" t="s">
        <v>195</v>
      </c>
      <c r="S388" t="s">
        <v>195</v>
      </c>
      <c r="T388" t="s">
        <v>51</v>
      </c>
      <c r="U388">
        <v>126</v>
      </c>
      <c r="V388" t="s">
        <v>52</v>
      </c>
      <c r="W388" t="s">
        <v>95</v>
      </c>
      <c r="X388" s="4">
        <v>0</v>
      </c>
      <c r="Y388" t="s">
        <v>54</v>
      </c>
      <c r="Z388">
        <v>0</v>
      </c>
      <c r="AA388">
        <v>0</v>
      </c>
      <c r="AB388">
        <v>0</v>
      </c>
      <c r="AC388">
        <v>0</v>
      </c>
      <c r="AD388" s="3">
        <v>1685</v>
      </c>
      <c r="AE388" s="3">
        <v>1000</v>
      </c>
      <c r="AF388" t="s">
        <v>195</v>
      </c>
      <c r="AG388" t="s">
        <v>55</v>
      </c>
      <c r="AI388" t="s">
        <v>56</v>
      </c>
      <c r="AJ388" t="s">
        <v>56</v>
      </c>
      <c r="AK388" s="5">
        <v>46101.697615740741</v>
      </c>
      <c r="AO388" t="s">
        <v>195</v>
      </c>
      <c r="AP388">
        <v>0</v>
      </c>
      <c r="AR388" t="s">
        <v>195</v>
      </c>
      <c r="AS388" t="s">
        <v>195</v>
      </c>
      <c r="AT388">
        <v>6130</v>
      </c>
      <c r="AU388" t="s">
        <v>51</v>
      </c>
    </row>
    <row r="389" spans="1:47" x14ac:dyDescent="0.25">
      <c r="A389" t="s">
        <v>78</v>
      </c>
      <c r="B389" s="1">
        <v>38716</v>
      </c>
      <c r="C389" t="s">
        <v>48</v>
      </c>
      <c r="D389" t="s">
        <v>49</v>
      </c>
      <c r="E389" s="2">
        <v>46101</v>
      </c>
      <c r="F389" t="s">
        <v>149</v>
      </c>
      <c r="G389" t="s">
        <v>59</v>
      </c>
      <c r="H389" s="3">
        <v>3200</v>
      </c>
      <c r="I389" s="3">
        <v>3200</v>
      </c>
      <c r="J389">
        <v>0</v>
      </c>
      <c r="K389" s="3">
        <v>3200</v>
      </c>
      <c r="L389">
        <v>850</v>
      </c>
      <c r="M389">
        <v>246.5</v>
      </c>
      <c r="N389" t="s">
        <v>50</v>
      </c>
      <c r="O389" t="s">
        <v>194</v>
      </c>
      <c r="P389" t="s">
        <v>194</v>
      </c>
      <c r="Q389" t="s">
        <v>194</v>
      </c>
      <c r="R389" t="s">
        <v>195</v>
      </c>
      <c r="S389" t="s">
        <v>195</v>
      </c>
      <c r="T389" t="s">
        <v>51</v>
      </c>
      <c r="U389">
        <v>126</v>
      </c>
      <c r="V389" t="s">
        <v>52</v>
      </c>
      <c r="W389" t="s">
        <v>98</v>
      </c>
      <c r="X389" s="4">
        <v>0</v>
      </c>
      <c r="Y389" t="s">
        <v>54</v>
      </c>
      <c r="Z389">
        <v>850</v>
      </c>
      <c r="AA389">
        <v>0</v>
      </c>
      <c r="AB389">
        <v>0</v>
      </c>
      <c r="AC389">
        <v>0</v>
      </c>
      <c r="AD389">
        <v>0</v>
      </c>
      <c r="AE389" s="3">
        <v>5000</v>
      </c>
      <c r="AF389" t="s">
        <v>195</v>
      </c>
      <c r="AG389" t="s">
        <v>55</v>
      </c>
      <c r="AH389" t="s">
        <v>104</v>
      </c>
      <c r="AI389" t="s">
        <v>56</v>
      </c>
      <c r="AJ389" t="s">
        <v>56</v>
      </c>
      <c r="AK389" s="5">
        <v>46101.699490740742</v>
      </c>
      <c r="AO389" t="s">
        <v>195</v>
      </c>
      <c r="AP389">
        <v>0</v>
      </c>
      <c r="AR389" t="s">
        <v>195</v>
      </c>
      <c r="AS389" t="s">
        <v>195</v>
      </c>
      <c r="AT389">
        <v>5486</v>
      </c>
      <c r="AU389" t="s">
        <v>51</v>
      </c>
    </row>
    <row r="390" spans="1:47" x14ac:dyDescent="0.25">
      <c r="A390" t="s">
        <v>47</v>
      </c>
      <c r="B390" s="1">
        <v>38717</v>
      </c>
      <c r="C390" t="s">
        <v>48</v>
      </c>
      <c r="D390" t="s">
        <v>49</v>
      </c>
      <c r="E390" s="2">
        <v>46104</v>
      </c>
      <c r="F390" t="s">
        <v>187</v>
      </c>
      <c r="G390" t="s">
        <v>73</v>
      </c>
      <c r="H390" s="3">
        <v>66700</v>
      </c>
      <c r="I390" s="3">
        <v>66700</v>
      </c>
      <c r="J390">
        <v>0</v>
      </c>
      <c r="K390" s="3">
        <v>76705</v>
      </c>
      <c r="L390" s="3">
        <v>10155</v>
      </c>
      <c r="M390" s="3">
        <v>6478.9</v>
      </c>
      <c r="N390" t="s">
        <v>50</v>
      </c>
      <c r="O390" t="s">
        <v>194</v>
      </c>
      <c r="P390" t="s">
        <v>194</v>
      </c>
      <c r="Q390" t="s">
        <v>194</v>
      </c>
      <c r="R390" t="s">
        <v>195</v>
      </c>
      <c r="S390" t="s">
        <v>195</v>
      </c>
      <c r="T390" t="s">
        <v>51</v>
      </c>
      <c r="U390">
        <v>126</v>
      </c>
      <c r="V390" t="s">
        <v>52</v>
      </c>
      <c r="W390" t="s">
        <v>77</v>
      </c>
      <c r="X390" s="4">
        <v>0</v>
      </c>
      <c r="Y390" t="s">
        <v>57</v>
      </c>
    </row>
    <row r="391" spans="1:47" x14ac:dyDescent="0.25">
      <c r="A391" t="s">
        <v>58</v>
      </c>
      <c r="B391">
        <v>0</v>
      </c>
      <c r="C391">
        <v>0</v>
      </c>
      <c r="D391" s="3">
        <v>10155</v>
      </c>
      <c r="E391">
        <v>0</v>
      </c>
      <c r="F391">
        <v>0</v>
      </c>
      <c r="G391" s="3">
        <v>5000</v>
      </c>
      <c r="H391" t="s">
        <v>195</v>
      </c>
      <c r="I391" t="s">
        <v>55</v>
      </c>
      <c r="J391" t="s">
        <v>101</v>
      </c>
      <c r="K391" t="s">
        <v>75</v>
      </c>
      <c r="L391" t="s">
        <v>75</v>
      </c>
      <c r="M391" s="5">
        <v>46104.432835648149</v>
      </c>
      <c r="Q391" t="s">
        <v>195</v>
      </c>
      <c r="R391">
        <v>0</v>
      </c>
      <c r="T391" t="s">
        <v>195</v>
      </c>
      <c r="U391" t="s">
        <v>195</v>
      </c>
      <c r="V391">
        <v>8478</v>
      </c>
      <c r="W391" t="s">
        <v>51</v>
      </c>
    </row>
    <row r="392" spans="1:47" x14ac:dyDescent="0.25">
      <c r="A392" t="s">
        <v>78</v>
      </c>
      <c r="B392" s="1">
        <v>38718</v>
      </c>
      <c r="C392" t="s">
        <v>48</v>
      </c>
      <c r="D392" t="s">
        <v>49</v>
      </c>
      <c r="E392" s="2">
        <v>46104</v>
      </c>
      <c r="F392" t="s">
        <v>119</v>
      </c>
      <c r="G392" t="s">
        <v>108</v>
      </c>
      <c r="H392" s="3">
        <v>2280</v>
      </c>
      <c r="I392" s="3">
        <v>2280</v>
      </c>
      <c r="J392">
        <v>0</v>
      </c>
      <c r="K392" s="3">
        <v>2280</v>
      </c>
      <c r="L392">
        <v>520</v>
      </c>
      <c r="M392">
        <v>169</v>
      </c>
      <c r="N392" t="s">
        <v>50</v>
      </c>
      <c r="O392" t="s">
        <v>194</v>
      </c>
      <c r="P392" t="s">
        <v>194</v>
      </c>
      <c r="Q392" t="s">
        <v>194</v>
      </c>
      <c r="R392" t="s">
        <v>195</v>
      </c>
      <c r="S392" t="s">
        <v>195</v>
      </c>
      <c r="T392" t="s">
        <v>51</v>
      </c>
      <c r="U392">
        <v>126</v>
      </c>
      <c r="W392" t="s">
        <v>77</v>
      </c>
      <c r="X392" s="4">
        <v>0</v>
      </c>
      <c r="Y392" t="s">
        <v>57</v>
      </c>
    </row>
    <row r="393" spans="1:47" x14ac:dyDescent="0.25">
      <c r="A393" t="s">
        <v>58</v>
      </c>
      <c r="B393">
        <v>520</v>
      </c>
      <c r="C393">
        <v>0</v>
      </c>
      <c r="D393">
        <v>0</v>
      </c>
      <c r="E393">
        <v>0</v>
      </c>
      <c r="F393">
        <v>0</v>
      </c>
      <c r="G393" s="3">
        <v>2000</v>
      </c>
      <c r="H393" t="s">
        <v>195</v>
      </c>
      <c r="I393" t="s">
        <v>55</v>
      </c>
      <c r="K393" t="s">
        <v>65</v>
      </c>
      <c r="L393" t="s">
        <v>65</v>
      </c>
      <c r="M393" s="5">
        <v>46104.646226851852</v>
      </c>
      <c r="Q393" t="s">
        <v>195</v>
      </c>
      <c r="R393">
        <v>0</v>
      </c>
      <c r="T393" t="s">
        <v>195</v>
      </c>
      <c r="U393" t="s">
        <v>195</v>
      </c>
      <c r="V393">
        <v>8730</v>
      </c>
      <c r="W393" t="s">
        <v>51</v>
      </c>
    </row>
    <row r="394" spans="1:47" x14ac:dyDescent="0.25">
      <c r="A394" t="s">
        <v>78</v>
      </c>
      <c r="B394" s="1">
        <v>38719</v>
      </c>
      <c r="C394" t="s">
        <v>48</v>
      </c>
      <c r="D394" t="s">
        <v>49</v>
      </c>
      <c r="E394" s="2">
        <v>46104</v>
      </c>
      <c r="F394" t="s">
        <v>118</v>
      </c>
      <c r="G394" t="s">
        <v>76</v>
      </c>
      <c r="H394" s="3">
        <v>9320</v>
      </c>
      <c r="I394" s="3">
        <v>9320</v>
      </c>
      <c r="J394">
        <v>0</v>
      </c>
      <c r="K394" s="3">
        <v>9320</v>
      </c>
      <c r="L394" s="3">
        <v>1896</v>
      </c>
      <c r="M394">
        <v>929.04</v>
      </c>
      <c r="N394" t="s">
        <v>50</v>
      </c>
      <c r="O394" t="s">
        <v>194</v>
      </c>
      <c r="P394" t="s">
        <v>194</v>
      </c>
      <c r="Q394" t="s">
        <v>194</v>
      </c>
      <c r="R394" t="s">
        <v>195</v>
      </c>
      <c r="S394" t="s">
        <v>195</v>
      </c>
      <c r="T394" t="s">
        <v>51</v>
      </c>
      <c r="U394">
        <v>126</v>
      </c>
      <c r="V394" t="s">
        <v>52</v>
      </c>
      <c r="W394" t="s">
        <v>64</v>
      </c>
      <c r="X394" s="4">
        <v>0</v>
      </c>
      <c r="Y394" t="s">
        <v>54</v>
      </c>
      <c r="Z394" s="3">
        <v>1896</v>
      </c>
      <c r="AA394">
        <v>0</v>
      </c>
      <c r="AB394">
        <v>0</v>
      </c>
      <c r="AC394">
        <v>0</v>
      </c>
      <c r="AD394">
        <v>0</v>
      </c>
      <c r="AE394" s="3">
        <v>4000</v>
      </c>
      <c r="AF394" t="s">
        <v>195</v>
      </c>
      <c r="AG394" t="s">
        <v>55</v>
      </c>
      <c r="AI394" t="s">
        <v>65</v>
      </c>
      <c r="AJ394" t="s">
        <v>75</v>
      </c>
      <c r="AK394" s="5">
        <v>46105.518726851849</v>
      </c>
      <c r="AO394" t="s">
        <v>195</v>
      </c>
      <c r="AP394">
        <v>0</v>
      </c>
      <c r="AR394" t="s">
        <v>195</v>
      </c>
      <c r="AS394" t="s">
        <v>195</v>
      </c>
      <c r="AT394">
        <v>5117</v>
      </c>
      <c r="AU394" t="s">
        <v>51</v>
      </c>
    </row>
    <row r="395" spans="1:47" x14ac:dyDescent="0.25">
      <c r="A395" t="s">
        <v>47</v>
      </c>
      <c r="B395" s="1">
        <v>38721</v>
      </c>
      <c r="C395" t="s">
        <v>48</v>
      </c>
      <c r="D395" t="s">
        <v>49</v>
      </c>
      <c r="E395" s="2">
        <v>46105</v>
      </c>
      <c r="F395" t="s">
        <v>93</v>
      </c>
      <c r="G395" t="s">
        <v>94</v>
      </c>
      <c r="H395" s="3">
        <v>8860</v>
      </c>
      <c r="I395" s="3">
        <v>8860</v>
      </c>
      <c r="J395">
        <v>0</v>
      </c>
      <c r="K395" s="3">
        <v>10189</v>
      </c>
      <c r="L395" s="3">
        <v>1796.5</v>
      </c>
      <c r="M395">
        <v>665.39</v>
      </c>
      <c r="N395" t="s">
        <v>50</v>
      </c>
      <c r="O395" t="s">
        <v>194</v>
      </c>
      <c r="P395" t="s">
        <v>194</v>
      </c>
      <c r="Q395" t="s">
        <v>194</v>
      </c>
      <c r="R395" t="s">
        <v>195</v>
      </c>
      <c r="S395" t="s">
        <v>195</v>
      </c>
      <c r="T395" t="s">
        <v>51</v>
      </c>
      <c r="U395">
        <v>126</v>
      </c>
      <c r="V395" t="s">
        <v>52</v>
      </c>
      <c r="W395" t="s">
        <v>171</v>
      </c>
      <c r="X395" s="4">
        <v>0</v>
      </c>
      <c r="Y395" t="s">
        <v>57</v>
      </c>
    </row>
    <row r="396" spans="1:47" x14ac:dyDescent="0.25">
      <c r="A396" t="s">
        <v>58</v>
      </c>
      <c r="B396" s="3">
        <v>1430.5</v>
      </c>
      <c r="C396">
        <v>0</v>
      </c>
      <c r="D396">
        <v>0</v>
      </c>
      <c r="E396">
        <v>0</v>
      </c>
      <c r="F396">
        <v>366</v>
      </c>
      <c r="G396" s="3">
        <v>3500</v>
      </c>
      <c r="H396" t="s">
        <v>195</v>
      </c>
      <c r="I396" t="s">
        <v>55</v>
      </c>
      <c r="K396" t="s">
        <v>75</v>
      </c>
      <c r="L396" t="s">
        <v>75</v>
      </c>
      <c r="M396" s="5">
        <v>46105.510405092595</v>
      </c>
      <c r="Q396" t="s">
        <v>195</v>
      </c>
      <c r="R396">
        <v>0</v>
      </c>
      <c r="T396" t="s">
        <v>195</v>
      </c>
      <c r="U396" t="s">
        <v>195</v>
      </c>
      <c r="V396">
        <v>6379</v>
      </c>
      <c r="W396" t="s">
        <v>51</v>
      </c>
    </row>
    <row r="397" spans="1:47" x14ac:dyDescent="0.25">
      <c r="A397" t="s">
        <v>69</v>
      </c>
      <c r="B397" s="1">
        <v>38723</v>
      </c>
      <c r="C397" t="s">
        <v>48</v>
      </c>
      <c r="D397" t="s">
        <v>49</v>
      </c>
      <c r="E397" s="2">
        <v>46105</v>
      </c>
      <c r="F397" t="s">
        <v>147</v>
      </c>
      <c r="G397" t="s">
        <v>137</v>
      </c>
      <c r="H397" s="3">
        <v>47748.5</v>
      </c>
      <c r="I397" s="3">
        <v>47748.5</v>
      </c>
      <c r="J397">
        <v>0</v>
      </c>
      <c r="K397" s="3">
        <v>47748.5</v>
      </c>
      <c r="L397" s="3">
        <v>7029.15</v>
      </c>
      <c r="M397" s="3">
        <v>4428.37</v>
      </c>
      <c r="N397" t="s">
        <v>66</v>
      </c>
      <c r="O397" t="s">
        <v>194</v>
      </c>
      <c r="P397" t="s">
        <v>194</v>
      </c>
      <c r="Q397" t="s">
        <v>194</v>
      </c>
      <c r="R397" t="s">
        <v>195</v>
      </c>
      <c r="S397" t="s">
        <v>195</v>
      </c>
      <c r="T397" t="s">
        <v>51</v>
      </c>
      <c r="U397">
        <v>83</v>
      </c>
      <c r="V397" t="s">
        <v>92</v>
      </c>
      <c r="W397" t="s">
        <v>148</v>
      </c>
      <c r="X397" s="4">
        <v>0</v>
      </c>
      <c r="Y397" t="s">
        <v>54</v>
      </c>
      <c r="Z397">
        <v>0</v>
      </c>
      <c r="AA397">
        <v>0</v>
      </c>
      <c r="AB397" s="3">
        <v>7029.15</v>
      </c>
      <c r="AC397">
        <v>0</v>
      </c>
      <c r="AD397">
        <v>0</v>
      </c>
      <c r="AE397" s="3">
        <v>1900</v>
      </c>
      <c r="AF397" t="s">
        <v>195</v>
      </c>
      <c r="AG397" t="s">
        <v>55</v>
      </c>
      <c r="AI397" t="s">
        <v>65</v>
      </c>
      <c r="AJ397" t="s">
        <v>75</v>
      </c>
      <c r="AK397" s="5">
        <v>46105.608981481484</v>
      </c>
      <c r="AO397" t="s">
        <v>195</v>
      </c>
      <c r="AP397">
        <v>0</v>
      </c>
      <c r="AR397" t="s">
        <v>195</v>
      </c>
      <c r="AS397" t="s">
        <v>195</v>
      </c>
      <c r="AT397">
        <v>4386</v>
      </c>
      <c r="AU397" t="s">
        <v>51</v>
      </c>
    </row>
    <row r="398" spans="1:47" x14ac:dyDescent="0.25">
      <c r="A398" t="s">
        <v>47</v>
      </c>
      <c r="B398" s="1">
        <v>38724</v>
      </c>
      <c r="C398" t="s">
        <v>48</v>
      </c>
      <c r="D398" t="s">
        <v>49</v>
      </c>
      <c r="E398" s="2">
        <v>46105</v>
      </c>
      <c r="F398" t="s">
        <v>80</v>
      </c>
      <c r="G398" t="s">
        <v>76</v>
      </c>
      <c r="H398" s="3">
        <v>35490</v>
      </c>
      <c r="I398" s="3">
        <v>35490</v>
      </c>
      <c r="J398">
        <v>0</v>
      </c>
      <c r="K398" s="3">
        <v>40813.5</v>
      </c>
      <c r="L398" s="3">
        <v>7209</v>
      </c>
      <c r="M398" s="3">
        <v>2535.8000000000002</v>
      </c>
      <c r="N398" t="s">
        <v>70</v>
      </c>
      <c r="O398" t="s">
        <v>194</v>
      </c>
      <c r="P398" t="s">
        <v>194</v>
      </c>
      <c r="Q398" t="s">
        <v>194</v>
      </c>
      <c r="R398" t="s">
        <v>195</v>
      </c>
      <c r="S398" t="s">
        <v>195</v>
      </c>
      <c r="T398" t="s">
        <v>51</v>
      </c>
      <c r="U398">
        <v>9</v>
      </c>
      <c r="V398" t="s">
        <v>63</v>
      </c>
      <c r="W398" t="s">
        <v>81</v>
      </c>
      <c r="X398" s="4">
        <v>0</v>
      </c>
      <c r="Y398" t="s">
        <v>153</v>
      </c>
      <c r="Z398" s="3">
        <v>7209</v>
      </c>
      <c r="AA398">
        <v>0</v>
      </c>
      <c r="AB398">
        <v>0</v>
      </c>
      <c r="AC398">
        <v>0</v>
      </c>
      <c r="AD398">
        <v>0</v>
      </c>
      <c r="AE398" s="3">
        <v>9000</v>
      </c>
      <c r="AF398" t="s">
        <v>195</v>
      </c>
      <c r="AG398" t="s">
        <v>55</v>
      </c>
      <c r="AH398" t="s">
        <v>82</v>
      </c>
      <c r="AI398" t="s">
        <v>75</v>
      </c>
      <c r="AJ398" t="s">
        <v>75</v>
      </c>
      <c r="AK398" s="5">
        <v>46105.608738425923</v>
      </c>
      <c r="AO398" t="s">
        <v>195</v>
      </c>
      <c r="AP398">
        <v>0</v>
      </c>
      <c r="AR398" t="s">
        <v>195</v>
      </c>
      <c r="AS398" t="s">
        <v>195</v>
      </c>
      <c r="AT398">
        <v>161</v>
      </c>
      <c r="AU398" t="s">
        <v>51</v>
      </c>
    </row>
    <row r="399" spans="1:47" x14ac:dyDescent="0.25">
      <c r="M399"/>
    </row>
    <row r="400" spans="1:47" x14ac:dyDescent="0.25">
      <c r="M400"/>
    </row>
    <row r="401" spans="13:13" x14ac:dyDescent="0.25">
      <c r="M401"/>
    </row>
    <row r="402" spans="13:13" x14ac:dyDescent="0.25">
      <c r="M402"/>
    </row>
    <row r="403" spans="13:13" x14ac:dyDescent="0.25">
      <c r="M403"/>
    </row>
    <row r="404" spans="13:13" x14ac:dyDescent="0.25">
      <c r="M404"/>
    </row>
    <row r="405" spans="13:13" x14ac:dyDescent="0.25">
      <c r="M405"/>
    </row>
    <row r="406" spans="13:13" x14ac:dyDescent="0.25">
      <c r="M406"/>
    </row>
    <row r="407" spans="13:13" x14ac:dyDescent="0.25">
      <c r="M407"/>
    </row>
    <row r="408" spans="13:13" x14ac:dyDescent="0.25">
      <c r="M408"/>
    </row>
    <row r="409" spans="13:13" x14ac:dyDescent="0.25">
      <c r="M409"/>
    </row>
    <row r="410" spans="13:13" x14ac:dyDescent="0.25">
      <c r="M410"/>
    </row>
    <row r="411" spans="13:13" x14ac:dyDescent="0.25">
      <c r="M411"/>
    </row>
    <row r="412" spans="13:13" x14ac:dyDescent="0.25">
      <c r="M412"/>
    </row>
    <row r="413" spans="13:13" x14ac:dyDescent="0.25">
      <c r="M413"/>
    </row>
    <row r="414" spans="13:13" x14ac:dyDescent="0.25">
      <c r="M414"/>
    </row>
    <row r="415" spans="13:13" x14ac:dyDescent="0.25">
      <c r="M415"/>
    </row>
    <row r="416" spans="13:13" x14ac:dyDescent="0.25">
      <c r="M416"/>
    </row>
    <row r="417" spans="13:13" x14ac:dyDescent="0.25">
      <c r="M417"/>
    </row>
    <row r="418" spans="13:13" x14ac:dyDescent="0.25">
      <c r="M418"/>
    </row>
    <row r="419" spans="13:13" x14ac:dyDescent="0.25">
      <c r="M419"/>
    </row>
    <row r="420" spans="13:13" x14ac:dyDescent="0.25">
      <c r="M420"/>
    </row>
    <row r="421" spans="13:13" x14ac:dyDescent="0.25">
      <c r="M421"/>
    </row>
    <row r="422" spans="13:13" x14ac:dyDescent="0.25">
      <c r="M422"/>
    </row>
    <row r="423" spans="13:13" x14ac:dyDescent="0.25">
      <c r="M423"/>
    </row>
    <row r="424" spans="13:13" x14ac:dyDescent="0.25">
      <c r="M424"/>
    </row>
    <row r="425" spans="13:13" x14ac:dyDescent="0.25">
      <c r="M425"/>
    </row>
    <row r="426" spans="13:13" x14ac:dyDescent="0.25">
      <c r="M426"/>
    </row>
    <row r="427" spans="13:13" x14ac:dyDescent="0.25">
      <c r="M427"/>
    </row>
    <row r="428" spans="13:13" x14ac:dyDescent="0.25">
      <c r="M428"/>
    </row>
    <row r="429" spans="13:13" x14ac:dyDescent="0.25">
      <c r="M429"/>
    </row>
    <row r="430" spans="13:13" x14ac:dyDescent="0.25">
      <c r="M430"/>
    </row>
    <row r="431" spans="13:13" x14ac:dyDescent="0.25">
      <c r="M431"/>
    </row>
    <row r="432" spans="13:13" x14ac:dyDescent="0.25">
      <c r="M432"/>
    </row>
    <row r="433" spans="13:13" x14ac:dyDescent="0.25">
      <c r="M433"/>
    </row>
    <row r="434" spans="13:13" x14ac:dyDescent="0.25">
      <c r="M434"/>
    </row>
    <row r="435" spans="13:13" x14ac:dyDescent="0.25">
      <c r="M435"/>
    </row>
    <row r="436" spans="13:13" x14ac:dyDescent="0.25">
      <c r="M436"/>
    </row>
    <row r="437" spans="13:13" x14ac:dyDescent="0.25">
      <c r="M437"/>
    </row>
    <row r="438" spans="13:13" x14ac:dyDescent="0.25">
      <c r="M438"/>
    </row>
    <row r="439" spans="13:13" x14ac:dyDescent="0.25">
      <c r="M439"/>
    </row>
    <row r="440" spans="13:13" x14ac:dyDescent="0.25">
      <c r="M440"/>
    </row>
    <row r="441" spans="13:13" x14ac:dyDescent="0.25">
      <c r="M441"/>
    </row>
    <row r="442" spans="13:13" x14ac:dyDescent="0.25">
      <c r="M442"/>
    </row>
    <row r="443" spans="13:13" x14ac:dyDescent="0.25">
      <c r="M443"/>
    </row>
    <row r="444" spans="13:13" x14ac:dyDescent="0.25">
      <c r="M444"/>
    </row>
    <row r="445" spans="13:13" x14ac:dyDescent="0.25">
      <c r="M445"/>
    </row>
    <row r="446" spans="13:13" x14ac:dyDescent="0.25">
      <c r="M446"/>
    </row>
    <row r="447" spans="13:13" x14ac:dyDescent="0.25">
      <c r="M447"/>
    </row>
    <row r="448" spans="13:13" x14ac:dyDescent="0.25">
      <c r="M448"/>
    </row>
    <row r="449" spans="13:13" x14ac:dyDescent="0.25">
      <c r="M449"/>
    </row>
    <row r="450" spans="13:13" x14ac:dyDescent="0.25">
      <c r="M450"/>
    </row>
    <row r="451" spans="13:13" x14ac:dyDescent="0.25">
      <c r="M451"/>
    </row>
    <row r="452" spans="13:13" x14ac:dyDescent="0.25">
      <c r="M452"/>
    </row>
    <row r="453" spans="13:13" x14ac:dyDescent="0.25">
      <c r="M453"/>
    </row>
    <row r="454" spans="13:13" x14ac:dyDescent="0.25">
      <c r="M454"/>
    </row>
    <row r="455" spans="13:13" x14ac:dyDescent="0.25">
      <c r="M455"/>
    </row>
    <row r="456" spans="13:13" x14ac:dyDescent="0.25">
      <c r="M456"/>
    </row>
    <row r="457" spans="13:13" x14ac:dyDescent="0.25">
      <c r="M457"/>
    </row>
    <row r="458" spans="13:13" x14ac:dyDescent="0.25">
      <c r="M458"/>
    </row>
    <row r="459" spans="13:13" x14ac:dyDescent="0.25">
      <c r="M459"/>
    </row>
    <row r="460" spans="13:13" x14ac:dyDescent="0.25">
      <c r="M460"/>
    </row>
    <row r="461" spans="13:13" x14ac:dyDescent="0.25">
      <c r="M461"/>
    </row>
    <row r="462" spans="13:13" x14ac:dyDescent="0.25">
      <c r="M462"/>
    </row>
    <row r="463" spans="13:13" x14ac:dyDescent="0.25">
      <c r="M463"/>
    </row>
    <row r="464" spans="13:13" x14ac:dyDescent="0.25">
      <c r="M464"/>
    </row>
    <row r="465" spans="13:13" x14ac:dyDescent="0.25">
      <c r="M465"/>
    </row>
    <row r="466" spans="13:13" x14ac:dyDescent="0.25">
      <c r="M466"/>
    </row>
    <row r="467" spans="13:13" x14ac:dyDescent="0.25">
      <c r="M467"/>
    </row>
    <row r="468" spans="13:13" x14ac:dyDescent="0.25">
      <c r="M468"/>
    </row>
    <row r="469" spans="13:13" x14ac:dyDescent="0.25">
      <c r="M469"/>
    </row>
    <row r="470" spans="13:13" x14ac:dyDescent="0.25">
      <c r="M470"/>
    </row>
    <row r="471" spans="13:13" x14ac:dyDescent="0.25">
      <c r="M471"/>
    </row>
    <row r="472" spans="13:13" x14ac:dyDescent="0.25">
      <c r="M472"/>
    </row>
    <row r="473" spans="13:13" x14ac:dyDescent="0.25">
      <c r="M473"/>
    </row>
    <row r="474" spans="13:13" x14ac:dyDescent="0.25">
      <c r="M474"/>
    </row>
    <row r="475" spans="13:13" x14ac:dyDescent="0.25">
      <c r="M475"/>
    </row>
    <row r="476" spans="13:13" x14ac:dyDescent="0.25">
      <c r="M476"/>
    </row>
    <row r="477" spans="13:13" x14ac:dyDescent="0.25">
      <c r="M477"/>
    </row>
    <row r="478" spans="13:13" x14ac:dyDescent="0.25">
      <c r="M478"/>
    </row>
    <row r="479" spans="13:13" x14ac:dyDescent="0.25">
      <c r="M479"/>
    </row>
    <row r="480" spans="13:13" x14ac:dyDescent="0.25">
      <c r="M480"/>
    </row>
    <row r="481" spans="13:13" x14ac:dyDescent="0.25">
      <c r="M481"/>
    </row>
    <row r="482" spans="13:13" x14ac:dyDescent="0.25">
      <c r="M482"/>
    </row>
    <row r="483" spans="13:13" x14ac:dyDescent="0.25">
      <c r="M483"/>
    </row>
    <row r="484" spans="13:13" x14ac:dyDescent="0.25">
      <c r="M484"/>
    </row>
    <row r="485" spans="13:13" x14ac:dyDescent="0.25">
      <c r="M485"/>
    </row>
    <row r="486" spans="13:13" x14ac:dyDescent="0.25">
      <c r="M486"/>
    </row>
    <row r="487" spans="13:13" x14ac:dyDescent="0.25">
      <c r="M487"/>
    </row>
    <row r="488" spans="13:13" x14ac:dyDescent="0.25">
      <c r="M488"/>
    </row>
    <row r="489" spans="13:13" x14ac:dyDescent="0.25">
      <c r="M489"/>
    </row>
    <row r="490" spans="13:13" x14ac:dyDescent="0.25">
      <c r="M490"/>
    </row>
    <row r="491" spans="13:13" x14ac:dyDescent="0.25">
      <c r="M491"/>
    </row>
    <row r="492" spans="13:13" x14ac:dyDescent="0.25">
      <c r="M492"/>
    </row>
    <row r="493" spans="13:13" x14ac:dyDescent="0.25">
      <c r="M493"/>
    </row>
    <row r="494" spans="13:13" x14ac:dyDescent="0.25">
      <c r="M494"/>
    </row>
    <row r="495" spans="13:13" x14ac:dyDescent="0.25">
      <c r="M495"/>
    </row>
    <row r="496" spans="13:13" x14ac:dyDescent="0.25">
      <c r="M496"/>
    </row>
    <row r="497" spans="2:37" x14ac:dyDescent="0.25">
      <c r="M497"/>
    </row>
    <row r="498" spans="2:37" x14ac:dyDescent="0.25">
      <c r="M498"/>
    </row>
    <row r="499" spans="2:37" x14ac:dyDescent="0.25">
      <c r="M499"/>
    </row>
    <row r="500" spans="2:37" x14ac:dyDescent="0.25">
      <c r="M500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D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A502" s="3"/>
      <c r="AD502" s="3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</row>
    <row r="504" spans="2:37" x14ac:dyDescent="0.25">
      <c r="B504" s="1"/>
      <c r="D504" s="3"/>
      <c r="E504" s="2"/>
      <c r="G504" s="3"/>
      <c r="H504" s="3"/>
      <c r="I504" s="3"/>
      <c r="K504" s="3"/>
      <c r="L504" s="3"/>
      <c r="X504" s="4"/>
      <c r="Z504" s="3"/>
      <c r="AB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Z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H507" s="3"/>
      <c r="I507" s="3"/>
      <c r="K507" s="3"/>
      <c r="X507" s="4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</row>
    <row r="509" spans="2:37" x14ac:dyDescent="0.25">
      <c r="B509" s="1"/>
      <c r="E509" s="2"/>
      <c r="F509" s="3"/>
      <c r="G509" s="3"/>
      <c r="H509" s="3"/>
      <c r="I509" s="3"/>
      <c r="K509" s="3"/>
      <c r="L509" s="3"/>
      <c r="X509" s="4"/>
      <c r="AB509" s="3"/>
      <c r="AE509" s="3"/>
      <c r="AK509" s="5"/>
    </row>
    <row r="510" spans="2:37" x14ac:dyDescent="0.25">
      <c r="B510" s="3"/>
      <c r="E510" s="2"/>
      <c r="G510" s="3"/>
      <c r="H510" s="3"/>
      <c r="I510" s="3"/>
      <c r="K510" s="3"/>
      <c r="L510" s="3"/>
      <c r="X510" s="4"/>
      <c r="Z510" s="3"/>
      <c r="AE510" s="3"/>
      <c r="AK510" s="5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  <c r="AK511" s="5"/>
    </row>
    <row r="512" spans="2:37" x14ac:dyDescent="0.25">
      <c r="B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B513" s="3"/>
      <c r="AE513" s="3"/>
      <c r="AK513" s="5"/>
    </row>
    <row r="514" spans="2:37" x14ac:dyDescent="0.25">
      <c r="B514" s="1"/>
      <c r="E514" s="2"/>
      <c r="G514" s="3"/>
      <c r="H514" s="3"/>
      <c r="I514" s="3"/>
      <c r="K514" s="3"/>
      <c r="L514" s="3"/>
      <c r="X514" s="4"/>
      <c r="AK514" s="5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  <c r="AB515" s="3"/>
      <c r="AE515" s="3"/>
      <c r="AK515" s="5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AB516" s="3"/>
      <c r="AE516" s="3"/>
      <c r="AK516" s="5"/>
    </row>
    <row r="517" spans="2:37" x14ac:dyDescent="0.25">
      <c r="B517" s="3"/>
      <c r="E517" s="2"/>
      <c r="G517" s="3"/>
      <c r="H517" s="3"/>
      <c r="I517" s="3"/>
      <c r="K517" s="3"/>
      <c r="L517" s="3"/>
      <c r="X517" s="4"/>
      <c r="AB517" s="3"/>
      <c r="AE517" s="3"/>
      <c r="AK517" s="5"/>
    </row>
    <row r="518" spans="2:37" x14ac:dyDescent="0.25">
      <c r="B518" s="1"/>
      <c r="D518" s="3"/>
      <c r="E518" s="2"/>
      <c r="G518" s="3"/>
      <c r="H518" s="3"/>
      <c r="I518" s="3"/>
      <c r="K518" s="3"/>
      <c r="L518" s="3"/>
      <c r="X518" s="4"/>
      <c r="Z518" s="3"/>
      <c r="AE518" s="3"/>
      <c r="AK518" s="5"/>
    </row>
    <row r="519" spans="2:37" x14ac:dyDescent="0.25">
      <c r="B519" s="1"/>
      <c r="D519" s="3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  <c r="AE521" s="3"/>
      <c r="AK521" s="5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Z522" s="3"/>
      <c r="AD522" s="3"/>
      <c r="AE522" s="3"/>
      <c r="AK522" s="5"/>
    </row>
    <row r="523" spans="2:37" x14ac:dyDescent="0.25">
      <c r="B523" s="1"/>
      <c r="E523" s="2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E524" s="2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</row>
    <row r="526" spans="2:37" x14ac:dyDescent="0.25">
      <c r="B526" s="1"/>
      <c r="D526" s="3"/>
      <c r="E526" s="2"/>
      <c r="F526" s="3"/>
      <c r="G526" s="3"/>
      <c r="X526" s="4"/>
    </row>
    <row r="527" spans="2:37" x14ac:dyDescent="0.25">
      <c r="B527" s="1"/>
      <c r="E527" s="2"/>
      <c r="H527" s="3"/>
      <c r="I527" s="3"/>
      <c r="K527" s="3"/>
      <c r="L527" s="3"/>
      <c r="X527" s="4"/>
    </row>
    <row r="528" spans="2:37" x14ac:dyDescent="0.25">
      <c r="B528" s="1"/>
      <c r="D528" s="3"/>
      <c r="E528" s="2"/>
      <c r="F528" s="3"/>
      <c r="G528" s="3"/>
      <c r="H528" s="3"/>
      <c r="I528" s="3"/>
      <c r="K528" s="3"/>
      <c r="X528" s="4"/>
    </row>
    <row r="529" spans="2:37" x14ac:dyDescent="0.25">
      <c r="B529" s="1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X530" s="4"/>
    </row>
    <row r="531" spans="2:37" x14ac:dyDescent="0.25">
      <c r="B531" s="1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E532" s="2"/>
      <c r="F532" s="3"/>
      <c r="G532" s="3"/>
      <c r="H532" s="3"/>
      <c r="I532" s="3"/>
      <c r="K532" s="3"/>
      <c r="L532" s="3"/>
      <c r="X532" s="4"/>
    </row>
    <row r="533" spans="2:37" x14ac:dyDescent="0.25">
      <c r="B533" s="1"/>
      <c r="E533" s="2"/>
      <c r="F533" s="3"/>
      <c r="G533" s="3"/>
      <c r="H533" s="3"/>
      <c r="I533" s="3"/>
      <c r="K533" s="3"/>
      <c r="L533" s="3"/>
      <c r="X533" s="4"/>
      <c r="AK533" s="5"/>
    </row>
    <row r="534" spans="2:37" x14ac:dyDescent="0.25">
      <c r="B534" s="1"/>
      <c r="E534" s="2"/>
      <c r="F534" s="3"/>
      <c r="H534" s="3"/>
      <c r="I534" s="3"/>
      <c r="K534" s="3"/>
      <c r="L534" s="3"/>
      <c r="X534" s="4"/>
      <c r="Z534" s="3"/>
      <c r="AE534" s="3"/>
      <c r="AK534" s="5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B535" s="3"/>
      <c r="AD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AB536" s="3"/>
      <c r="AE536" s="3"/>
      <c r="AK536" s="5"/>
    </row>
    <row r="537" spans="2:37" x14ac:dyDescent="0.25">
      <c r="B537" s="1"/>
      <c r="E537" s="2"/>
      <c r="G537" s="3"/>
      <c r="H537" s="3"/>
      <c r="I537" s="3"/>
      <c r="K537" s="3"/>
      <c r="L537" s="3"/>
      <c r="X537" s="4"/>
      <c r="AK537" s="5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  <c r="AB538" s="3"/>
      <c r="AE538" s="3"/>
      <c r="AK538" s="5"/>
    </row>
    <row r="539" spans="2:37" x14ac:dyDescent="0.25">
      <c r="B539" s="1"/>
      <c r="E539" s="2"/>
      <c r="G539" s="3"/>
      <c r="H539" s="3"/>
      <c r="I539" s="3"/>
      <c r="K539" s="3"/>
      <c r="L539" s="3"/>
      <c r="X539" s="4"/>
      <c r="AB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Z540" s="3"/>
      <c r="AE540" s="3"/>
      <c r="AK540" s="5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  <c r="Z541" s="3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G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H544" s="3"/>
      <c r="I544" s="3"/>
      <c r="K544" s="3"/>
      <c r="L544" s="3"/>
      <c r="X544" s="4"/>
      <c r="Z544" s="3"/>
      <c r="AB544" s="3"/>
      <c r="AE544" s="3"/>
      <c r="AK544" s="5"/>
    </row>
    <row r="545" spans="2:37" x14ac:dyDescent="0.25">
      <c r="B545" s="1"/>
      <c r="E545" s="2"/>
      <c r="F545" s="3"/>
      <c r="G545" s="3"/>
      <c r="H545" s="3"/>
      <c r="I545" s="3"/>
      <c r="K545" s="3"/>
      <c r="X545" s="4"/>
      <c r="AE545" s="3"/>
      <c r="AK545" s="5"/>
    </row>
    <row r="546" spans="2:37" x14ac:dyDescent="0.25">
      <c r="B546" s="1"/>
      <c r="E546" s="2"/>
      <c r="H546" s="3"/>
      <c r="I546" s="3"/>
      <c r="K546" s="3"/>
      <c r="L546" s="3"/>
      <c r="X546" s="4"/>
      <c r="AD546" s="3"/>
      <c r="AE546" s="3"/>
      <c r="AK546" s="5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B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D548" s="3"/>
      <c r="AE548" s="3"/>
      <c r="AK548" s="5"/>
    </row>
    <row r="549" spans="2:37" x14ac:dyDescent="0.25">
      <c r="B549" s="1"/>
      <c r="E549" s="2"/>
      <c r="F549" s="3"/>
      <c r="G549" s="3"/>
      <c r="H549" s="3"/>
      <c r="I549" s="3"/>
      <c r="K549" s="3"/>
      <c r="L549" s="3"/>
      <c r="X549" s="4"/>
      <c r="AE549" s="3"/>
      <c r="AK549" s="5"/>
    </row>
    <row r="550" spans="2:37" x14ac:dyDescent="0.25">
      <c r="B550" s="3"/>
      <c r="E550" s="2"/>
      <c r="G550" s="3"/>
      <c r="H550" s="3"/>
      <c r="I550" s="3"/>
      <c r="K550" s="3"/>
      <c r="L550" s="3"/>
      <c r="X550" s="4"/>
    </row>
    <row r="551" spans="2:37" x14ac:dyDescent="0.25">
      <c r="B551" s="1"/>
      <c r="E551" s="2"/>
      <c r="F551" s="3"/>
      <c r="G551" s="3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H552" s="3"/>
      <c r="I552" s="3"/>
      <c r="K552" s="3"/>
      <c r="L552" s="3"/>
      <c r="X552" s="4"/>
      <c r="AD552" s="3"/>
      <c r="AE552" s="3"/>
      <c r="AK552" s="5"/>
    </row>
    <row r="553" spans="2:37" x14ac:dyDescent="0.25">
      <c r="B553" s="1"/>
      <c r="E553" s="2"/>
      <c r="F553" s="3"/>
      <c r="G553" s="3"/>
      <c r="H553" s="3"/>
      <c r="I553" s="3"/>
      <c r="K553" s="3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</row>
    <row r="555" spans="2:37" x14ac:dyDescent="0.25">
      <c r="B555" s="3"/>
      <c r="E555" s="2"/>
      <c r="F555" s="3"/>
      <c r="G555" s="3"/>
      <c r="H555" s="3"/>
      <c r="I555" s="3"/>
      <c r="K555" s="3"/>
      <c r="L555" s="3"/>
      <c r="X555" s="4"/>
      <c r="Z555" s="3"/>
      <c r="AE555" s="3"/>
      <c r="AK555" s="5"/>
    </row>
    <row r="556" spans="2:37" x14ac:dyDescent="0.25">
      <c r="B556" s="1"/>
      <c r="E556" s="2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AB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AB558" s="3"/>
      <c r="AK558" s="5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</row>
    <row r="561" spans="2:37" x14ac:dyDescent="0.25">
      <c r="B561" s="3"/>
      <c r="G561" s="3"/>
    </row>
    <row r="562" spans="2:37" x14ac:dyDescent="0.25">
      <c r="B562" s="1"/>
      <c r="E562" s="2"/>
      <c r="H562" s="3"/>
      <c r="I562" s="3"/>
      <c r="K562" s="3"/>
      <c r="L562" s="3"/>
      <c r="X562" s="4"/>
      <c r="AB562" s="3"/>
      <c r="AE562" s="3"/>
      <c r="AK562" s="5"/>
    </row>
    <row r="563" spans="2:37" x14ac:dyDescent="0.25">
      <c r="B563" s="1"/>
      <c r="E563" s="2"/>
      <c r="H563" s="3"/>
      <c r="I563" s="3"/>
      <c r="K563" s="3"/>
      <c r="X563" s="4"/>
    </row>
    <row r="564" spans="2:37" x14ac:dyDescent="0.25">
      <c r="B564" s="1"/>
      <c r="E564" s="2"/>
      <c r="H564" s="3"/>
      <c r="I564" s="3"/>
      <c r="K564" s="3"/>
      <c r="X564" s="4"/>
    </row>
    <row r="565" spans="2:37" x14ac:dyDescent="0.25">
      <c r="B565" s="1"/>
      <c r="E565" s="2"/>
      <c r="H565" s="3"/>
      <c r="I565" s="3"/>
      <c r="K565" s="3"/>
      <c r="X565" s="4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</row>
    <row r="567" spans="2:37" x14ac:dyDescent="0.25">
      <c r="F567" s="3"/>
      <c r="G567" s="3"/>
    </row>
    <row r="568" spans="2:37" x14ac:dyDescent="0.25">
      <c r="B568" s="1"/>
      <c r="E568" s="2"/>
      <c r="H568" s="3"/>
      <c r="I568" s="3"/>
      <c r="K568" s="3"/>
      <c r="L568" s="3"/>
      <c r="X568" s="4"/>
    </row>
    <row r="569" spans="2:37" x14ac:dyDescent="0.25">
      <c r="B569" s="3"/>
      <c r="D569" s="3"/>
      <c r="F569" s="3"/>
      <c r="G569" s="3"/>
    </row>
    <row r="570" spans="2:37" x14ac:dyDescent="0.25">
      <c r="B570" s="1"/>
      <c r="E570" s="2"/>
      <c r="H570" s="3"/>
      <c r="I570" s="3"/>
      <c r="K570" s="3"/>
      <c r="L570" s="3"/>
      <c r="X570" s="4"/>
      <c r="AD570" s="3"/>
      <c r="AE570" s="3"/>
      <c r="AK570" s="5"/>
    </row>
    <row r="571" spans="2:37" x14ac:dyDescent="0.25">
      <c r="B571" s="3"/>
      <c r="E571" s="2"/>
      <c r="G571" s="3"/>
      <c r="X571" s="4"/>
    </row>
    <row r="572" spans="2:37" x14ac:dyDescent="0.25">
      <c r="B572" s="1"/>
      <c r="E572" s="2"/>
      <c r="H572" s="3"/>
      <c r="I572" s="3"/>
      <c r="K572" s="3"/>
      <c r="L572" s="3"/>
      <c r="X572" s="4"/>
      <c r="Z572" s="3"/>
      <c r="AB572" s="3"/>
      <c r="AE572" s="3"/>
      <c r="AK572" s="5"/>
    </row>
    <row r="573" spans="2:37" x14ac:dyDescent="0.25">
      <c r="B573" s="1"/>
      <c r="E573" s="2"/>
      <c r="H573" s="3"/>
      <c r="I573" s="3"/>
      <c r="K573" s="3"/>
      <c r="L573" s="3"/>
      <c r="X573" s="4"/>
      <c r="Z573" s="3"/>
      <c r="AE573" s="3"/>
      <c r="AK573" s="5"/>
    </row>
    <row r="574" spans="2:37" x14ac:dyDescent="0.25">
      <c r="B574" s="1"/>
      <c r="E574" s="2"/>
      <c r="G574" s="3"/>
      <c r="H574" s="3"/>
      <c r="I574" s="3"/>
      <c r="K574" s="3"/>
      <c r="X574" s="4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E575" s="3"/>
      <c r="AK575" s="5"/>
    </row>
    <row r="576" spans="2:37" x14ac:dyDescent="0.25">
      <c r="B576" s="3"/>
      <c r="D576" s="3"/>
      <c r="E576" s="2"/>
      <c r="G576" s="3"/>
      <c r="H576" s="3"/>
      <c r="I576" s="3"/>
      <c r="K576" s="3"/>
      <c r="L576" s="3"/>
      <c r="X576" s="4"/>
    </row>
    <row r="577" spans="2:37" x14ac:dyDescent="0.25">
      <c r="B577" s="1"/>
      <c r="E577" s="2"/>
      <c r="G577" s="3"/>
      <c r="H577" s="3"/>
      <c r="I577" s="3"/>
      <c r="K577" s="3"/>
      <c r="L577" s="3"/>
      <c r="X577" s="4"/>
      <c r="Z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AK578" s="5"/>
    </row>
    <row r="579" spans="2:37" x14ac:dyDescent="0.25">
      <c r="B579" s="1"/>
      <c r="E579" s="2"/>
      <c r="G579" s="3"/>
      <c r="H579" s="3"/>
      <c r="I579" s="3"/>
      <c r="K579" s="3"/>
      <c r="L579" s="3"/>
      <c r="X579" s="4"/>
    </row>
    <row r="580" spans="2:37" x14ac:dyDescent="0.25">
      <c r="B580" s="3"/>
      <c r="E580" s="2"/>
      <c r="G580" s="3"/>
      <c r="H580" s="3"/>
      <c r="I580" s="3"/>
      <c r="K580" s="3"/>
      <c r="L580" s="3"/>
      <c r="X580" s="4"/>
      <c r="AE580" s="3"/>
      <c r="AK580" s="5"/>
    </row>
    <row r="581" spans="2:37" x14ac:dyDescent="0.25">
      <c r="B581" s="1"/>
      <c r="E581" s="2"/>
      <c r="G581" s="3"/>
      <c r="H581" s="3"/>
      <c r="I581" s="3"/>
      <c r="K581" s="3"/>
      <c r="X581" s="4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AD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L583" s="3"/>
      <c r="X583" s="4"/>
      <c r="Z583" s="3"/>
      <c r="AE583" s="3"/>
      <c r="AK583" s="5"/>
    </row>
    <row r="584" spans="2:37" x14ac:dyDescent="0.25">
      <c r="B584" s="1"/>
      <c r="E584" s="2"/>
      <c r="G584" s="3"/>
      <c r="H584" s="3"/>
      <c r="I584" s="3"/>
      <c r="K584" s="3"/>
      <c r="L584" s="3"/>
      <c r="X584" s="4"/>
    </row>
    <row r="585" spans="2:37" x14ac:dyDescent="0.25">
      <c r="B585" s="1"/>
      <c r="E585" s="2"/>
      <c r="G585" s="3"/>
      <c r="H585" s="3"/>
      <c r="I585" s="3"/>
      <c r="K585" s="3"/>
      <c r="L585" s="3"/>
      <c r="X585" s="4"/>
      <c r="AB585" s="3"/>
      <c r="AK585" s="5"/>
    </row>
    <row r="586" spans="2:37" x14ac:dyDescent="0.25">
      <c r="B586" s="1"/>
      <c r="E586" s="2"/>
      <c r="H586" s="3"/>
      <c r="I586" s="3"/>
      <c r="K586" s="3"/>
      <c r="L586" s="3"/>
      <c r="X586" s="4"/>
    </row>
    <row r="587" spans="2:37" x14ac:dyDescent="0.25">
      <c r="B587" s="3"/>
      <c r="D587" s="3"/>
      <c r="G587" s="3"/>
    </row>
    <row r="588" spans="2:37" x14ac:dyDescent="0.25">
      <c r="B588" s="1"/>
      <c r="E588" s="2"/>
      <c r="H588" s="3"/>
      <c r="I588" s="3"/>
      <c r="K588" s="3"/>
      <c r="L588" s="3"/>
      <c r="X588" s="4"/>
      <c r="AE588" s="3"/>
      <c r="AK588" s="5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Z589" s="3"/>
      <c r="AB589" s="3"/>
      <c r="AE589" s="3"/>
      <c r="AK589" s="5"/>
    </row>
    <row r="590" spans="2:37" x14ac:dyDescent="0.25">
      <c r="B590" s="1"/>
      <c r="E590" s="2"/>
      <c r="H590" s="3"/>
      <c r="I590" s="3"/>
      <c r="K590" s="3"/>
      <c r="L590" s="3"/>
      <c r="X590" s="4"/>
      <c r="AD590" s="3"/>
      <c r="AE590" s="3"/>
      <c r="AK590" s="5"/>
    </row>
    <row r="591" spans="2:37" x14ac:dyDescent="0.25">
      <c r="B591" s="1"/>
      <c r="E591" s="2"/>
      <c r="G591" s="3"/>
      <c r="H591" s="3"/>
      <c r="I591" s="3"/>
      <c r="K591" s="3"/>
      <c r="X591" s="4"/>
      <c r="AE591" s="3"/>
      <c r="AK591" s="5"/>
    </row>
    <row r="592" spans="2:37" x14ac:dyDescent="0.25">
      <c r="B592" s="1"/>
      <c r="E592" s="2"/>
      <c r="F592" s="3"/>
      <c r="G592" s="3"/>
      <c r="H592" s="3"/>
      <c r="I592" s="3"/>
      <c r="K592" s="3"/>
      <c r="L592" s="3"/>
      <c r="X592" s="4"/>
      <c r="AD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X593" s="4"/>
      <c r="AK593" s="5"/>
    </row>
    <row r="594" spans="2:37" x14ac:dyDescent="0.25">
      <c r="B594" s="1"/>
      <c r="E594" s="2"/>
      <c r="H594" s="3"/>
      <c r="I594" s="3"/>
      <c r="K594" s="3"/>
      <c r="L594" s="3"/>
      <c r="X594" s="4"/>
      <c r="AD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L595" s="3"/>
      <c r="X595" s="4"/>
      <c r="Z595" s="3"/>
      <c r="AE595" s="3"/>
      <c r="AK595" s="5"/>
    </row>
    <row r="596" spans="2:37" x14ac:dyDescent="0.25">
      <c r="B596" s="1"/>
      <c r="D596" s="3"/>
      <c r="E596" s="2"/>
      <c r="H596" s="3"/>
      <c r="I596" s="3"/>
      <c r="K596" s="3"/>
      <c r="X596" s="4"/>
    </row>
    <row r="597" spans="2:37" x14ac:dyDescent="0.25">
      <c r="B597" s="1"/>
      <c r="E597" s="2"/>
      <c r="G597" s="3"/>
      <c r="H597" s="3"/>
      <c r="I597" s="3"/>
      <c r="K597" s="3"/>
      <c r="X597" s="4"/>
    </row>
    <row r="598" spans="2:37" x14ac:dyDescent="0.25">
      <c r="B598" s="1"/>
      <c r="E598" s="2"/>
      <c r="H598" s="3"/>
      <c r="I598" s="3"/>
      <c r="K598" s="3"/>
      <c r="X598" s="4"/>
    </row>
    <row r="599" spans="2:37" x14ac:dyDescent="0.25">
      <c r="B599" s="1"/>
      <c r="E599" s="2"/>
      <c r="H599" s="3"/>
      <c r="I599" s="3"/>
      <c r="K599" s="3"/>
      <c r="X599" s="4"/>
    </row>
    <row r="600" spans="2:37" x14ac:dyDescent="0.25">
      <c r="B600" s="1"/>
      <c r="E600" s="2"/>
      <c r="G600" s="3"/>
      <c r="H600" s="3"/>
      <c r="I600" s="3"/>
      <c r="K600" s="3"/>
      <c r="L600" s="3"/>
      <c r="X600" s="4"/>
      <c r="AD600" s="3"/>
      <c r="AE600" s="3"/>
      <c r="AK600" s="5"/>
    </row>
    <row r="601" spans="2:37" x14ac:dyDescent="0.25">
      <c r="B601" s="1"/>
      <c r="E601" s="2"/>
      <c r="G601" s="3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L602" s="3"/>
      <c r="X602" s="4"/>
    </row>
    <row r="603" spans="2:37" x14ac:dyDescent="0.25">
      <c r="B603" s="1"/>
      <c r="E603" s="2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</row>
    <row r="605" spans="2:37" x14ac:dyDescent="0.25">
      <c r="B605" s="3"/>
      <c r="E605" s="2"/>
      <c r="G605" s="3"/>
      <c r="H605" s="3"/>
      <c r="I605" s="3"/>
      <c r="K605" s="3"/>
    </row>
    <row r="606" spans="2:37" x14ac:dyDescent="0.25">
      <c r="B606" s="1"/>
      <c r="E606" s="2"/>
      <c r="H606" s="3"/>
      <c r="I606" s="3"/>
      <c r="K606" s="3"/>
      <c r="L606" s="3"/>
      <c r="X606" s="4"/>
      <c r="Z606" s="3"/>
      <c r="AE606" s="3"/>
      <c r="AK606" s="5"/>
    </row>
    <row r="607" spans="2:37" x14ac:dyDescent="0.25">
      <c r="B607" s="1"/>
      <c r="E607" s="2"/>
      <c r="H607" s="3"/>
      <c r="I607" s="3"/>
      <c r="K607" s="3"/>
      <c r="L607" s="3"/>
      <c r="X607" s="4"/>
      <c r="Z607" s="3"/>
      <c r="AE607" s="3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Z608" s="3"/>
      <c r="AB608" s="3"/>
      <c r="AE608" s="3"/>
      <c r="AK608" s="5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E610" s="3"/>
      <c r="AK610" s="5"/>
    </row>
    <row r="611" spans="2:37" x14ac:dyDescent="0.25">
      <c r="B611" s="1"/>
      <c r="E611" s="2"/>
      <c r="H611" s="3"/>
      <c r="I611" s="3"/>
      <c r="K611" s="3"/>
      <c r="X611" s="4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AB612" s="3"/>
      <c r="AD612" s="3"/>
      <c r="AE612" s="3"/>
      <c r="AK612" s="5"/>
    </row>
    <row r="613" spans="2:37" x14ac:dyDescent="0.25">
      <c r="B613" s="1"/>
      <c r="D613" s="3"/>
      <c r="E613" s="2"/>
      <c r="G613" s="3"/>
      <c r="H613" s="3"/>
      <c r="I613" s="3"/>
      <c r="K613" s="3"/>
      <c r="L613" s="3"/>
      <c r="X613" s="4"/>
      <c r="AD613" s="3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Z614" s="3"/>
      <c r="AE614" s="3"/>
      <c r="AK614" s="5"/>
    </row>
    <row r="615" spans="2:37" x14ac:dyDescent="0.25">
      <c r="B615" s="1"/>
      <c r="D615" s="3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H616" s="3"/>
      <c r="I616" s="3"/>
      <c r="K616" s="3"/>
      <c r="X616" s="4"/>
    </row>
    <row r="617" spans="2:37" x14ac:dyDescent="0.25">
      <c r="B617" s="1"/>
      <c r="E617" s="2"/>
      <c r="H617" s="3"/>
      <c r="I617" s="3"/>
      <c r="K617" s="3"/>
      <c r="X617" s="4"/>
    </row>
    <row r="618" spans="2:37" x14ac:dyDescent="0.25">
      <c r="B618" s="1"/>
      <c r="E618" s="2"/>
      <c r="H618" s="3"/>
      <c r="I618" s="3"/>
      <c r="K618" s="3"/>
      <c r="L618" s="3"/>
      <c r="X618" s="4"/>
    </row>
    <row r="619" spans="2:37" x14ac:dyDescent="0.25">
      <c r="B619" s="1"/>
      <c r="E619" s="2"/>
      <c r="G619" s="3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L620" s="3"/>
      <c r="X620" s="4"/>
    </row>
    <row r="621" spans="2:37" x14ac:dyDescent="0.25">
      <c r="B621" s="1"/>
      <c r="D621" s="3"/>
      <c r="E621" s="2"/>
      <c r="G621" s="3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  <c r="AD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AB624" s="3"/>
      <c r="AD624" s="3"/>
      <c r="AE624" s="3"/>
      <c r="AK624" s="5"/>
    </row>
    <row r="625" spans="2:37" x14ac:dyDescent="0.25">
      <c r="B625" s="1"/>
      <c r="E625" s="2"/>
      <c r="G625" s="3"/>
      <c r="H625" s="3"/>
      <c r="I625" s="3"/>
      <c r="K625" s="3"/>
      <c r="L625" s="3"/>
      <c r="X625" s="4"/>
      <c r="Z625" s="3"/>
      <c r="AB625" s="3"/>
      <c r="AD625" s="3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E626" s="3"/>
      <c r="AK626" s="5"/>
    </row>
    <row r="627" spans="2:37" x14ac:dyDescent="0.25">
      <c r="B627" s="1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G628" s="3"/>
      <c r="H628" s="3"/>
      <c r="I628" s="3"/>
      <c r="K628" s="3"/>
      <c r="L628" s="3"/>
      <c r="X628" s="4"/>
      <c r="AD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L629" s="3"/>
      <c r="X629" s="4"/>
      <c r="AD629" s="3"/>
      <c r="AE629" s="3"/>
      <c r="AK629" s="5"/>
    </row>
    <row r="630" spans="2:37" x14ac:dyDescent="0.25">
      <c r="B630" s="1"/>
      <c r="E630" s="2"/>
      <c r="H630" s="3"/>
      <c r="I630" s="3"/>
      <c r="K630" s="3"/>
      <c r="L630" s="3"/>
      <c r="X630" s="4"/>
      <c r="AE630" s="3"/>
      <c r="AK630" s="5"/>
    </row>
    <row r="631" spans="2:37" x14ac:dyDescent="0.25">
      <c r="B631" s="1"/>
      <c r="E631" s="2"/>
      <c r="F631" s="3"/>
      <c r="G631" s="3"/>
      <c r="H631" s="3"/>
      <c r="I631" s="3"/>
      <c r="K631" s="3"/>
      <c r="X631" s="4"/>
      <c r="AK631" s="5"/>
    </row>
    <row r="632" spans="2:37" x14ac:dyDescent="0.25">
      <c r="B632" s="1"/>
      <c r="E632" s="2"/>
      <c r="H632" s="3"/>
      <c r="I632" s="3"/>
      <c r="K632" s="3"/>
      <c r="X632" s="4"/>
      <c r="AE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Z633" s="3"/>
      <c r="AD633" s="3"/>
      <c r="AE633" s="3"/>
      <c r="AK633" s="5"/>
    </row>
    <row r="634" spans="2:37" x14ac:dyDescent="0.25">
      <c r="B634" s="1"/>
      <c r="E634" s="2"/>
      <c r="H634" s="3"/>
      <c r="I634" s="3"/>
      <c r="K634" s="3"/>
      <c r="L634" s="3"/>
      <c r="X634" s="4"/>
      <c r="AE634" s="3"/>
      <c r="AK634" s="5"/>
    </row>
    <row r="635" spans="2:37" x14ac:dyDescent="0.25">
      <c r="B635" s="1"/>
      <c r="D635" s="3"/>
      <c r="E635" s="2"/>
      <c r="G635" s="3"/>
      <c r="H635" s="3"/>
      <c r="I635" s="3"/>
      <c r="K635" s="3"/>
      <c r="L635" s="3"/>
      <c r="X635" s="4"/>
      <c r="AD635" s="3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Z636" s="3"/>
      <c r="AB636" s="3"/>
      <c r="AD636" s="3"/>
      <c r="AE636" s="3"/>
      <c r="AK636" s="5"/>
    </row>
    <row r="637" spans="2:37" x14ac:dyDescent="0.25">
      <c r="B637" s="1"/>
      <c r="E637" s="2"/>
      <c r="F637" s="3"/>
      <c r="G637" s="3"/>
      <c r="H637" s="3"/>
      <c r="I637" s="3"/>
      <c r="K637" s="3"/>
      <c r="L637" s="3"/>
      <c r="X637" s="4"/>
      <c r="AB637" s="3"/>
      <c r="AD637" s="3"/>
      <c r="AE637" s="3"/>
      <c r="AK637" s="5"/>
    </row>
    <row r="638" spans="2:37" x14ac:dyDescent="0.25">
      <c r="B638" s="1"/>
      <c r="E638" s="2"/>
      <c r="F638" s="3"/>
      <c r="G638" s="3"/>
      <c r="H638" s="3"/>
      <c r="I638" s="3"/>
      <c r="K638" s="3"/>
      <c r="L638" s="3"/>
      <c r="X638" s="4"/>
      <c r="AB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Z640" s="3"/>
      <c r="AB640" s="3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B643" s="3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AD645" s="3"/>
      <c r="AE645" s="3"/>
      <c r="AK645" s="5"/>
    </row>
    <row r="646" spans="2:37" x14ac:dyDescent="0.25">
      <c r="B646" s="1"/>
      <c r="E646" s="2"/>
      <c r="G646" s="3"/>
      <c r="H646" s="3"/>
      <c r="I646" s="3"/>
      <c r="K646" s="3"/>
      <c r="L646" s="3"/>
      <c r="X646" s="4"/>
      <c r="Z646" s="3"/>
      <c r="AE646" s="3"/>
      <c r="AK646" s="5"/>
    </row>
    <row r="647" spans="2:37" x14ac:dyDescent="0.25">
      <c r="B647" s="1"/>
      <c r="E647" s="2"/>
      <c r="G647" s="3"/>
      <c r="H647" s="3"/>
      <c r="I647" s="3"/>
      <c r="K647" s="3"/>
      <c r="L647" s="3"/>
      <c r="X647" s="4"/>
    </row>
    <row r="648" spans="2:37" x14ac:dyDescent="0.25">
      <c r="B648" s="1"/>
      <c r="D648" s="3"/>
      <c r="E648" s="2"/>
      <c r="G648" s="3"/>
      <c r="H648" s="3"/>
      <c r="I648" s="3"/>
      <c r="K648" s="3"/>
      <c r="X648" s="4"/>
      <c r="AK648" s="5"/>
    </row>
    <row r="649" spans="2:37" x14ac:dyDescent="0.25">
      <c r="B649" s="1"/>
      <c r="E649" s="2"/>
      <c r="H649" s="3"/>
      <c r="I649" s="3"/>
      <c r="K649" s="3"/>
      <c r="X649" s="4"/>
      <c r="AK649" s="5"/>
    </row>
    <row r="650" spans="2:37" x14ac:dyDescent="0.25">
      <c r="B650" s="1"/>
      <c r="E650" s="2"/>
      <c r="G650" s="3"/>
      <c r="H650" s="3"/>
      <c r="I650" s="3"/>
      <c r="K650" s="3"/>
      <c r="X650" s="4"/>
      <c r="AK650" s="5"/>
    </row>
    <row r="651" spans="2:37" x14ac:dyDescent="0.25">
      <c r="B651" s="1"/>
      <c r="E651" s="2"/>
      <c r="H651" s="3"/>
      <c r="I651" s="3"/>
      <c r="K651" s="3"/>
      <c r="L651" s="3"/>
      <c r="X651" s="4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</row>
    <row r="653" spans="2:37" x14ac:dyDescent="0.25">
      <c r="B653" s="3"/>
      <c r="D653" s="3"/>
      <c r="E653" s="2"/>
      <c r="G653" s="3"/>
      <c r="H653" s="3"/>
      <c r="I653" s="3"/>
      <c r="K653" s="3"/>
      <c r="L653" s="3"/>
      <c r="X653" s="4"/>
      <c r="AA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A654" s="3"/>
      <c r="AB654" s="3"/>
      <c r="AE654" s="3"/>
      <c r="AK654" s="5"/>
    </row>
    <row r="655" spans="2:37" x14ac:dyDescent="0.25">
      <c r="B655" s="3"/>
      <c r="E655" s="2"/>
      <c r="G655" s="3"/>
      <c r="H655" s="3"/>
      <c r="I655" s="3"/>
      <c r="K655" s="3"/>
      <c r="L655" s="3"/>
      <c r="X655" s="4"/>
      <c r="AA655" s="3"/>
      <c r="AB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A656" s="3"/>
      <c r="AE656" s="3"/>
      <c r="AK656" s="5"/>
    </row>
    <row r="657" spans="2:37" x14ac:dyDescent="0.25">
      <c r="B657" s="1"/>
      <c r="E657" s="2"/>
      <c r="F657" s="3"/>
      <c r="G657" s="3"/>
      <c r="H657" s="3"/>
      <c r="I657" s="3"/>
      <c r="K657" s="3"/>
      <c r="L657" s="3"/>
      <c r="X657" s="4"/>
      <c r="AA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F659" s="3"/>
      <c r="G659" s="3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X661" s="4"/>
      <c r="AE661" s="3"/>
      <c r="AK661" s="5"/>
    </row>
    <row r="662" spans="2:37" x14ac:dyDescent="0.25">
      <c r="B662" s="1"/>
      <c r="E662" s="2"/>
      <c r="H662" s="3"/>
      <c r="I662" s="3"/>
      <c r="K662" s="3"/>
      <c r="L662" s="3"/>
      <c r="X662" s="4"/>
      <c r="Z662" s="3"/>
      <c r="AD662" s="3"/>
      <c r="AE662" s="3"/>
      <c r="AK662" s="5"/>
    </row>
    <row r="663" spans="2:37" x14ac:dyDescent="0.25">
      <c r="B663" s="1"/>
      <c r="E663" s="2"/>
      <c r="G663" s="3"/>
      <c r="H663" s="3"/>
      <c r="I663" s="3"/>
      <c r="K663" s="3"/>
      <c r="L663" s="3"/>
      <c r="X663" s="4"/>
      <c r="AD663" s="3"/>
      <c r="AE663" s="3"/>
      <c r="AK663" s="5"/>
    </row>
    <row r="664" spans="2:37" x14ac:dyDescent="0.25">
      <c r="B664" s="1"/>
      <c r="E664" s="2"/>
      <c r="H664" s="3"/>
      <c r="I664" s="3"/>
      <c r="K664" s="3"/>
      <c r="L664" s="3"/>
      <c r="X664" s="4"/>
      <c r="AK664" s="5"/>
    </row>
    <row r="665" spans="2:37" x14ac:dyDescent="0.25">
      <c r="B665" s="1"/>
      <c r="D665" s="3"/>
      <c r="E665" s="2"/>
      <c r="G665" s="3"/>
      <c r="H665" s="3"/>
      <c r="I665" s="3"/>
      <c r="K665" s="3"/>
      <c r="X665" s="4"/>
      <c r="AK665" s="5"/>
    </row>
    <row r="666" spans="2:37" x14ac:dyDescent="0.25">
      <c r="B666" s="1"/>
      <c r="E666" s="2"/>
      <c r="H666" s="3"/>
      <c r="I666" s="3"/>
      <c r="K666" s="3"/>
      <c r="X666" s="4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K667" s="5"/>
    </row>
    <row r="668" spans="2:37" x14ac:dyDescent="0.25">
      <c r="B668" s="1"/>
      <c r="E668" s="2"/>
      <c r="G668" s="3"/>
      <c r="H668" s="3"/>
      <c r="I668" s="3"/>
      <c r="K668" s="3"/>
      <c r="L668" s="3"/>
      <c r="X668" s="4"/>
      <c r="AK668" s="5"/>
    </row>
    <row r="669" spans="2:37" x14ac:dyDescent="0.25">
      <c r="B669" s="1"/>
      <c r="D669" s="3"/>
      <c r="E669" s="2"/>
      <c r="G669" s="3"/>
      <c r="H669" s="3"/>
      <c r="I669" s="3"/>
      <c r="K669" s="3"/>
      <c r="L669" s="3"/>
      <c r="X669" s="4"/>
      <c r="AK669" s="5"/>
    </row>
    <row r="670" spans="2:37" x14ac:dyDescent="0.25">
      <c r="B670" s="1"/>
      <c r="D670" s="3"/>
      <c r="E670" s="2"/>
      <c r="G670" s="3"/>
      <c r="H670" s="3"/>
      <c r="I670" s="3"/>
      <c r="K670" s="3"/>
      <c r="X670" s="4"/>
      <c r="AK670" s="5"/>
    </row>
    <row r="671" spans="2:37" x14ac:dyDescent="0.25">
      <c r="B671" s="1"/>
      <c r="E671" s="2"/>
      <c r="G671" s="3"/>
      <c r="H671" s="3"/>
      <c r="I671" s="3"/>
      <c r="K671" s="3"/>
      <c r="L671" s="3"/>
      <c r="X671" s="4"/>
      <c r="AB671" s="3"/>
      <c r="AD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E672" s="3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D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B674" s="3"/>
      <c r="AE674" s="3"/>
      <c r="AK674" s="5"/>
    </row>
    <row r="675" spans="2:37" x14ac:dyDescent="0.25">
      <c r="B675" s="1"/>
      <c r="D675" s="3"/>
      <c r="E675" s="2"/>
      <c r="G675" s="3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B676" s="3"/>
      <c r="AE676" s="3"/>
      <c r="AK676" s="5"/>
    </row>
    <row r="677" spans="2:37" x14ac:dyDescent="0.25">
      <c r="B677" s="1"/>
      <c r="E677" s="2"/>
      <c r="F677" s="3"/>
      <c r="G677" s="3"/>
      <c r="H677" s="3"/>
      <c r="I677" s="3"/>
      <c r="K677" s="3"/>
      <c r="L677" s="3"/>
      <c r="X677" s="4"/>
      <c r="AB677" s="3"/>
      <c r="AE677" s="3"/>
      <c r="AK677" s="5"/>
    </row>
    <row r="678" spans="2:37" x14ac:dyDescent="0.25">
      <c r="B678" s="1"/>
      <c r="E678" s="2"/>
      <c r="G678" s="3"/>
      <c r="H678" s="3"/>
      <c r="I678" s="3"/>
      <c r="K678" s="3"/>
      <c r="L678" s="3"/>
      <c r="X678" s="4"/>
      <c r="Z678" s="3"/>
      <c r="AE678" s="3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Z679" s="3"/>
      <c r="AE679" s="3"/>
      <c r="AK679" s="5"/>
    </row>
    <row r="680" spans="2:37" x14ac:dyDescent="0.25">
      <c r="B680" s="1"/>
      <c r="E680" s="2"/>
      <c r="H680" s="3"/>
      <c r="I680" s="3"/>
      <c r="K680" s="3"/>
      <c r="L680" s="3"/>
      <c r="X680" s="4"/>
      <c r="Z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B681" s="3"/>
      <c r="AK681" s="5"/>
    </row>
    <row r="682" spans="2:37" x14ac:dyDescent="0.25">
      <c r="B682" s="1"/>
      <c r="E682" s="2"/>
      <c r="H682" s="3"/>
      <c r="I682" s="3"/>
      <c r="K682" s="3"/>
      <c r="X682" s="4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K683" s="5"/>
    </row>
    <row r="684" spans="2:37" x14ac:dyDescent="0.25">
      <c r="B684" s="1"/>
      <c r="E684" s="2"/>
      <c r="G684" s="3"/>
      <c r="H684" s="3"/>
      <c r="I684" s="3"/>
      <c r="K684" s="3"/>
      <c r="L684" s="3"/>
      <c r="X684" s="4"/>
      <c r="Z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E685" s="3"/>
      <c r="AK685" s="5"/>
    </row>
    <row r="686" spans="2:37" x14ac:dyDescent="0.25">
      <c r="B686" s="3"/>
      <c r="E686" s="2"/>
      <c r="F686" s="3"/>
      <c r="G686" s="3"/>
      <c r="H686" s="3"/>
      <c r="I686" s="3"/>
      <c r="K686" s="3"/>
      <c r="L686" s="3"/>
      <c r="X686" s="4"/>
    </row>
    <row r="687" spans="2:37" x14ac:dyDescent="0.25">
      <c r="B687" s="1"/>
      <c r="E687" s="2"/>
      <c r="F687" s="3"/>
      <c r="G687" s="3"/>
      <c r="H687" s="3"/>
      <c r="I687" s="3"/>
      <c r="K687" s="3"/>
      <c r="L687" s="3"/>
      <c r="X687" s="4"/>
    </row>
    <row r="688" spans="2:37" x14ac:dyDescent="0.25">
      <c r="B688" s="1"/>
      <c r="E688" s="2"/>
      <c r="F688" s="3"/>
      <c r="G688" s="3"/>
      <c r="X688" s="4"/>
    </row>
    <row r="689" spans="2:37" x14ac:dyDescent="0.25">
      <c r="B689" s="1"/>
      <c r="E689" s="2"/>
      <c r="H689" s="3"/>
      <c r="I689" s="3"/>
      <c r="K689" s="3"/>
      <c r="L689" s="3"/>
      <c r="X689" s="4"/>
    </row>
    <row r="690" spans="2:37" x14ac:dyDescent="0.25">
      <c r="B690" s="3"/>
      <c r="E690" s="2"/>
      <c r="F690" s="3"/>
      <c r="G690" s="3"/>
      <c r="H690" s="3"/>
      <c r="I690" s="3"/>
      <c r="K690" s="3"/>
      <c r="L690" s="3"/>
      <c r="Z690" s="3"/>
      <c r="AE690" s="3"/>
      <c r="AK690" s="5"/>
    </row>
    <row r="691" spans="2:37" x14ac:dyDescent="0.25">
      <c r="B691" s="1"/>
      <c r="E691" s="2"/>
      <c r="H691" s="3"/>
      <c r="I691" s="3"/>
      <c r="K691" s="3"/>
      <c r="L691" s="3"/>
      <c r="X691" s="4"/>
    </row>
    <row r="692" spans="2:37" x14ac:dyDescent="0.25">
      <c r="F692" s="3"/>
      <c r="G692" s="3"/>
    </row>
    <row r="693" spans="2:37" x14ac:dyDescent="0.25">
      <c r="B693" s="1"/>
      <c r="E693" s="2"/>
      <c r="H693" s="3"/>
      <c r="I693" s="3"/>
      <c r="K693" s="3"/>
      <c r="L693" s="3"/>
      <c r="X693" s="4"/>
    </row>
    <row r="694" spans="2:37" x14ac:dyDescent="0.25">
      <c r="D694" s="3"/>
      <c r="F694" s="3"/>
      <c r="G694" s="3"/>
    </row>
    <row r="695" spans="2:37" x14ac:dyDescent="0.25">
      <c r="B695" s="1"/>
      <c r="E695" s="2"/>
      <c r="H695" s="3"/>
      <c r="I695" s="3"/>
      <c r="K695" s="3"/>
      <c r="L695" s="3"/>
      <c r="X695" s="4"/>
      <c r="Z695" s="3"/>
      <c r="AD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  <c r="Z696" s="3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Z697" s="3"/>
      <c r="AE697" s="3"/>
      <c r="AK697" s="5"/>
    </row>
    <row r="698" spans="2:37" x14ac:dyDescent="0.25">
      <c r="B698" s="1"/>
      <c r="D698" s="3"/>
      <c r="E698" s="2"/>
      <c r="H698" s="3"/>
      <c r="I698" s="3"/>
      <c r="K698" s="3"/>
      <c r="X698" s="4"/>
    </row>
    <row r="699" spans="2:37" x14ac:dyDescent="0.25">
      <c r="B699" s="1"/>
      <c r="E699" s="2"/>
      <c r="H699" s="3"/>
      <c r="I699" s="3"/>
      <c r="K699" s="3"/>
      <c r="X699" s="4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E700" s="3"/>
      <c r="AK700" s="5"/>
    </row>
    <row r="701" spans="2:37" x14ac:dyDescent="0.25">
      <c r="B701" s="1"/>
      <c r="E701" s="2"/>
      <c r="H701" s="3"/>
      <c r="I701" s="3"/>
      <c r="K701" s="3"/>
      <c r="X701" s="4"/>
      <c r="AE701" s="3"/>
      <c r="AK701" s="5"/>
    </row>
    <row r="702" spans="2:37" x14ac:dyDescent="0.25">
      <c r="B702" s="1"/>
      <c r="E702" s="2"/>
      <c r="H702" s="3"/>
      <c r="I702" s="3"/>
      <c r="K702" s="3"/>
      <c r="X702" s="4"/>
      <c r="AK702" s="5"/>
    </row>
    <row r="703" spans="2:37" x14ac:dyDescent="0.25">
      <c r="B703" s="1"/>
      <c r="E703" s="2"/>
      <c r="H703" s="3"/>
      <c r="I703" s="3"/>
      <c r="K703" s="3"/>
      <c r="X703" s="4"/>
    </row>
    <row r="704" spans="2:37" x14ac:dyDescent="0.25">
      <c r="B704" s="1"/>
      <c r="E704" s="2"/>
      <c r="H704" s="3"/>
      <c r="I704" s="3"/>
      <c r="K704" s="3"/>
      <c r="L704" s="3"/>
      <c r="X704" s="4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X705" s="4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</row>
    <row r="707" spans="2:37" x14ac:dyDescent="0.25">
      <c r="B707" s="1"/>
      <c r="E707" s="2"/>
      <c r="G707" s="3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L708" s="3"/>
      <c r="X708" s="4"/>
    </row>
    <row r="709" spans="2:37" x14ac:dyDescent="0.25">
      <c r="B709" s="3"/>
      <c r="E709" s="2"/>
      <c r="G709" s="3"/>
      <c r="H709" s="3"/>
      <c r="I709" s="3"/>
      <c r="K709" s="3"/>
      <c r="L709" s="3"/>
      <c r="X709" s="4"/>
    </row>
    <row r="710" spans="2:37" x14ac:dyDescent="0.25">
      <c r="B710" s="1"/>
      <c r="E710" s="2"/>
      <c r="F710" s="3"/>
      <c r="G710" s="3"/>
      <c r="H710" s="3"/>
      <c r="I710" s="3"/>
      <c r="K710" s="3"/>
      <c r="L710" s="3"/>
      <c r="X710" s="4"/>
    </row>
    <row r="711" spans="2:37" x14ac:dyDescent="0.25">
      <c r="B711" s="1"/>
      <c r="E711" s="2"/>
      <c r="G711" s="3"/>
      <c r="H711" s="3"/>
      <c r="I711" s="3"/>
      <c r="K711" s="3"/>
      <c r="X711" s="4"/>
    </row>
    <row r="712" spans="2:37" x14ac:dyDescent="0.25">
      <c r="B712" s="1"/>
      <c r="E712" s="2"/>
      <c r="H712" s="3"/>
      <c r="I712" s="3"/>
      <c r="K712" s="3"/>
      <c r="X712" s="4"/>
      <c r="AE712" s="3"/>
      <c r="AK712" s="5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D714" s="3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  <c r="Z715" s="3"/>
      <c r="AD715" s="3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AB716" s="3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Z719" s="3"/>
      <c r="AE719" s="3"/>
      <c r="AK719" s="5"/>
    </row>
    <row r="720" spans="2:37" x14ac:dyDescent="0.25">
      <c r="B720" s="1"/>
      <c r="E720" s="2"/>
      <c r="H720" s="3"/>
      <c r="I720" s="3"/>
      <c r="K720" s="3"/>
      <c r="X720" s="4"/>
      <c r="AE720" s="3"/>
      <c r="AK720" s="5"/>
    </row>
    <row r="721" spans="2:37" x14ac:dyDescent="0.25">
      <c r="B721" s="1"/>
      <c r="E721" s="2"/>
      <c r="G721" s="3"/>
      <c r="H721" s="3"/>
      <c r="I721" s="3"/>
      <c r="K721" s="3"/>
      <c r="X721" s="4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Z722" s="3"/>
      <c r="AE722" s="3"/>
      <c r="AK722" s="5"/>
    </row>
    <row r="723" spans="2:37" x14ac:dyDescent="0.25">
      <c r="B723" s="1"/>
      <c r="E723" s="2"/>
      <c r="G723" s="3"/>
      <c r="H723" s="3"/>
      <c r="I723" s="3"/>
      <c r="K723" s="3"/>
      <c r="L723" s="3"/>
      <c r="X723" s="4"/>
      <c r="Z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B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K725" s="5"/>
    </row>
    <row r="726" spans="2:37" x14ac:dyDescent="0.25">
      <c r="B726" s="1"/>
      <c r="D726" s="3"/>
      <c r="E726" s="2"/>
      <c r="G726" s="3"/>
      <c r="H726" s="3"/>
      <c r="I726" s="3"/>
      <c r="K726" s="3"/>
      <c r="L726" s="3"/>
      <c r="X726" s="4"/>
    </row>
    <row r="727" spans="2:37" x14ac:dyDescent="0.25">
      <c r="B727" s="1"/>
      <c r="E727" s="2"/>
      <c r="G727" s="3"/>
      <c r="H727" s="3"/>
      <c r="I727" s="3"/>
      <c r="K727" s="3"/>
      <c r="L727" s="3"/>
      <c r="X727" s="4"/>
      <c r="AB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E728" s="3"/>
      <c r="AK728" s="5"/>
    </row>
    <row r="729" spans="2:37" x14ac:dyDescent="0.25">
      <c r="B729" s="1"/>
      <c r="E729" s="2"/>
      <c r="G729" s="3"/>
      <c r="H729" s="3"/>
      <c r="I729" s="3"/>
      <c r="K729" s="3"/>
      <c r="L729" s="3"/>
      <c r="X729" s="4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G731" s="3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D732" s="3"/>
      <c r="E732" s="2"/>
      <c r="G732" s="3"/>
      <c r="H732" s="3"/>
      <c r="I732" s="3"/>
      <c r="K732" s="3"/>
      <c r="L732" s="3"/>
      <c r="X732" s="4"/>
      <c r="AK732" s="5"/>
    </row>
    <row r="733" spans="2:37" x14ac:dyDescent="0.25">
      <c r="B733" s="1"/>
      <c r="E733" s="2"/>
      <c r="F733" s="3"/>
      <c r="G733" s="3"/>
      <c r="H733" s="3"/>
      <c r="I733" s="3"/>
      <c r="K733" s="3"/>
      <c r="L733" s="3"/>
      <c r="X733" s="4"/>
      <c r="AK733" s="5"/>
    </row>
    <row r="734" spans="2:37" x14ac:dyDescent="0.25">
      <c r="B734" s="1"/>
      <c r="D734" s="3"/>
      <c r="E734" s="2"/>
      <c r="G734" s="3"/>
      <c r="H734" s="3"/>
      <c r="I734" s="3"/>
      <c r="K734" s="3"/>
      <c r="L734" s="3"/>
      <c r="X734" s="4"/>
      <c r="AA734" s="3"/>
      <c r="AB734" s="3"/>
      <c r="AE734" s="3"/>
      <c r="AK734" s="5"/>
    </row>
    <row r="735" spans="2:37" x14ac:dyDescent="0.25">
      <c r="B735" s="1"/>
      <c r="E735" s="2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A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AD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</row>
    <row r="741" spans="2:37" x14ac:dyDescent="0.25">
      <c r="B741" s="3"/>
      <c r="E741" s="2"/>
      <c r="G741" s="3"/>
      <c r="H741" s="3"/>
      <c r="I741" s="3"/>
      <c r="K741" s="3"/>
      <c r="L741" s="3"/>
      <c r="X741" s="4"/>
    </row>
    <row r="742" spans="2:37" x14ac:dyDescent="0.25">
      <c r="B742" s="1"/>
      <c r="D742" s="3"/>
      <c r="E742" s="2"/>
      <c r="G742" s="3"/>
      <c r="H742" s="3"/>
      <c r="I742" s="3"/>
      <c r="K742" s="3"/>
      <c r="L742" s="3"/>
      <c r="X742" s="4"/>
    </row>
    <row r="743" spans="2:37" x14ac:dyDescent="0.25">
      <c r="B743" s="3"/>
      <c r="E743" s="2"/>
      <c r="F743" s="3"/>
      <c r="G743" s="3"/>
      <c r="H743" s="3"/>
      <c r="I743" s="3"/>
      <c r="K743" s="3"/>
      <c r="L743" s="3"/>
      <c r="X743" s="4"/>
    </row>
    <row r="744" spans="2:37" x14ac:dyDescent="0.25">
      <c r="B744" s="1"/>
      <c r="E744" s="2"/>
      <c r="G744" s="3"/>
      <c r="H744" s="3"/>
      <c r="I744" s="3"/>
      <c r="K744" s="3"/>
      <c r="X744" s="4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E746" s="3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A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A748" s="3"/>
      <c r="AK748" s="5"/>
    </row>
    <row r="749" spans="2:37" x14ac:dyDescent="0.25">
      <c r="B749" s="1"/>
      <c r="E749" s="2"/>
      <c r="G749" s="3"/>
      <c r="H749" s="3"/>
      <c r="I749" s="3"/>
      <c r="K749" s="3"/>
      <c r="L749" s="3"/>
      <c r="X749" s="4"/>
      <c r="AA749" s="3"/>
      <c r="AK749" s="5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  <c r="AA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Z751" s="3"/>
      <c r="AA751" s="3"/>
      <c r="AE751" s="3"/>
      <c r="AK751" s="5"/>
    </row>
    <row r="752" spans="2:37" x14ac:dyDescent="0.25">
      <c r="B752" s="1"/>
      <c r="E752" s="2"/>
      <c r="G752" s="3"/>
      <c r="H752" s="3"/>
      <c r="I752" s="3"/>
      <c r="K752" s="3"/>
      <c r="X752" s="4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A753" s="3"/>
      <c r="AD753" s="3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  <c r="Z754" s="3"/>
      <c r="AA754" s="3"/>
      <c r="AD754" s="3"/>
      <c r="AE754" s="3"/>
      <c r="AK754" s="5"/>
    </row>
    <row r="755" spans="2:37" x14ac:dyDescent="0.25">
      <c r="B755" s="1"/>
      <c r="E755" s="2"/>
      <c r="G755" s="3"/>
      <c r="H755" s="3"/>
      <c r="I755" s="3"/>
      <c r="K755" s="3"/>
      <c r="L755" s="3"/>
      <c r="X755" s="4"/>
      <c r="Z755" s="3"/>
      <c r="AE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Z757" s="3"/>
      <c r="AE757" s="3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Z758" s="3"/>
      <c r="AB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3"/>
      <c r="E761" s="2"/>
      <c r="G761" s="3"/>
      <c r="H761" s="3"/>
      <c r="I761" s="3"/>
      <c r="K761" s="3"/>
      <c r="L761" s="3"/>
      <c r="X761" s="4"/>
      <c r="Z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E763" s="3"/>
      <c r="AK763" s="5"/>
    </row>
    <row r="764" spans="2:37" x14ac:dyDescent="0.25">
      <c r="B764" s="1"/>
      <c r="E764" s="2"/>
      <c r="H764" s="3"/>
      <c r="I764" s="3"/>
      <c r="K764" s="3"/>
      <c r="X764" s="4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D766" s="3"/>
      <c r="AE766" s="3"/>
      <c r="AK766" s="5"/>
    </row>
    <row r="767" spans="2:37" x14ac:dyDescent="0.25">
      <c r="B767" s="1"/>
      <c r="E767" s="2"/>
      <c r="G767" s="3"/>
      <c r="H767" s="3"/>
      <c r="I767" s="3"/>
      <c r="K767" s="3"/>
      <c r="L767" s="3"/>
      <c r="X767" s="4"/>
    </row>
    <row r="768" spans="2:37" x14ac:dyDescent="0.25">
      <c r="B768" s="3"/>
      <c r="E768" s="2"/>
      <c r="G768" s="3"/>
      <c r="H768" s="3"/>
      <c r="I768" s="3"/>
      <c r="K768" s="3"/>
      <c r="L768" s="3"/>
      <c r="X768" s="4"/>
    </row>
    <row r="769" spans="2:37" x14ac:dyDescent="0.25">
      <c r="B769" s="1"/>
      <c r="E769" s="2"/>
      <c r="F769" s="3"/>
      <c r="H769" s="3"/>
      <c r="I769" s="3"/>
      <c r="K769" s="3"/>
      <c r="L769" s="3"/>
      <c r="X769" s="4"/>
      <c r="AB769" s="3"/>
      <c r="AE769" s="3"/>
      <c r="AK769" s="5"/>
    </row>
    <row r="770" spans="2:37" x14ac:dyDescent="0.25">
      <c r="B770" s="1"/>
      <c r="E770" s="2"/>
      <c r="G770" s="3"/>
      <c r="H770" s="3"/>
      <c r="I770" s="3"/>
      <c r="K770" s="3"/>
      <c r="L770" s="3"/>
      <c r="X770" s="4"/>
      <c r="Z770" s="3"/>
      <c r="AD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</row>
    <row r="772" spans="2:37" x14ac:dyDescent="0.25">
      <c r="B772" s="3"/>
      <c r="D772" s="3"/>
      <c r="F772" s="3"/>
      <c r="G772" s="3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B773" s="3"/>
      <c r="AE773" s="3"/>
      <c r="AK773" s="5"/>
    </row>
    <row r="774" spans="2:37" x14ac:dyDescent="0.25">
      <c r="B774" s="1"/>
      <c r="E774" s="2"/>
      <c r="G774" s="3"/>
      <c r="H774" s="3"/>
      <c r="I774" s="3"/>
      <c r="K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AK775" s="5"/>
    </row>
    <row r="776" spans="2:37" x14ac:dyDescent="0.25">
      <c r="B776" s="3"/>
      <c r="E776" s="2"/>
      <c r="G776" s="3"/>
      <c r="H776" s="3"/>
      <c r="I776" s="3"/>
      <c r="K776" s="3"/>
      <c r="X776" s="4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AE777" s="3"/>
      <c r="AK777" s="5"/>
    </row>
    <row r="778" spans="2:37" x14ac:dyDescent="0.25">
      <c r="B778" s="1"/>
      <c r="E778" s="2"/>
      <c r="G778" s="3"/>
      <c r="H778" s="3"/>
      <c r="I778" s="3"/>
      <c r="K778" s="3"/>
      <c r="X778" s="4"/>
    </row>
    <row r="779" spans="2:37" x14ac:dyDescent="0.25">
      <c r="B779" s="1"/>
      <c r="E779" s="2"/>
      <c r="H779" s="3"/>
      <c r="I779" s="3"/>
      <c r="K779" s="3"/>
      <c r="X779" s="4"/>
    </row>
    <row r="780" spans="2:37" x14ac:dyDescent="0.25">
      <c r="B780" s="1"/>
      <c r="E780" s="2"/>
      <c r="G780" s="3"/>
      <c r="H780" s="3"/>
      <c r="I780" s="3"/>
      <c r="K780" s="3"/>
      <c r="X780" s="4"/>
      <c r="AK780" s="5"/>
    </row>
    <row r="781" spans="2:37" x14ac:dyDescent="0.25">
      <c r="B781" s="1"/>
      <c r="E781" s="2"/>
      <c r="H781" s="3"/>
      <c r="I781" s="3"/>
      <c r="K781" s="3"/>
      <c r="X781" s="4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E782" s="3"/>
      <c r="AK782" s="5"/>
    </row>
    <row r="783" spans="2:37" x14ac:dyDescent="0.25">
      <c r="B783" s="1"/>
      <c r="E783" s="2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D784" s="3"/>
      <c r="AE784" s="3"/>
      <c r="AK784" s="5"/>
    </row>
    <row r="785" spans="2:37" x14ac:dyDescent="0.25">
      <c r="B785" s="1"/>
      <c r="E785" s="2"/>
      <c r="G785" s="3"/>
      <c r="H785" s="3"/>
      <c r="I785" s="3"/>
      <c r="K785" s="3"/>
      <c r="L785" s="3"/>
      <c r="X785" s="4"/>
      <c r="AK785" s="5"/>
    </row>
    <row r="786" spans="2:37" x14ac:dyDescent="0.25">
      <c r="B786" s="1"/>
      <c r="E786" s="2"/>
      <c r="H786" s="3"/>
      <c r="I786" s="3"/>
      <c r="K786" s="3"/>
      <c r="X786" s="4"/>
      <c r="AE786" s="3"/>
      <c r="AK786" s="5"/>
    </row>
    <row r="787" spans="2:37" x14ac:dyDescent="0.25">
      <c r="B787" s="1"/>
      <c r="E787" s="2"/>
      <c r="H787" s="3"/>
      <c r="I787" s="3"/>
      <c r="K787" s="3"/>
      <c r="X787" s="4"/>
      <c r="AE787" s="3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</row>
    <row r="789" spans="2:37" x14ac:dyDescent="0.25">
      <c r="B789" s="3"/>
      <c r="D789" s="3"/>
      <c r="G789" s="3"/>
    </row>
    <row r="790" spans="2:37" x14ac:dyDescent="0.25">
      <c r="B790" s="1"/>
      <c r="E790" s="2"/>
      <c r="H790" s="3"/>
      <c r="I790" s="3"/>
      <c r="K790" s="3"/>
      <c r="L790" s="3"/>
      <c r="X790" s="4"/>
    </row>
    <row r="791" spans="2:37" x14ac:dyDescent="0.25">
      <c r="B791" s="3"/>
      <c r="F791" s="3"/>
      <c r="G791" s="3"/>
    </row>
    <row r="792" spans="2:37" x14ac:dyDescent="0.25">
      <c r="B792" s="1"/>
      <c r="E792" s="2"/>
      <c r="H792" s="3"/>
      <c r="I792" s="3"/>
      <c r="K792" s="3"/>
      <c r="L792" s="3"/>
      <c r="X792" s="4"/>
      <c r="AE792" s="3"/>
      <c r="AK792" s="5"/>
    </row>
    <row r="793" spans="2:37" x14ac:dyDescent="0.25">
      <c r="B793" s="1"/>
      <c r="E793" s="2"/>
      <c r="F793" s="3"/>
      <c r="G793" s="3"/>
      <c r="H793" s="3"/>
      <c r="I793" s="3"/>
      <c r="K793" s="3"/>
      <c r="X793" s="4"/>
      <c r="AE793" s="3"/>
      <c r="AK793" s="5"/>
    </row>
    <row r="794" spans="2:37" x14ac:dyDescent="0.25">
      <c r="B794" s="1"/>
      <c r="E794" s="2"/>
      <c r="H794" s="3"/>
      <c r="I794" s="3"/>
      <c r="K794" s="3"/>
      <c r="L794" s="3"/>
      <c r="X794" s="4"/>
      <c r="Z794" s="3"/>
      <c r="AE794" s="3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AA795" s="3"/>
      <c r="AE795" s="3"/>
      <c r="AK795" s="5"/>
    </row>
    <row r="796" spans="2:37" x14ac:dyDescent="0.25">
      <c r="B796" s="1"/>
      <c r="D796" s="3"/>
      <c r="E796" s="2"/>
      <c r="G796" s="3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Z797" s="3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A798" s="3"/>
      <c r="AB798" s="3"/>
      <c r="AE798" s="3"/>
      <c r="AK798" s="5"/>
    </row>
    <row r="799" spans="2:37" x14ac:dyDescent="0.25">
      <c r="B799" s="1"/>
      <c r="E799" s="2"/>
      <c r="F799" s="3"/>
      <c r="G799" s="3"/>
      <c r="H799" s="3"/>
      <c r="I799" s="3"/>
      <c r="K799" s="3"/>
      <c r="L799" s="3"/>
      <c r="X799" s="4"/>
      <c r="AB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Z800" s="3"/>
      <c r="AB800" s="3"/>
      <c r="AE800" s="3"/>
      <c r="AK800" s="5"/>
    </row>
    <row r="801" spans="2:37" x14ac:dyDescent="0.25">
      <c r="B801" s="1"/>
      <c r="E801" s="2"/>
      <c r="G801" s="3"/>
      <c r="H801" s="3"/>
      <c r="I801" s="3"/>
      <c r="K801" s="3"/>
      <c r="L801" s="3"/>
      <c r="X801" s="4"/>
      <c r="AD801" s="3"/>
      <c r="AE801" s="3"/>
      <c r="AK801" s="5"/>
    </row>
    <row r="802" spans="2:37" x14ac:dyDescent="0.25">
      <c r="B802" s="1"/>
      <c r="E802" s="2"/>
      <c r="G802" s="3"/>
      <c r="H802" s="3"/>
      <c r="I802" s="3"/>
      <c r="K802" s="3"/>
      <c r="L802" s="3"/>
      <c r="X802" s="4"/>
      <c r="AD802" s="3"/>
      <c r="AE802" s="3"/>
      <c r="AK802" s="5"/>
    </row>
    <row r="803" spans="2:37" x14ac:dyDescent="0.25">
      <c r="B803" s="1"/>
      <c r="D803" s="3"/>
      <c r="E803" s="2"/>
      <c r="G803" s="3"/>
      <c r="H803" s="3"/>
      <c r="I803" s="3"/>
      <c r="K803" s="3"/>
      <c r="L803" s="3"/>
      <c r="X803" s="4"/>
      <c r="AD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K804" s="5"/>
    </row>
    <row r="805" spans="2:37" x14ac:dyDescent="0.25">
      <c r="B805" s="1"/>
      <c r="D805" s="3"/>
      <c r="E805" s="2"/>
      <c r="H805" s="3"/>
      <c r="I805" s="3"/>
      <c r="K805" s="3"/>
      <c r="L805" s="3"/>
      <c r="X805" s="4"/>
    </row>
    <row r="806" spans="2:37" x14ac:dyDescent="0.25">
      <c r="B806" s="3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B807" s="3"/>
      <c r="AE807" s="3"/>
      <c r="AK807" s="5"/>
    </row>
    <row r="808" spans="2:37" x14ac:dyDescent="0.25">
      <c r="B808" s="1"/>
      <c r="E808" s="2"/>
      <c r="G808" s="3"/>
      <c r="H808" s="3"/>
      <c r="I808" s="3"/>
      <c r="K808" s="3"/>
      <c r="L808" s="3"/>
      <c r="X808" s="4"/>
    </row>
    <row r="809" spans="2:37" x14ac:dyDescent="0.25">
      <c r="B809" s="1"/>
      <c r="E809" s="2"/>
      <c r="F809" s="3"/>
      <c r="G809" s="3"/>
      <c r="H809" s="3"/>
      <c r="I809" s="3"/>
      <c r="K809" s="3"/>
      <c r="L809" s="3"/>
      <c r="X809" s="4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</row>
    <row r="811" spans="2:37" x14ac:dyDescent="0.25">
      <c r="B811" s="1"/>
      <c r="E811" s="2"/>
      <c r="F811" s="3"/>
      <c r="G811" s="3"/>
      <c r="H811" s="3"/>
      <c r="I811" s="3"/>
      <c r="K811" s="3"/>
      <c r="X811" s="4"/>
    </row>
    <row r="812" spans="2:37" x14ac:dyDescent="0.25">
      <c r="B812" s="1"/>
      <c r="E812" s="2"/>
      <c r="G812" s="3"/>
      <c r="H812" s="3"/>
      <c r="I812" s="3"/>
      <c r="K812" s="3"/>
      <c r="L812" s="3"/>
      <c r="X812" s="4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X813" s="4"/>
      <c r="AK813" s="5"/>
    </row>
    <row r="814" spans="2:37" x14ac:dyDescent="0.25">
      <c r="B814" s="1"/>
      <c r="E814" s="2"/>
      <c r="H814" s="3"/>
      <c r="I814" s="3"/>
      <c r="K814" s="3"/>
      <c r="X814" s="4"/>
      <c r="AE814" s="3"/>
      <c r="AK814" s="5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Z815" s="3"/>
      <c r="AE815" s="3"/>
      <c r="AK815" s="5"/>
    </row>
    <row r="816" spans="2:37" x14ac:dyDescent="0.25">
      <c r="B816" s="1"/>
      <c r="E816" s="2"/>
      <c r="H816" s="3"/>
      <c r="I816" s="3"/>
      <c r="K816" s="3"/>
      <c r="X816" s="4"/>
      <c r="AK816" s="5"/>
    </row>
    <row r="817" spans="2:37" x14ac:dyDescent="0.25">
      <c r="B817" s="1"/>
      <c r="E817" s="2"/>
      <c r="H817" s="3"/>
      <c r="I817" s="3"/>
      <c r="K817" s="3"/>
      <c r="X817" s="4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  <c r="AB819" s="3"/>
      <c r="AE819" s="3"/>
      <c r="AK819" s="5"/>
    </row>
    <row r="820" spans="2:37" x14ac:dyDescent="0.25">
      <c r="B820" s="1"/>
      <c r="E820" s="2"/>
      <c r="H820" s="3"/>
      <c r="I820" s="3"/>
      <c r="K820" s="3"/>
      <c r="X820" s="4"/>
      <c r="AK820" s="5"/>
    </row>
    <row r="821" spans="2:37" x14ac:dyDescent="0.25">
      <c r="B821" s="1"/>
      <c r="E821" s="2"/>
      <c r="H821" s="3"/>
      <c r="I821" s="3"/>
      <c r="K821" s="3"/>
      <c r="X821" s="4"/>
      <c r="AK821" s="5"/>
    </row>
    <row r="822" spans="2:37" x14ac:dyDescent="0.25">
      <c r="B822" s="1"/>
      <c r="E822" s="2"/>
      <c r="H822" s="3"/>
      <c r="I822" s="3"/>
      <c r="K822" s="3"/>
      <c r="L822" s="3"/>
      <c r="X822" s="4"/>
      <c r="Z822" s="3"/>
      <c r="AE822" s="3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L825" s="3"/>
      <c r="X825" s="4"/>
      <c r="AD825" s="3"/>
      <c r="AE825" s="3"/>
      <c r="AK825" s="5"/>
    </row>
    <row r="826" spans="2:37" x14ac:dyDescent="0.25">
      <c r="B826" s="1"/>
      <c r="E826" s="2"/>
      <c r="H826" s="3"/>
      <c r="I826" s="3"/>
      <c r="K826" s="3"/>
      <c r="L826" s="3"/>
      <c r="X826" s="4"/>
      <c r="AD826" s="3"/>
      <c r="AE826" s="3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Z827" s="3"/>
      <c r="AD827" s="3"/>
      <c r="AE827" s="3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Z828" s="3"/>
      <c r="AD828" s="3"/>
      <c r="AE828" s="3"/>
      <c r="AK828" s="5"/>
    </row>
    <row r="829" spans="2:37" x14ac:dyDescent="0.25">
      <c r="B829" s="1"/>
      <c r="D829" s="3"/>
      <c r="E829" s="2"/>
      <c r="G829" s="3"/>
      <c r="H829" s="3"/>
      <c r="I829" s="3"/>
      <c r="K829" s="3"/>
      <c r="L829" s="3"/>
      <c r="X829" s="4"/>
      <c r="AD829" s="3"/>
      <c r="AE829" s="3"/>
      <c r="AK829" s="5"/>
    </row>
    <row r="830" spans="2:37" x14ac:dyDescent="0.25">
      <c r="B830" s="1"/>
      <c r="E830" s="2"/>
      <c r="G830" s="3"/>
      <c r="H830" s="3"/>
      <c r="I830" s="3"/>
      <c r="K830" s="3"/>
      <c r="L830" s="3"/>
      <c r="X830" s="4"/>
      <c r="AD830" s="3"/>
      <c r="AE830" s="3"/>
      <c r="AK830" s="5"/>
    </row>
    <row r="831" spans="2:37" x14ac:dyDescent="0.25">
      <c r="B831" s="1"/>
      <c r="E831" s="2"/>
      <c r="G831" s="3"/>
      <c r="H831" s="3"/>
      <c r="I831" s="3"/>
      <c r="K831" s="3"/>
      <c r="L831" s="3"/>
      <c r="X831" s="4"/>
      <c r="AK831" s="5"/>
    </row>
    <row r="832" spans="2:37" x14ac:dyDescent="0.25">
      <c r="B832" s="1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D833" s="3"/>
      <c r="AE833" s="3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3"/>
      <c r="E837" s="2"/>
      <c r="G837" s="3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F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F844" s="3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E847" s="3"/>
      <c r="AK847" s="5"/>
    </row>
    <row r="848" spans="2:37" x14ac:dyDescent="0.25">
      <c r="B848" s="1"/>
      <c r="E848" s="2"/>
      <c r="G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F852" s="3"/>
      <c r="G852" s="3"/>
      <c r="H852" s="3"/>
      <c r="I852" s="3"/>
      <c r="K852" s="3"/>
      <c r="L852" s="3"/>
      <c r="X852" s="4"/>
      <c r="Z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AB853" s="3"/>
      <c r="AE853" s="3"/>
      <c r="AK853" s="5"/>
    </row>
    <row r="854" spans="2:37" x14ac:dyDescent="0.25">
      <c r="B854" s="3"/>
      <c r="E854" s="2"/>
      <c r="G854" s="3"/>
      <c r="H854" s="3"/>
      <c r="I854" s="3"/>
      <c r="K854" s="3"/>
      <c r="L854" s="3"/>
      <c r="X854" s="4"/>
      <c r="Z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B855" s="3"/>
      <c r="AE855" s="3"/>
      <c r="AK855" s="5"/>
    </row>
    <row r="856" spans="2:37" x14ac:dyDescent="0.25">
      <c r="B856" s="1"/>
      <c r="E856" s="2"/>
      <c r="G856" s="3"/>
      <c r="H856" s="3"/>
      <c r="I856" s="3"/>
      <c r="K856" s="3"/>
      <c r="L856" s="3"/>
      <c r="X856" s="4"/>
      <c r="AK856" s="5"/>
    </row>
    <row r="857" spans="2:37" x14ac:dyDescent="0.25">
      <c r="B857" s="1"/>
      <c r="D857" s="3"/>
      <c r="E857" s="2"/>
      <c r="G857" s="3"/>
      <c r="H857" s="3"/>
      <c r="I857" s="3"/>
      <c r="K857" s="3"/>
      <c r="L857" s="3"/>
      <c r="X857" s="4"/>
      <c r="AB857" s="3"/>
      <c r="AK857" s="5"/>
    </row>
    <row r="858" spans="2:37" x14ac:dyDescent="0.25">
      <c r="B858" s="1"/>
      <c r="E858" s="2"/>
      <c r="G858" s="3"/>
      <c r="H858" s="3"/>
      <c r="I858" s="3"/>
      <c r="K858" s="3"/>
      <c r="L858" s="3"/>
      <c r="X858" s="4"/>
      <c r="Z858" s="3"/>
      <c r="AB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B859" s="3"/>
      <c r="AE859" s="3"/>
      <c r="AK859" s="5"/>
    </row>
    <row r="860" spans="2:37" x14ac:dyDescent="0.25">
      <c r="B860" s="1"/>
      <c r="E860" s="2"/>
      <c r="H860" s="3"/>
      <c r="I860" s="3"/>
      <c r="K860" s="3"/>
      <c r="X860" s="4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A861" s="3"/>
      <c r="AD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A862" s="3"/>
      <c r="AK862" s="5"/>
    </row>
    <row r="863" spans="2:37" x14ac:dyDescent="0.25">
      <c r="B863" s="3"/>
      <c r="E863" s="2"/>
      <c r="G863" s="3"/>
      <c r="H863" s="3"/>
      <c r="I863" s="3"/>
      <c r="K863" s="3"/>
      <c r="X863" s="4"/>
      <c r="AK863" s="5"/>
    </row>
    <row r="864" spans="2:37" x14ac:dyDescent="0.25">
      <c r="B864" s="1"/>
      <c r="E864" s="2"/>
      <c r="F864" s="3"/>
      <c r="G864" s="3"/>
      <c r="H864" s="3"/>
      <c r="I864" s="3"/>
      <c r="K864" s="3"/>
      <c r="L864" s="3"/>
      <c r="X864" s="4"/>
      <c r="Z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</row>
    <row r="866" spans="2:37" x14ac:dyDescent="0.25">
      <c r="B866" s="3"/>
      <c r="G866" s="3"/>
    </row>
    <row r="867" spans="2:37" x14ac:dyDescent="0.25">
      <c r="B867" s="1"/>
      <c r="E867" s="2"/>
      <c r="H867" s="3"/>
      <c r="I867" s="3"/>
      <c r="K867" s="3"/>
      <c r="L867" s="3"/>
      <c r="X867" s="4"/>
      <c r="AK867" s="5"/>
    </row>
    <row r="868" spans="2:37" x14ac:dyDescent="0.25">
      <c r="B868" s="3"/>
      <c r="D868" s="3"/>
      <c r="E868" s="2"/>
      <c r="G868" s="3"/>
      <c r="H868" s="3"/>
      <c r="I868" s="3"/>
      <c r="K868" s="3"/>
      <c r="L868" s="3"/>
      <c r="X868" s="4"/>
      <c r="AB868" s="3"/>
      <c r="AK868" s="5"/>
    </row>
    <row r="869" spans="2:37" x14ac:dyDescent="0.25">
      <c r="B869" s="1"/>
      <c r="E869" s="2"/>
      <c r="H869" s="3"/>
      <c r="I869" s="3"/>
      <c r="K869" s="3"/>
      <c r="X869" s="4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Z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Z871" s="3"/>
      <c r="AE871" s="3"/>
      <c r="AK871" s="5"/>
    </row>
    <row r="872" spans="2:37" x14ac:dyDescent="0.25">
      <c r="B872" s="1"/>
      <c r="E872" s="2"/>
      <c r="H872" s="3"/>
      <c r="I872" s="3"/>
      <c r="K872" s="3"/>
      <c r="X872" s="4"/>
      <c r="AK872" s="5"/>
    </row>
    <row r="873" spans="2:37" x14ac:dyDescent="0.25">
      <c r="B873" s="1"/>
      <c r="E873" s="2"/>
      <c r="G873" s="3"/>
      <c r="H873" s="3"/>
      <c r="I873" s="3"/>
      <c r="K873" s="3"/>
      <c r="X873" s="4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Z874" s="3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E875" s="3"/>
      <c r="AK875" s="5"/>
    </row>
    <row r="876" spans="2:37" x14ac:dyDescent="0.25">
      <c r="B876" s="1"/>
      <c r="E876" s="2"/>
      <c r="H876" s="3"/>
      <c r="I876" s="3"/>
      <c r="K876" s="3"/>
      <c r="X876" s="4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AD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AB880" s="3"/>
      <c r="AE880" s="3"/>
      <c r="AK880" s="5"/>
    </row>
    <row r="881" spans="2:37" x14ac:dyDescent="0.25">
      <c r="B881" s="1"/>
      <c r="E881" s="2"/>
      <c r="F881" s="3"/>
      <c r="G881" s="3"/>
      <c r="H881" s="3"/>
      <c r="I881" s="3"/>
      <c r="K881" s="3"/>
      <c r="L881" s="3"/>
      <c r="X881" s="4"/>
      <c r="Z881" s="3"/>
      <c r="AB881" s="3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B882" s="3"/>
      <c r="AE882" s="3"/>
      <c r="AK882" s="5"/>
    </row>
    <row r="883" spans="2:37" x14ac:dyDescent="0.25">
      <c r="B883" s="1"/>
      <c r="E883" s="2"/>
      <c r="F883" s="3"/>
      <c r="G883" s="3"/>
      <c r="H883" s="3"/>
      <c r="I883" s="3"/>
      <c r="K883" s="3"/>
      <c r="L883" s="3"/>
      <c r="X883" s="4"/>
      <c r="AB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B884" s="3"/>
      <c r="AE884" s="3"/>
      <c r="AK884" s="5"/>
    </row>
    <row r="885" spans="2:37" x14ac:dyDescent="0.25">
      <c r="B885" s="1"/>
      <c r="E885" s="2"/>
      <c r="F885" s="3"/>
      <c r="G885" s="3"/>
      <c r="H885" s="3"/>
      <c r="I885" s="3"/>
      <c r="K885" s="3"/>
      <c r="L885" s="3"/>
      <c r="X885" s="4"/>
      <c r="AB885" s="3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AB886" s="3"/>
      <c r="AD886" s="3"/>
      <c r="AE886" s="3"/>
      <c r="AK886" s="5"/>
    </row>
    <row r="887" spans="2:37" x14ac:dyDescent="0.25">
      <c r="B887" s="1"/>
      <c r="E887" s="2"/>
      <c r="G887" s="3"/>
      <c r="H887" s="3"/>
      <c r="I887" s="3"/>
      <c r="K887" s="3"/>
      <c r="L887" s="3"/>
      <c r="X887" s="4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E893" s="3"/>
      <c r="AK893" s="5"/>
    </row>
    <row r="894" spans="2:37" x14ac:dyDescent="0.25">
      <c r="B894" s="3"/>
      <c r="E894" s="2"/>
      <c r="F894" s="3"/>
      <c r="G894" s="3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G898" s="3"/>
      <c r="H898" s="3"/>
      <c r="I898" s="3"/>
      <c r="K898" s="3"/>
      <c r="L898" s="3"/>
      <c r="X898" s="4"/>
      <c r="Z898" s="3"/>
      <c r="AB898" s="3"/>
      <c r="AE898" s="3"/>
      <c r="AK898" s="5"/>
    </row>
    <row r="899" spans="2:37" x14ac:dyDescent="0.25">
      <c r="B899" s="1"/>
      <c r="E899" s="2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H901" s="3"/>
      <c r="I901" s="3"/>
      <c r="K901" s="3"/>
      <c r="L901" s="3"/>
      <c r="X901" s="4"/>
      <c r="Z901" s="3"/>
      <c r="AB901" s="3"/>
      <c r="AE901" s="3"/>
      <c r="AK901" s="5"/>
    </row>
    <row r="902" spans="2:37" x14ac:dyDescent="0.25">
      <c r="B902" s="1"/>
      <c r="E902" s="2"/>
      <c r="G902" s="3"/>
      <c r="H902" s="3"/>
      <c r="I902" s="3"/>
      <c r="K902" s="3"/>
      <c r="L902" s="3"/>
      <c r="X902" s="4"/>
    </row>
    <row r="903" spans="2:37" x14ac:dyDescent="0.25">
      <c r="B903" s="1"/>
      <c r="E903" s="2"/>
      <c r="G903" s="3"/>
      <c r="H903" s="3"/>
      <c r="I903" s="3"/>
      <c r="K903" s="3"/>
      <c r="L903" s="3"/>
      <c r="X903" s="4"/>
    </row>
    <row r="904" spans="2:37" x14ac:dyDescent="0.25">
      <c r="B904" s="3"/>
      <c r="D904" s="3"/>
      <c r="E904" s="2"/>
      <c r="G904" s="3"/>
      <c r="H904" s="3"/>
      <c r="I904" s="3"/>
      <c r="K904" s="3"/>
      <c r="L904" s="3"/>
      <c r="X904" s="4"/>
    </row>
    <row r="905" spans="2:37" x14ac:dyDescent="0.25">
      <c r="B905" s="1"/>
      <c r="E905" s="2"/>
      <c r="F905" s="3"/>
      <c r="G905" s="3"/>
      <c r="H905" s="3"/>
      <c r="I905" s="3"/>
      <c r="K905" s="3"/>
      <c r="L905" s="3"/>
      <c r="X905" s="4"/>
      <c r="Z905" s="3"/>
      <c r="AE905" s="3"/>
      <c r="AK905" s="5"/>
    </row>
    <row r="906" spans="2:37" x14ac:dyDescent="0.25">
      <c r="B906" s="1"/>
      <c r="D906" s="3"/>
      <c r="E906" s="2"/>
      <c r="G906" s="3"/>
      <c r="H906" s="3"/>
      <c r="I906" s="3"/>
      <c r="K906" s="3"/>
      <c r="L906" s="3"/>
      <c r="X906" s="4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D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Z908" s="3"/>
      <c r="AA908" s="3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D909" s="3"/>
      <c r="AE909" s="3"/>
      <c r="AK909" s="5"/>
    </row>
    <row r="910" spans="2:37" x14ac:dyDescent="0.25">
      <c r="B910" s="1"/>
      <c r="D910" s="3"/>
      <c r="E910" s="2"/>
      <c r="G910" s="3"/>
      <c r="H910" s="3"/>
      <c r="I910" s="3"/>
      <c r="K910" s="3"/>
      <c r="X910" s="4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D911" s="3"/>
      <c r="AE911" s="3"/>
      <c r="AK911" s="5"/>
    </row>
    <row r="912" spans="2:37" x14ac:dyDescent="0.25">
      <c r="B912" s="3"/>
      <c r="E912" s="2"/>
      <c r="G912" s="3"/>
      <c r="H912" s="3"/>
      <c r="I912" s="3"/>
      <c r="K912" s="3"/>
      <c r="L912" s="3"/>
      <c r="X912" s="4"/>
      <c r="AD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D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AA914" s="3"/>
      <c r="AD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B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Z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K920" s="5"/>
    </row>
    <row r="921" spans="2:37" x14ac:dyDescent="0.25">
      <c r="B921" s="1"/>
      <c r="E921" s="2"/>
      <c r="F921" s="3"/>
      <c r="G921" s="3"/>
      <c r="H921" s="3"/>
      <c r="I921" s="3"/>
      <c r="K921" s="3"/>
      <c r="X921" s="4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D923" s="3"/>
      <c r="E923" s="2"/>
      <c r="G923" s="3"/>
      <c r="H923" s="3"/>
      <c r="I923" s="3"/>
      <c r="K923" s="3"/>
      <c r="L923" s="3"/>
      <c r="X923" s="4"/>
      <c r="Z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K924" s="5"/>
    </row>
    <row r="925" spans="2:37" x14ac:dyDescent="0.25">
      <c r="B925" s="3"/>
      <c r="E925" s="2"/>
      <c r="F925" s="3"/>
      <c r="G925" s="3"/>
      <c r="H925" s="3"/>
      <c r="I925" s="3"/>
      <c r="K925" s="3"/>
      <c r="X925" s="4"/>
      <c r="AK925" s="5"/>
    </row>
    <row r="926" spans="2:37" x14ac:dyDescent="0.25">
      <c r="B926" s="1"/>
      <c r="E926" s="2"/>
      <c r="H926" s="3"/>
      <c r="I926" s="3"/>
      <c r="K926" s="3"/>
      <c r="X926" s="4"/>
      <c r="AK926" s="5"/>
    </row>
    <row r="927" spans="2:37" x14ac:dyDescent="0.25">
      <c r="B927" s="1"/>
      <c r="E927" s="2"/>
      <c r="H927" s="3"/>
      <c r="I927" s="3"/>
      <c r="K927" s="3"/>
      <c r="X927" s="4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</row>
    <row r="929" spans="2:37" x14ac:dyDescent="0.25">
      <c r="B929" s="3"/>
      <c r="C929" s="3"/>
      <c r="G929" s="3"/>
    </row>
    <row r="930" spans="2:37" x14ac:dyDescent="0.25">
      <c r="B930" s="1"/>
      <c r="D930" s="3"/>
      <c r="E930" s="2"/>
      <c r="G930" s="3"/>
      <c r="H930" s="3"/>
      <c r="I930" s="3"/>
      <c r="K930" s="3"/>
      <c r="L930" s="3"/>
      <c r="X930" s="4"/>
      <c r="Z930" s="3"/>
      <c r="AB930" s="3"/>
      <c r="AE930" s="3"/>
      <c r="AK930" s="5"/>
    </row>
    <row r="931" spans="2:37" x14ac:dyDescent="0.25">
      <c r="F931" s="3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D932" s="3"/>
      <c r="AE932" s="3"/>
      <c r="AK932" s="5"/>
    </row>
    <row r="933" spans="2:37" x14ac:dyDescent="0.25">
      <c r="B933" s="1"/>
      <c r="E933" s="2"/>
      <c r="G933" s="3"/>
      <c r="H933" s="3"/>
      <c r="I933" s="3"/>
      <c r="K933" s="3"/>
      <c r="X933" s="4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Z934" s="3"/>
      <c r="AE934" s="3"/>
      <c r="AK934" s="5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E935" s="3"/>
      <c r="AK935" s="5"/>
    </row>
    <row r="936" spans="2:37" x14ac:dyDescent="0.25">
      <c r="B936" s="3"/>
      <c r="E936" s="2"/>
      <c r="G936" s="3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B937" s="3"/>
      <c r="AE937" s="3"/>
      <c r="AK937" s="5"/>
    </row>
    <row r="938" spans="2:37" x14ac:dyDescent="0.25">
      <c r="B938" s="3"/>
      <c r="E938" s="2"/>
      <c r="G938" s="3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D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AK946" s="5"/>
    </row>
    <row r="947" spans="2:37" x14ac:dyDescent="0.25">
      <c r="B947" s="1"/>
      <c r="D947" s="3"/>
      <c r="E947" s="2"/>
      <c r="G947" s="3"/>
      <c r="H947" s="3"/>
      <c r="I947" s="3"/>
      <c r="K947" s="3"/>
      <c r="X947" s="4"/>
    </row>
    <row r="948" spans="2:37" x14ac:dyDescent="0.25">
      <c r="B948" s="1"/>
      <c r="E948" s="2"/>
      <c r="H948" s="3"/>
      <c r="I948" s="3"/>
      <c r="K948" s="3"/>
      <c r="L948" s="3"/>
      <c r="X948" s="4"/>
      <c r="AD948" s="3"/>
      <c r="AE948" s="3"/>
      <c r="AK948" s="5"/>
    </row>
    <row r="949" spans="2:37" x14ac:dyDescent="0.25">
      <c r="B949" s="1"/>
      <c r="E949" s="2"/>
      <c r="G949" s="3"/>
      <c r="H949" s="3"/>
      <c r="I949" s="3"/>
      <c r="K949" s="3"/>
      <c r="L949" s="3"/>
      <c r="X949" s="4"/>
      <c r="AB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AK950" s="5"/>
    </row>
    <row r="951" spans="2:37" x14ac:dyDescent="0.25">
      <c r="B951" s="1"/>
      <c r="E951" s="2"/>
      <c r="F951" s="3"/>
      <c r="G951" s="3"/>
      <c r="H951" s="3"/>
      <c r="I951" s="3"/>
      <c r="K951" s="3"/>
      <c r="X951" s="4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AK952" s="5"/>
    </row>
    <row r="953" spans="2:37" x14ac:dyDescent="0.25">
      <c r="B953" s="1"/>
      <c r="E953" s="2"/>
      <c r="F953" s="3"/>
      <c r="G953" s="3"/>
      <c r="H953" s="3"/>
      <c r="I953" s="3"/>
      <c r="K953" s="3"/>
      <c r="L953" s="3"/>
      <c r="X953" s="4"/>
    </row>
    <row r="954" spans="2:37" x14ac:dyDescent="0.25">
      <c r="B954" s="1"/>
      <c r="D954" s="3"/>
      <c r="E954" s="2"/>
      <c r="H954" s="3"/>
      <c r="I954" s="3"/>
      <c r="K954" s="3"/>
      <c r="L954" s="3"/>
      <c r="X954" s="4"/>
      <c r="AB954" s="3"/>
      <c r="AE954" s="3"/>
      <c r="AK954" s="5"/>
    </row>
    <row r="955" spans="2:37" x14ac:dyDescent="0.25">
      <c r="B955" s="1"/>
      <c r="E955" s="2"/>
      <c r="G955" s="3"/>
      <c r="H955" s="3"/>
      <c r="I955" s="3"/>
      <c r="K955" s="3"/>
      <c r="L955" s="3"/>
      <c r="X955" s="4"/>
    </row>
    <row r="956" spans="2:37" x14ac:dyDescent="0.25">
      <c r="B956" s="1"/>
      <c r="E956" s="2"/>
      <c r="F956" s="3"/>
      <c r="G956" s="3"/>
      <c r="H956" s="3"/>
      <c r="I956" s="3"/>
      <c r="K956" s="3"/>
      <c r="L956" s="3"/>
      <c r="X956" s="4"/>
      <c r="AB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AD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X960" s="4"/>
      <c r="AE960" s="3"/>
      <c r="AK960" s="5"/>
    </row>
    <row r="961" spans="2:37" x14ac:dyDescent="0.25">
      <c r="B961" s="1"/>
      <c r="E961" s="2"/>
      <c r="G961" s="3"/>
      <c r="H961" s="3"/>
      <c r="I961" s="3"/>
      <c r="K961" s="3"/>
      <c r="L961" s="3"/>
      <c r="X961" s="4"/>
      <c r="Z961" s="3"/>
      <c r="AB961" s="3"/>
      <c r="AE961" s="3"/>
      <c r="AK961" s="5"/>
    </row>
    <row r="962" spans="2:37" x14ac:dyDescent="0.25">
      <c r="B962" s="1"/>
      <c r="E962" s="2"/>
      <c r="G962" s="3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D963" s="3"/>
      <c r="AE963" s="3"/>
      <c r="AK963" s="5"/>
    </row>
    <row r="964" spans="2:37" x14ac:dyDescent="0.25">
      <c r="B964" s="1"/>
      <c r="D964" s="3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D965" s="3"/>
      <c r="E965" s="2"/>
      <c r="H965" s="3"/>
      <c r="I965" s="3"/>
      <c r="K965" s="3"/>
      <c r="X965" s="4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D967" s="3"/>
      <c r="E967" s="2"/>
      <c r="G967" s="3"/>
      <c r="H967" s="3"/>
      <c r="I967" s="3"/>
      <c r="K967" s="3"/>
      <c r="L967" s="3"/>
      <c r="X967" s="4"/>
    </row>
    <row r="968" spans="2:37" x14ac:dyDescent="0.25">
      <c r="B968" s="3"/>
      <c r="E968" s="2"/>
      <c r="G968" s="3"/>
      <c r="H968" s="3"/>
      <c r="I968" s="3"/>
      <c r="K968" s="3"/>
      <c r="L968" s="3"/>
      <c r="X968" s="4"/>
      <c r="Z968" s="3"/>
      <c r="AE968" s="3"/>
      <c r="AK968" s="5"/>
    </row>
    <row r="969" spans="2:37" x14ac:dyDescent="0.25">
      <c r="B969" s="1"/>
      <c r="E969" s="2"/>
      <c r="H969" s="3"/>
      <c r="I969" s="3"/>
      <c r="K969" s="3"/>
      <c r="L969" s="3"/>
      <c r="X969" s="4"/>
      <c r="AB969" s="3"/>
      <c r="AE969" s="3"/>
      <c r="AK969" s="5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B971" s="3"/>
      <c r="AK971" s="5"/>
    </row>
    <row r="972" spans="2:37" x14ac:dyDescent="0.25">
      <c r="B972" s="1"/>
      <c r="E972" s="2"/>
      <c r="G972" s="3"/>
      <c r="H972" s="3"/>
      <c r="I972" s="3"/>
      <c r="K972" s="3"/>
      <c r="X972" s="4"/>
      <c r="AE972" s="3"/>
      <c r="AK972" s="5"/>
    </row>
    <row r="973" spans="2:37" x14ac:dyDescent="0.25">
      <c r="B973" s="1"/>
      <c r="E973" s="2"/>
      <c r="H973" s="3"/>
      <c r="I973" s="3"/>
      <c r="K973" s="3"/>
      <c r="X973" s="4"/>
      <c r="AK973" s="5"/>
    </row>
    <row r="974" spans="2:37" x14ac:dyDescent="0.25">
      <c r="B974" s="1"/>
      <c r="E974" s="2"/>
      <c r="H974" s="3"/>
      <c r="I974" s="3"/>
      <c r="K974" s="3"/>
      <c r="X974" s="4"/>
    </row>
    <row r="975" spans="2:37" x14ac:dyDescent="0.25">
      <c r="B975" s="1"/>
      <c r="E975" s="2"/>
      <c r="H975" s="3"/>
      <c r="I975" s="3"/>
      <c r="K975" s="3"/>
      <c r="X975" s="4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</row>
    <row r="978" spans="2:37" x14ac:dyDescent="0.25">
      <c r="B978" s="1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F981" s="3"/>
      <c r="G981" s="3"/>
      <c r="H981" s="3"/>
      <c r="I981" s="3"/>
      <c r="K981" s="3"/>
      <c r="L981" s="3"/>
      <c r="X981" s="4"/>
      <c r="Z981" s="3"/>
      <c r="AE981" s="3"/>
      <c r="AK981" s="5"/>
    </row>
    <row r="982" spans="2:37" x14ac:dyDescent="0.25">
      <c r="B982" s="1"/>
      <c r="E982" s="2"/>
      <c r="G982" s="3"/>
      <c r="H982" s="3"/>
      <c r="I982" s="3"/>
      <c r="K982" s="3"/>
      <c r="X982" s="4"/>
    </row>
    <row r="983" spans="2:37" x14ac:dyDescent="0.25">
      <c r="B983" s="1"/>
      <c r="E983" s="2"/>
      <c r="H983" s="3"/>
      <c r="I983" s="3"/>
      <c r="K983" s="3"/>
      <c r="L983" s="3"/>
      <c r="X983" s="4"/>
    </row>
    <row r="984" spans="2:37" x14ac:dyDescent="0.25">
      <c r="B984" s="1"/>
      <c r="E984" s="2"/>
      <c r="G984" s="3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L986" s="3"/>
      <c r="X986" s="4"/>
      <c r="Z986" s="3"/>
      <c r="AE986" s="3"/>
      <c r="AK986" s="5"/>
    </row>
    <row r="987" spans="2:37" x14ac:dyDescent="0.25">
      <c r="B987" s="1"/>
      <c r="E987" s="2"/>
      <c r="H987" s="3"/>
      <c r="I987" s="3"/>
      <c r="K987" s="3"/>
      <c r="L987" s="3"/>
      <c r="X987" s="4"/>
      <c r="AB987" s="3"/>
      <c r="AE987" s="3"/>
      <c r="AK987" s="5"/>
    </row>
    <row r="988" spans="2:37" x14ac:dyDescent="0.25">
      <c r="B988" s="1"/>
      <c r="E988" s="2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F989" s="3"/>
      <c r="G989" s="3"/>
      <c r="H989" s="3"/>
      <c r="I989" s="3"/>
      <c r="K989" s="3"/>
      <c r="L989" s="3"/>
      <c r="X989" s="4"/>
      <c r="AK989" s="5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  <c r="Z990" s="3"/>
      <c r="AB990" s="3"/>
      <c r="AE990" s="3"/>
      <c r="AK990" s="5"/>
    </row>
    <row r="991" spans="2:37" x14ac:dyDescent="0.25">
      <c r="B991" s="1"/>
      <c r="E991" s="2"/>
      <c r="H991" s="3"/>
      <c r="I991" s="3"/>
      <c r="K991" s="3"/>
      <c r="L991" s="3"/>
      <c r="X991" s="4"/>
      <c r="AK991" s="5"/>
    </row>
    <row r="992" spans="2:37" x14ac:dyDescent="0.25">
      <c r="B992" s="1"/>
      <c r="E992" s="2"/>
      <c r="G992" s="3"/>
      <c r="H992" s="3"/>
      <c r="I992" s="3"/>
      <c r="K992" s="3"/>
      <c r="X992" s="4"/>
      <c r="AK992" s="5"/>
    </row>
    <row r="993" spans="2:37" x14ac:dyDescent="0.25">
      <c r="B993" s="1"/>
      <c r="E993" s="2"/>
      <c r="H993" s="3"/>
      <c r="I993" s="3"/>
      <c r="K993" s="3"/>
      <c r="L993" s="3"/>
      <c r="X993" s="4"/>
      <c r="AD993" s="3"/>
      <c r="AE993" s="3"/>
      <c r="AK993" s="5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  <c r="AE994" s="3"/>
      <c r="AK994" s="5"/>
    </row>
    <row r="995" spans="2:37" x14ac:dyDescent="0.25">
      <c r="B995" s="1"/>
      <c r="E995" s="2"/>
      <c r="G995" s="3"/>
      <c r="H995" s="3"/>
      <c r="I995" s="3"/>
      <c r="K995" s="3"/>
      <c r="L995" s="3"/>
      <c r="X995" s="4"/>
      <c r="AB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H997" s="3"/>
      <c r="I997" s="3"/>
      <c r="K997" s="3"/>
      <c r="L997" s="3"/>
      <c r="X997" s="4"/>
      <c r="Z997" s="3"/>
      <c r="AE997" s="3"/>
      <c r="AK997" s="5"/>
    </row>
    <row r="998" spans="2:37" x14ac:dyDescent="0.25">
      <c r="B998" s="3"/>
      <c r="E998" s="2"/>
      <c r="G998" s="3"/>
      <c r="H998" s="3"/>
      <c r="I998" s="3"/>
      <c r="K998" s="3"/>
      <c r="L998" s="3"/>
      <c r="X998" s="4"/>
    </row>
    <row r="999" spans="2:37" x14ac:dyDescent="0.25">
      <c r="B999" s="1"/>
      <c r="D999" s="3"/>
      <c r="E999" s="2"/>
      <c r="G999" s="3"/>
      <c r="H999" s="3"/>
      <c r="I999" s="3"/>
      <c r="K999" s="3"/>
      <c r="L999" s="3"/>
      <c r="X999" s="4"/>
      <c r="Z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X1000" s="4"/>
    </row>
    <row r="1001" spans="2:37" x14ac:dyDescent="0.25">
      <c r="B1001" s="1"/>
      <c r="E1001" s="2"/>
      <c r="H1001" s="3"/>
      <c r="I1001" s="3"/>
      <c r="K1001" s="3"/>
      <c r="L1001" s="3"/>
      <c r="X1001" s="4"/>
    </row>
    <row r="1002" spans="2:37" x14ac:dyDescent="0.25">
      <c r="B1002" s="1"/>
      <c r="E1002" s="2"/>
      <c r="G1002" s="3"/>
      <c r="H1002" s="3"/>
      <c r="I1002" s="3"/>
      <c r="K1002" s="3"/>
      <c r="X1002" s="4"/>
      <c r="AK1002" s="5"/>
    </row>
    <row r="1003" spans="2:37" x14ac:dyDescent="0.25">
      <c r="B1003" s="1"/>
      <c r="E1003" s="2"/>
      <c r="H1003" s="3"/>
      <c r="I1003" s="3"/>
      <c r="K1003" s="3"/>
      <c r="L1003" s="3"/>
      <c r="X1003" s="4"/>
    </row>
    <row r="1004" spans="2:37" x14ac:dyDescent="0.25">
      <c r="B1004" s="3"/>
      <c r="E1004" s="2"/>
      <c r="G1004" s="3"/>
      <c r="H1004" s="3"/>
      <c r="I1004" s="3"/>
      <c r="K1004" s="3"/>
      <c r="X1004" s="4"/>
    </row>
    <row r="1005" spans="2:37" x14ac:dyDescent="0.25">
      <c r="B1005" s="1"/>
      <c r="E1005" s="2"/>
      <c r="G1005" s="3"/>
      <c r="H1005" s="3"/>
      <c r="I1005" s="3"/>
      <c r="K1005" s="3"/>
      <c r="L1005" s="3"/>
      <c r="X1005" s="4"/>
    </row>
    <row r="1006" spans="2:37" x14ac:dyDescent="0.25">
      <c r="B1006" s="3"/>
      <c r="E1006" s="2"/>
      <c r="F1006" s="3"/>
      <c r="G1006" s="3"/>
      <c r="X1006" s="4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A1009" s="3"/>
      <c r="AB1009" s="3"/>
      <c r="AE1009" s="3"/>
      <c r="AK1009" s="5"/>
    </row>
    <row r="1010" spans="2:37" x14ac:dyDescent="0.25">
      <c r="B1010" s="1"/>
      <c r="E1010" s="2"/>
      <c r="G1010" s="3"/>
      <c r="H1010" s="3"/>
      <c r="I1010" s="3"/>
      <c r="K1010" s="3"/>
      <c r="L1010" s="3"/>
      <c r="X1010" s="4"/>
      <c r="AD1010" s="3"/>
      <c r="AE1010" s="3"/>
      <c r="AK1010" s="5"/>
    </row>
    <row r="1011" spans="2:37" x14ac:dyDescent="0.25">
      <c r="B1011" s="1"/>
      <c r="E1011" s="2"/>
      <c r="G1011" s="3"/>
      <c r="H1011" s="3"/>
      <c r="I1011" s="3"/>
      <c r="K1011" s="3"/>
      <c r="L1011" s="3"/>
      <c r="X1011" s="4"/>
      <c r="Z1011" s="3"/>
      <c r="AD1011" s="3"/>
      <c r="AE1011" s="3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Z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L1014" s="3"/>
      <c r="X1014" s="4"/>
      <c r="AB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AB1015" s="3"/>
      <c r="AE1015" s="3"/>
      <c r="AK1015" s="5"/>
    </row>
    <row r="1016" spans="2:37" x14ac:dyDescent="0.25">
      <c r="B1016" s="1"/>
      <c r="E1016" s="2"/>
      <c r="F1016" s="3"/>
      <c r="G1016" s="3"/>
      <c r="H1016" s="3"/>
      <c r="I1016" s="3"/>
      <c r="K1016" s="3"/>
      <c r="L1016" s="3"/>
      <c r="X1016" s="4"/>
      <c r="Z1016" s="3"/>
      <c r="AB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B1017" s="3"/>
      <c r="AE1017" s="3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B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E1019" s="3"/>
      <c r="AK1019" s="5"/>
    </row>
    <row r="1020" spans="2:37" x14ac:dyDescent="0.25">
      <c r="B1020" s="1"/>
      <c r="D1020" s="3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H1021" s="3"/>
      <c r="I1021" s="3"/>
      <c r="K1021" s="3"/>
      <c r="L1021" s="3"/>
      <c r="X1021" s="4"/>
    </row>
    <row r="1022" spans="2:37" x14ac:dyDescent="0.25">
      <c r="B1022" s="1"/>
      <c r="D1022" s="3"/>
      <c r="E1022" s="2"/>
      <c r="G1022" s="3"/>
      <c r="H1022" s="3"/>
      <c r="I1022" s="3"/>
      <c r="K1022" s="3"/>
      <c r="X1022" s="4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E1023" s="3"/>
      <c r="AK1023" s="5"/>
    </row>
    <row r="1024" spans="2:37" x14ac:dyDescent="0.25">
      <c r="B1024" s="1"/>
      <c r="D1024" s="3"/>
      <c r="E1024" s="2"/>
      <c r="G1024" s="3"/>
      <c r="H1024" s="3"/>
      <c r="I1024" s="3"/>
      <c r="K1024" s="3"/>
      <c r="L1024" s="3"/>
      <c r="X1024" s="4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</row>
    <row r="1026" spans="2:37" x14ac:dyDescent="0.25">
      <c r="B1026" s="1"/>
      <c r="E1026" s="2"/>
      <c r="F1026" s="3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  <c r="Z1028" s="3"/>
      <c r="AE1028" s="3"/>
      <c r="AK1028" s="5"/>
    </row>
    <row r="1029" spans="2:37" x14ac:dyDescent="0.25">
      <c r="B1029" s="1"/>
      <c r="E1029" s="2"/>
      <c r="F1029" s="3"/>
      <c r="G1029" s="3"/>
      <c r="H1029" s="3"/>
      <c r="I1029" s="3"/>
      <c r="K1029" s="3"/>
      <c r="L1029" s="3"/>
      <c r="X1029" s="4"/>
      <c r="AA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AD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K1032" s="5"/>
    </row>
    <row r="1033" spans="2:37" x14ac:dyDescent="0.25">
      <c r="B1033" s="1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A1034" s="3"/>
      <c r="AE1034" s="3"/>
      <c r="AK1034" s="5"/>
    </row>
    <row r="1035" spans="2:37" x14ac:dyDescent="0.25">
      <c r="B1035" s="1"/>
      <c r="E1035" s="2"/>
      <c r="G1035" s="3"/>
      <c r="H1035" s="3"/>
      <c r="I1035" s="3"/>
      <c r="K1035" s="3"/>
      <c r="L1035" s="3"/>
      <c r="X1035" s="4"/>
    </row>
    <row r="1036" spans="2:37" x14ac:dyDescent="0.25">
      <c r="B1036" s="3"/>
      <c r="E1036" s="2"/>
      <c r="F1036" s="3"/>
      <c r="G1036" s="3"/>
      <c r="H1036" s="3"/>
      <c r="I1036" s="3"/>
      <c r="K1036" s="3"/>
      <c r="L1036" s="3"/>
      <c r="X1036" s="4"/>
      <c r="AB1036" s="3"/>
      <c r="AE1036" s="3"/>
      <c r="AK1036" s="5"/>
    </row>
    <row r="1037" spans="2:37" x14ac:dyDescent="0.25">
      <c r="B1037" s="1"/>
      <c r="E1037" s="2"/>
      <c r="H1037" s="3"/>
      <c r="I1037" s="3"/>
      <c r="K1037" s="3"/>
      <c r="L1037" s="3"/>
      <c r="X1037" s="4"/>
      <c r="AB1037" s="3"/>
      <c r="AE1037" s="3"/>
      <c r="AK1037" s="5"/>
    </row>
    <row r="1038" spans="2:37" x14ac:dyDescent="0.25">
      <c r="B1038" s="3"/>
      <c r="E1038" s="2"/>
      <c r="F1038" s="3"/>
      <c r="G1038" s="3"/>
      <c r="H1038" s="3"/>
      <c r="I1038" s="3"/>
      <c r="K1038" s="3"/>
      <c r="L1038" s="3"/>
      <c r="X1038" s="4"/>
      <c r="AB1038" s="3"/>
      <c r="AE1038" s="3"/>
      <c r="AK1038" s="5"/>
    </row>
    <row r="1039" spans="2:37" x14ac:dyDescent="0.25">
      <c r="B1039" s="1"/>
      <c r="E1039" s="2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F1040" s="3"/>
      <c r="G1040" s="3"/>
      <c r="H1040" s="3"/>
      <c r="I1040" s="3"/>
      <c r="K1040" s="3"/>
      <c r="L1040" s="3"/>
      <c r="X1040" s="4"/>
      <c r="Z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Z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H1043" s="3"/>
      <c r="I1043" s="3"/>
      <c r="K1043" s="3"/>
      <c r="L1043" s="3"/>
      <c r="X1043" s="4"/>
    </row>
    <row r="1044" spans="2:37" x14ac:dyDescent="0.25">
      <c r="D1044" s="3"/>
      <c r="G1044" s="3"/>
    </row>
    <row r="1045" spans="2:37" x14ac:dyDescent="0.25">
      <c r="B1045" s="1"/>
      <c r="E1045" s="2"/>
      <c r="H1045" s="3"/>
      <c r="I1045" s="3"/>
      <c r="K1045" s="3"/>
      <c r="L1045" s="3"/>
      <c r="X1045" s="4"/>
    </row>
    <row r="1046" spans="2:37" x14ac:dyDescent="0.25">
      <c r="B1046" s="3"/>
      <c r="F1046" s="3"/>
      <c r="G1046" s="3"/>
    </row>
    <row r="1047" spans="2:37" x14ac:dyDescent="0.25">
      <c r="B1047" s="1"/>
      <c r="E1047" s="2"/>
      <c r="H1047" s="3"/>
      <c r="I1047" s="3"/>
      <c r="K1047" s="3"/>
      <c r="L1047" s="3"/>
      <c r="X1047" s="4"/>
      <c r="AB1047" s="3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B1048" s="3"/>
      <c r="AK1048" s="5"/>
    </row>
    <row r="1049" spans="2:37" x14ac:dyDescent="0.25">
      <c r="B1049" s="1"/>
      <c r="E1049" s="2"/>
      <c r="H1049" s="3"/>
      <c r="I1049" s="3"/>
      <c r="K1049" s="3"/>
      <c r="L1049" s="3"/>
      <c r="X1049" s="4"/>
      <c r="AE1049" s="3"/>
      <c r="AK1049" s="5"/>
    </row>
    <row r="1050" spans="2:37" x14ac:dyDescent="0.25">
      <c r="B1050" s="1"/>
      <c r="E1050" s="2"/>
      <c r="F1050" s="3"/>
      <c r="G1050" s="3"/>
      <c r="H1050" s="3"/>
      <c r="I1050" s="3"/>
      <c r="K1050" s="3"/>
      <c r="L1050" s="3"/>
      <c r="X1050" s="4"/>
      <c r="AD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Z1051" s="3"/>
      <c r="AD1051" s="3"/>
      <c r="AE1051" s="3"/>
      <c r="AK1051" s="5"/>
    </row>
    <row r="1052" spans="2:37" x14ac:dyDescent="0.25">
      <c r="B1052" s="1"/>
      <c r="D1052" s="3"/>
      <c r="E1052" s="2"/>
      <c r="G1052" s="3"/>
      <c r="H1052" s="3"/>
      <c r="I1052" s="3"/>
      <c r="K1052" s="3"/>
      <c r="L1052" s="3"/>
      <c r="X1052" s="4"/>
      <c r="Z1052" s="3"/>
      <c r="AD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D1053" s="3"/>
      <c r="AE1053" s="3"/>
      <c r="AK1053" s="5"/>
    </row>
    <row r="1054" spans="2:37" x14ac:dyDescent="0.25">
      <c r="B1054" s="1"/>
      <c r="D1054" s="3"/>
      <c r="E1054" s="2"/>
      <c r="G1054" s="3"/>
      <c r="H1054" s="3"/>
      <c r="I1054" s="3"/>
      <c r="K1054" s="3"/>
      <c r="L1054" s="3"/>
      <c r="X1054" s="4"/>
      <c r="AD1054" s="3"/>
      <c r="AE1054" s="3"/>
      <c r="AK1054" s="5"/>
    </row>
    <row r="1055" spans="2:37" x14ac:dyDescent="0.25">
      <c r="B1055" s="3"/>
      <c r="E1055" s="2"/>
      <c r="G1055" s="3"/>
      <c r="H1055" s="3"/>
      <c r="I1055" s="3"/>
      <c r="K1055" s="3"/>
      <c r="L1055" s="3"/>
      <c r="X1055" s="4"/>
      <c r="AD1055" s="3"/>
      <c r="AK1055" s="5"/>
    </row>
    <row r="1056" spans="2:37" x14ac:dyDescent="0.25">
      <c r="B1056" s="1"/>
      <c r="D1056" s="3"/>
      <c r="E1056" s="2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  <c r="AE1057" s="3"/>
      <c r="AK1057" s="5"/>
    </row>
    <row r="1058" spans="2:37" x14ac:dyDescent="0.25">
      <c r="B1058" s="1"/>
      <c r="D1058" s="3"/>
      <c r="E1058" s="2"/>
      <c r="G1058" s="3"/>
      <c r="H1058" s="3"/>
      <c r="I1058" s="3"/>
      <c r="K1058" s="3"/>
      <c r="L1058" s="3"/>
      <c r="X1058" s="4"/>
      <c r="Z1058" s="3"/>
      <c r="AE1058" s="3"/>
      <c r="AK1058" s="5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D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D1062" s="3"/>
      <c r="E1062" s="2"/>
      <c r="G1062" s="3"/>
      <c r="H1062" s="3"/>
      <c r="I1062" s="3"/>
      <c r="K1062" s="3"/>
      <c r="X1062" s="4"/>
      <c r="AE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B1063" s="3"/>
      <c r="AE1063" s="3"/>
      <c r="AK1063" s="5"/>
    </row>
    <row r="1064" spans="2:37" x14ac:dyDescent="0.25">
      <c r="B1064" s="1"/>
      <c r="D1064" s="3"/>
      <c r="E1064" s="2"/>
      <c r="G1064" s="3"/>
      <c r="H1064" s="3"/>
      <c r="I1064" s="3"/>
      <c r="K1064" s="3"/>
      <c r="X1064" s="4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B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X1066" s="4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D1068" s="3"/>
      <c r="G1068" s="3"/>
    </row>
    <row r="1069" spans="2:37" x14ac:dyDescent="0.25">
      <c r="B1069" s="1"/>
      <c r="E1069" s="2"/>
      <c r="H1069" s="3"/>
      <c r="I1069" s="3"/>
      <c r="K1069" s="3"/>
      <c r="L1069" s="3"/>
      <c r="X1069" s="4"/>
      <c r="Z1069" s="3"/>
      <c r="AD1069" s="3"/>
      <c r="AE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Z1071" s="3"/>
      <c r="AE1071" s="3"/>
      <c r="AK1071" s="5"/>
    </row>
    <row r="1072" spans="2:37" x14ac:dyDescent="0.25">
      <c r="B1072" s="1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F1075" s="3"/>
      <c r="G1075" s="3"/>
      <c r="H1075" s="3"/>
      <c r="I1075" s="3"/>
      <c r="K1075" s="3"/>
      <c r="X1075" s="4"/>
    </row>
    <row r="1076" spans="2:37" x14ac:dyDescent="0.25">
      <c r="B1076" s="1"/>
      <c r="E1076" s="2"/>
      <c r="H1076" s="3"/>
      <c r="I1076" s="3"/>
      <c r="K1076" s="3"/>
      <c r="L1076" s="3"/>
      <c r="X1076" s="4"/>
    </row>
    <row r="1077" spans="2:37" x14ac:dyDescent="0.25">
      <c r="B1077" s="1"/>
      <c r="E1077" s="2"/>
      <c r="F1077" s="3"/>
      <c r="G1077" s="3"/>
      <c r="H1077" s="3"/>
      <c r="I1077" s="3"/>
      <c r="K1077" s="3"/>
      <c r="X1077" s="4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</row>
    <row r="1079" spans="2:37" x14ac:dyDescent="0.25">
      <c r="B1079" s="1"/>
      <c r="E1079" s="2"/>
      <c r="F1079" s="3"/>
      <c r="G1079" s="3"/>
      <c r="H1079" s="3"/>
      <c r="I1079" s="3"/>
      <c r="K1079" s="3"/>
      <c r="L1079" s="3"/>
      <c r="X1079" s="4"/>
      <c r="AB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AB1080" s="3"/>
      <c r="AE1080" s="3"/>
      <c r="AK1080" s="5"/>
    </row>
    <row r="1081" spans="2:37" x14ac:dyDescent="0.25">
      <c r="B1081" s="1"/>
      <c r="E1081" s="2"/>
      <c r="F1081" s="3"/>
      <c r="G1081" s="3"/>
      <c r="H1081" s="3"/>
      <c r="I1081" s="3"/>
      <c r="K1081" s="3"/>
      <c r="L1081" s="3"/>
      <c r="AB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B1082" s="3"/>
      <c r="AE1082" s="3"/>
      <c r="AK1082" s="5"/>
    </row>
    <row r="1083" spans="2:37" x14ac:dyDescent="0.25">
      <c r="B1083" s="1"/>
      <c r="E1083" s="2"/>
      <c r="F1083" s="3"/>
      <c r="G1083" s="3"/>
      <c r="H1083" s="3"/>
      <c r="I1083" s="3"/>
      <c r="K1083" s="3"/>
      <c r="L1083" s="3"/>
      <c r="X1083" s="4"/>
      <c r="AB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D1086" s="3"/>
      <c r="E1086" s="2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A1087" s="3"/>
      <c r="AB1087" s="3"/>
      <c r="AD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AA1088" s="3"/>
      <c r="AE1088" s="3"/>
      <c r="AK1088" s="5"/>
    </row>
    <row r="1089" spans="2:37" x14ac:dyDescent="0.25">
      <c r="B1089" s="1"/>
      <c r="E1089" s="2"/>
      <c r="G1089" s="3"/>
      <c r="H1089" s="3"/>
      <c r="I1089" s="3"/>
      <c r="K1089" s="3"/>
      <c r="L1089" s="3"/>
      <c r="X1089" s="4"/>
      <c r="Z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E1090" s="3"/>
      <c r="AK1090" s="5"/>
    </row>
    <row r="1091" spans="2:37" x14ac:dyDescent="0.25">
      <c r="B1091" s="3"/>
      <c r="E1091" s="2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X1092" s="4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Z1093" s="3"/>
      <c r="AE1093" s="3"/>
      <c r="AK1093" s="5"/>
    </row>
    <row r="1094" spans="2:37" x14ac:dyDescent="0.25">
      <c r="B1094" s="1"/>
      <c r="E1094" s="2"/>
      <c r="G1094" s="3"/>
      <c r="H1094" s="3"/>
      <c r="I1094" s="3"/>
      <c r="K1094" s="3"/>
      <c r="L1094" s="3"/>
      <c r="X1094" s="4"/>
      <c r="AK1094" s="5"/>
    </row>
    <row r="1095" spans="2:37" x14ac:dyDescent="0.25">
      <c r="B1095" s="1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K1098" s="5"/>
    </row>
    <row r="1099" spans="2:37" x14ac:dyDescent="0.25">
      <c r="B1099" s="1"/>
      <c r="D1099" s="3"/>
      <c r="E1099" s="2"/>
      <c r="G1099" s="3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B1100" s="3"/>
      <c r="AD1100" s="3"/>
      <c r="AE1100" s="3"/>
      <c r="AK1100" s="5"/>
    </row>
    <row r="1101" spans="2:37" x14ac:dyDescent="0.25">
      <c r="B1101" s="1"/>
      <c r="E1101" s="2"/>
      <c r="G1101" s="3"/>
      <c r="H1101" s="3"/>
      <c r="I1101" s="3"/>
      <c r="K1101" s="3"/>
      <c r="L1101" s="3"/>
      <c r="X1101" s="4"/>
      <c r="AB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K1102" s="5"/>
    </row>
    <row r="1103" spans="2:37" x14ac:dyDescent="0.25">
      <c r="B1103" s="3"/>
      <c r="E1103" s="2"/>
      <c r="F1103" s="3"/>
      <c r="G1103" s="3"/>
      <c r="H1103" s="3"/>
      <c r="I1103" s="3"/>
      <c r="K1103" s="3"/>
      <c r="X1103" s="4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K1104" s="5"/>
    </row>
    <row r="1105" spans="2:37" x14ac:dyDescent="0.25">
      <c r="B1105" s="3"/>
      <c r="E1105" s="2"/>
      <c r="F1105" s="3"/>
      <c r="G1105" s="3"/>
      <c r="H1105" s="3"/>
      <c r="I1105" s="3"/>
      <c r="K1105" s="3"/>
      <c r="X1105" s="4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K1106" s="5"/>
    </row>
    <row r="1107" spans="2:37" x14ac:dyDescent="0.25">
      <c r="B1107" s="3"/>
      <c r="E1107" s="2"/>
      <c r="F1107" s="3"/>
      <c r="G1107" s="3"/>
      <c r="H1107" s="3"/>
      <c r="I1107" s="3"/>
      <c r="K1107" s="3"/>
      <c r="X1107" s="4"/>
      <c r="AE1107" s="3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Z1108" s="3"/>
      <c r="AD1108" s="3"/>
      <c r="AE1108" s="3"/>
      <c r="AK1108" s="5"/>
    </row>
    <row r="1109" spans="2:37" x14ac:dyDescent="0.25">
      <c r="B1109" s="1"/>
      <c r="E1109" s="2"/>
      <c r="G1109" s="3"/>
      <c r="H1109" s="3"/>
      <c r="I1109" s="3"/>
      <c r="K1109" s="3"/>
      <c r="L1109" s="3"/>
      <c r="X1109" s="4"/>
      <c r="AD1109" s="3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K1110" s="5"/>
    </row>
    <row r="1111" spans="2:37" x14ac:dyDescent="0.25">
      <c r="B1111" s="1"/>
      <c r="E1111" s="2"/>
      <c r="F1111" s="3"/>
      <c r="G1111" s="3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G1112" s="3"/>
      <c r="H1112" s="3"/>
      <c r="I1112" s="3"/>
      <c r="K1112" s="3"/>
      <c r="L1112" s="3"/>
      <c r="X1112" s="4"/>
      <c r="AK1112" s="5"/>
    </row>
    <row r="1113" spans="2:37" x14ac:dyDescent="0.25">
      <c r="B1113" s="1"/>
      <c r="E1113" s="2"/>
      <c r="F1113" s="3"/>
      <c r="G1113" s="3"/>
      <c r="H1113" s="3"/>
      <c r="I1113" s="3"/>
      <c r="K1113" s="3"/>
      <c r="X1113" s="4"/>
      <c r="AK1113" s="5"/>
    </row>
    <row r="1114" spans="2:37" x14ac:dyDescent="0.25">
      <c r="B1114" s="1"/>
      <c r="E1114" s="2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X1115" s="4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1"/>
      <c r="D1117" s="3"/>
      <c r="E1117" s="2"/>
      <c r="F1117" s="3"/>
      <c r="G1117" s="3"/>
      <c r="H1117" s="3"/>
      <c r="I1117" s="3"/>
      <c r="K1117" s="3"/>
      <c r="L1117" s="3"/>
      <c r="X1117" s="4"/>
    </row>
    <row r="1118" spans="2:37" x14ac:dyDescent="0.25">
      <c r="B1118" s="3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F1119" s="3"/>
      <c r="G1119" s="3"/>
      <c r="H1119" s="3"/>
      <c r="I1119" s="3"/>
      <c r="K1119" s="3"/>
      <c r="L1119" s="3"/>
      <c r="X1119" s="4"/>
      <c r="AB1119" s="3"/>
      <c r="AD1119" s="3"/>
      <c r="AE1119" s="3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D1120" s="3"/>
      <c r="AE1120" s="3"/>
      <c r="AK1120" s="5"/>
    </row>
    <row r="1121" spans="2:37" x14ac:dyDescent="0.25">
      <c r="B1121" s="1"/>
      <c r="E1121" s="2"/>
      <c r="F1121" s="3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AB1122" s="3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Z1123" s="3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Z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AK1126" s="5"/>
    </row>
    <row r="1127" spans="2:37" x14ac:dyDescent="0.25">
      <c r="B1127" s="1"/>
      <c r="D1127" s="3"/>
      <c r="E1127" s="2"/>
      <c r="H1127" s="3"/>
      <c r="I1127" s="3"/>
      <c r="K1127" s="3"/>
      <c r="X1127" s="4"/>
      <c r="AE1127" s="3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Z1129" s="3"/>
      <c r="AE1129" s="3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</row>
    <row r="1131" spans="2:37" x14ac:dyDescent="0.25">
      <c r="D1131" s="3"/>
      <c r="G1131" s="3"/>
    </row>
    <row r="1132" spans="2:37" x14ac:dyDescent="0.25">
      <c r="B1132" s="1"/>
      <c r="E1132" s="2"/>
      <c r="H1132" s="3"/>
      <c r="I1132" s="3"/>
      <c r="K1132" s="3"/>
      <c r="L1132" s="3"/>
      <c r="X1132" s="4"/>
      <c r="AB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B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B1134" s="3"/>
      <c r="AK1134" s="5"/>
    </row>
    <row r="1135" spans="2:37" x14ac:dyDescent="0.25">
      <c r="B1135" s="1"/>
      <c r="E1135" s="2"/>
      <c r="G1135" s="3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</row>
    <row r="1138" spans="2:37" x14ac:dyDescent="0.25">
      <c r="B1138" s="1"/>
      <c r="D1138" s="3"/>
      <c r="E1138" s="2"/>
      <c r="G1138" s="3"/>
      <c r="H1138" s="3"/>
      <c r="I1138" s="3"/>
      <c r="K1138" s="3"/>
      <c r="L1138" s="3"/>
      <c r="X1138" s="4"/>
      <c r="AD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Z1140" s="3"/>
      <c r="AB1140" s="3"/>
      <c r="AE1140" s="3"/>
      <c r="AK1140" s="5"/>
    </row>
    <row r="1141" spans="2:37" x14ac:dyDescent="0.25">
      <c r="B1141" s="1"/>
      <c r="D1141" s="3"/>
      <c r="E1141" s="2"/>
      <c r="G1141" s="3"/>
      <c r="H1141" s="3"/>
      <c r="I1141" s="3"/>
      <c r="K1141" s="3"/>
      <c r="L1141" s="3"/>
      <c r="X1141" s="4"/>
    </row>
    <row r="1142" spans="2:37" x14ac:dyDescent="0.25">
      <c r="B1142" s="3"/>
      <c r="E1142" s="2"/>
      <c r="G1142" s="3"/>
      <c r="H1142" s="3"/>
      <c r="I1142" s="3"/>
      <c r="K1142" s="3"/>
      <c r="X1142" s="4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E1143" s="3"/>
      <c r="AK1143" s="5"/>
    </row>
    <row r="1144" spans="2:37" x14ac:dyDescent="0.25">
      <c r="B1144" s="1"/>
      <c r="D1144" s="3"/>
      <c r="E1144" s="2"/>
      <c r="G1144" s="3"/>
      <c r="H1144" s="3"/>
      <c r="I1144" s="3"/>
      <c r="K1144" s="3"/>
      <c r="L1144" s="3"/>
      <c r="X1144" s="4"/>
    </row>
    <row r="1145" spans="2:37" x14ac:dyDescent="0.25">
      <c r="B1145" s="3"/>
      <c r="D1145" s="3"/>
      <c r="E1145" s="2"/>
      <c r="G1145" s="3"/>
      <c r="H1145" s="3"/>
      <c r="I1145" s="3"/>
      <c r="K1145" s="3"/>
      <c r="L1145" s="3"/>
      <c r="X1145" s="4"/>
    </row>
    <row r="1146" spans="2:37" x14ac:dyDescent="0.25">
      <c r="B1146" s="1"/>
      <c r="E1146" s="2"/>
      <c r="F1146" s="3"/>
      <c r="G1146" s="3"/>
      <c r="H1146" s="3"/>
      <c r="I1146" s="3"/>
      <c r="K1146" s="3"/>
      <c r="L1146" s="3"/>
      <c r="X1146" s="4"/>
    </row>
    <row r="1147" spans="2:37" x14ac:dyDescent="0.25">
      <c r="B1147" s="3"/>
      <c r="D1147" s="3"/>
      <c r="E1147" s="2"/>
      <c r="G1147" s="3"/>
      <c r="H1147" s="3"/>
      <c r="I1147" s="3"/>
      <c r="K1147" s="3"/>
      <c r="X1147" s="4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K1148" s="5"/>
    </row>
    <row r="1149" spans="2:37" x14ac:dyDescent="0.25">
      <c r="B1149" s="1"/>
      <c r="D1149" s="3"/>
      <c r="E1149" s="2"/>
      <c r="G1149" s="3"/>
      <c r="H1149" s="3"/>
      <c r="I1149" s="3"/>
      <c r="K1149" s="3"/>
      <c r="X1149" s="4"/>
    </row>
    <row r="1150" spans="2:37" x14ac:dyDescent="0.25">
      <c r="B1150" s="1"/>
      <c r="E1150" s="2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  <c r="AK1151" s="5"/>
    </row>
    <row r="1152" spans="2:37" x14ac:dyDescent="0.25">
      <c r="B1152" s="1"/>
      <c r="E1152" s="2"/>
      <c r="H1152" s="3"/>
      <c r="I1152" s="3"/>
      <c r="K1152" s="3"/>
      <c r="L1152" s="3"/>
      <c r="X1152" s="4"/>
      <c r="AD1152" s="3"/>
      <c r="AE1152" s="3"/>
      <c r="AK1152" s="5"/>
    </row>
    <row r="1153" spans="2:37" x14ac:dyDescent="0.25">
      <c r="B1153" s="1"/>
      <c r="E1153" s="2"/>
      <c r="H1153" s="3"/>
      <c r="I1153" s="3"/>
      <c r="K1153" s="3"/>
      <c r="X1153" s="4"/>
    </row>
    <row r="1154" spans="2:37" x14ac:dyDescent="0.25">
      <c r="B1154" s="1"/>
      <c r="E1154" s="2"/>
      <c r="H1154" s="3"/>
      <c r="I1154" s="3"/>
      <c r="K1154" s="3"/>
      <c r="L1154" s="3"/>
      <c r="X1154" s="4"/>
    </row>
    <row r="1155" spans="2:37" x14ac:dyDescent="0.25">
      <c r="B1155" s="1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X1157" s="4"/>
    </row>
    <row r="1158" spans="2:37" x14ac:dyDescent="0.25">
      <c r="B1158" s="1"/>
      <c r="E1158" s="2"/>
      <c r="X1158" s="4"/>
    </row>
    <row r="1159" spans="2:37" x14ac:dyDescent="0.25">
      <c r="B1159" s="1"/>
      <c r="E1159" s="2"/>
      <c r="H1159" s="3"/>
      <c r="I1159" s="3"/>
      <c r="K1159" s="3"/>
      <c r="X1159" s="4"/>
      <c r="AE1159" s="3"/>
      <c r="AK1159" s="5"/>
    </row>
    <row r="1160" spans="2:37" x14ac:dyDescent="0.25">
      <c r="B1160" s="1"/>
      <c r="E1160" s="2"/>
      <c r="H1160" s="3"/>
      <c r="I1160" s="3"/>
      <c r="K1160" s="3"/>
      <c r="L1160" s="3"/>
      <c r="X1160" s="4"/>
      <c r="AB1160" s="3"/>
      <c r="AE1160" s="3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Z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Z1162" s="3"/>
      <c r="AE1162" s="3"/>
      <c r="AK1162" s="5"/>
    </row>
    <row r="1163" spans="2:37" x14ac:dyDescent="0.25">
      <c r="B1163" s="1"/>
      <c r="D1163" s="3"/>
      <c r="E1163" s="2"/>
      <c r="H1163" s="3"/>
      <c r="I1163" s="3"/>
      <c r="K1163" s="3"/>
      <c r="X1163" s="4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AB1164" s="3"/>
      <c r="AD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G1167" s="3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  <c r="AD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D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</row>
    <row r="1172" spans="2:37" x14ac:dyDescent="0.25">
      <c r="B1172" s="3"/>
      <c r="E1172" s="2"/>
      <c r="G1172" s="3"/>
      <c r="K1172" s="3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X1174" s="4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E1177" s="2"/>
      <c r="H1177" s="3"/>
      <c r="I1177" s="3"/>
      <c r="K1177" s="3"/>
      <c r="L1177" s="3"/>
      <c r="X1177" s="4"/>
      <c r="AD1177" s="3"/>
      <c r="AE1177" s="3"/>
      <c r="AK1177" s="5"/>
    </row>
    <row r="1178" spans="2:37" x14ac:dyDescent="0.25">
      <c r="B1178" s="1"/>
      <c r="E1178" s="2"/>
      <c r="G1178" s="3"/>
      <c r="H1178" s="3"/>
      <c r="I1178" s="3"/>
      <c r="K1178" s="3"/>
      <c r="X1178" s="4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AD1179" s="3"/>
      <c r="AE1179" s="3"/>
      <c r="AK1179" s="5"/>
    </row>
    <row r="1180" spans="2:37" x14ac:dyDescent="0.25">
      <c r="B1180" s="1"/>
      <c r="D1180" s="3"/>
      <c r="E1180" s="2"/>
      <c r="G1180" s="3"/>
      <c r="H1180" s="3"/>
      <c r="I1180" s="3"/>
      <c r="K1180" s="3"/>
      <c r="L1180" s="3"/>
      <c r="X1180" s="4"/>
      <c r="AE1180" s="3"/>
      <c r="AK1180" s="5"/>
    </row>
    <row r="1181" spans="2:37" x14ac:dyDescent="0.25">
      <c r="B1181" s="1"/>
      <c r="E1181" s="2"/>
      <c r="G1181" s="3"/>
      <c r="H1181" s="3"/>
      <c r="I1181" s="3"/>
      <c r="K1181" s="3"/>
      <c r="X1181" s="4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Z1182" s="3"/>
      <c r="AB1182" s="3"/>
      <c r="AE1182" s="3"/>
      <c r="AK1182" s="5"/>
    </row>
    <row r="1183" spans="2:37" x14ac:dyDescent="0.25">
      <c r="B1183" s="1"/>
      <c r="E1183" s="2"/>
      <c r="H1183" s="3"/>
      <c r="I1183" s="3"/>
      <c r="K1183" s="3"/>
      <c r="L1183" s="3"/>
      <c r="X1183" s="4"/>
      <c r="AK1183" s="5"/>
    </row>
    <row r="1184" spans="2:37" x14ac:dyDescent="0.25">
      <c r="B1184" s="1"/>
      <c r="E1184" s="2"/>
      <c r="G1184" s="3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AE1187" s="3"/>
      <c r="AK1187" s="5"/>
    </row>
    <row r="1188" spans="2:37" x14ac:dyDescent="0.25">
      <c r="B1188" s="1"/>
      <c r="E1188" s="2"/>
      <c r="G1188" s="3"/>
      <c r="H1188" s="3"/>
      <c r="I1188" s="3"/>
      <c r="K1188" s="3"/>
      <c r="X1188" s="4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K1189" s="5"/>
    </row>
    <row r="1190" spans="2:37" x14ac:dyDescent="0.25">
      <c r="B1190" s="1"/>
      <c r="E1190" s="2"/>
      <c r="F1190" s="3"/>
      <c r="G1190" s="3"/>
      <c r="H1190" s="3"/>
      <c r="I1190" s="3"/>
      <c r="K1190" s="3"/>
      <c r="X1190" s="4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K1191" s="5"/>
    </row>
    <row r="1192" spans="2:37" x14ac:dyDescent="0.25">
      <c r="B1192" s="1"/>
      <c r="E1192" s="2"/>
      <c r="F1192" s="3"/>
      <c r="G1192" s="3"/>
      <c r="H1192" s="3"/>
      <c r="I1192" s="3"/>
      <c r="K1192" s="3"/>
      <c r="X1192" s="4"/>
      <c r="AE1192" s="3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X1194" s="4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AK1195" s="5"/>
    </row>
    <row r="1196" spans="2:37" x14ac:dyDescent="0.25">
      <c r="B1196" s="1"/>
      <c r="E1196" s="2"/>
      <c r="G1196" s="3"/>
      <c r="X1196" s="4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B1197" s="3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D1199" s="3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Z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E1202" s="2"/>
      <c r="F1202" s="3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B1205" s="3"/>
      <c r="AK1205" s="5"/>
    </row>
    <row r="1206" spans="2:37" x14ac:dyDescent="0.25">
      <c r="B1206" s="3"/>
      <c r="E1206" s="2"/>
      <c r="G1206" s="3"/>
      <c r="H1206" s="3"/>
      <c r="I1206" s="3"/>
      <c r="K1206" s="3"/>
      <c r="L1206" s="3"/>
      <c r="X1206" s="4"/>
      <c r="AB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B1207" s="3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H1210" s="3"/>
      <c r="I1210" s="3"/>
      <c r="K1210" s="3"/>
      <c r="X1210" s="4"/>
      <c r="AE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L1213" s="3"/>
      <c r="X1213" s="4"/>
      <c r="AD1213" s="3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D1214" s="3"/>
      <c r="AE1214" s="3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Z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Z1217" s="3"/>
      <c r="AE1217" s="3"/>
      <c r="AK1217" s="5"/>
    </row>
    <row r="1218" spans="2:37" x14ac:dyDescent="0.25">
      <c r="B1218" s="3"/>
      <c r="E1218" s="2"/>
      <c r="G1218" s="3"/>
      <c r="H1218" s="3"/>
      <c r="I1218" s="3"/>
      <c r="K1218" s="3"/>
      <c r="L1218" s="3"/>
      <c r="X1218" s="4"/>
      <c r="Z1218" s="3"/>
      <c r="AB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B1219" s="3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D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E1221" s="3"/>
      <c r="AK1221" s="5"/>
    </row>
    <row r="1222" spans="2:37" x14ac:dyDescent="0.25">
      <c r="B1222" s="1"/>
      <c r="E1222" s="2"/>
      <c r="G1222" s="3"/>
      <c r="H1222" s="3"/>
      <c r="I1222" s="3"/>
      <c r="K1222" s="3"/>
      <c r="X1222" s="4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Z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X1224" s="4"/>
      <c r="AK1224" s="5"/>
    </row>
    <row r="1225" spans="2:37" x14ac:dyDescent="0.25">
      <c r="B1225" s="1"/>
      <c r="E1225" s="2"/>
      <c r="G1225" s="3"/>
      <c r="H1225" s="3"/>
      <c r="I1225" s="3"/>
      <c r="K1225" s="3"/>
      <c r="L1225" s="3"/>
      <c r="X1225" s="4"/>
      <c r="AB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D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L1227" s="3"/>
      <c r="X1227" s="4"/>
      <c r="Z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B1228" s="3"/>
      <c r="AE1228" s="3"/>
      <c r="AK1228" s="5"/>
    </row>
    <row r="1229" spans="2:37" x14ac:dyDescent="0.25">
      <c r="B1229" s="1"/>
      <c r="E1229" s="2"/>
      <c r="F1229" s="3"/>
      <c r="H1229" s="3"/>
      <c r="I1229" s="3"/>
      <c r="K1229" s="3"/>
      <c r="L1229" s="3"/>
      <c r="X1229" s="4"/>
      <c r="AB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D1230" s="3"/>
      <c r="AE1230" s="3"/>
      <c r="AK1230" s="5"/>
    </row>
    <row r="1231" spans="2:37" x14ac:dyDescent="0.25">
      <c r="B1231" s="3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K1232" s="5"/>
    </row>
    <row r="1233" spans="2:37" x14ac:dyDescent="0.25">
      <c r="B1233" s="1"/>
      <c r="E1233" s="2"/>
      <c r="F1233" s="3"/>
      <c r="G1233" s="3"/>
      <c r="H1233" s="3"/>
      <c r="I1233" s="3"/>
      <c r="K1233" s="3"/>
      <c r="L1233" s="3"/>
      <c r="X1233" s="4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Z1234" s="3"/>
      <c r="AB1234" s="3"/>
      <c r="AE1234" s="3"/>
      <c r="AK1234" s="5"/>
    </row>
    <row r="1235" spans="2:37" x14ac:dyDescent="0.25">
      <c r="B1235" s="1"/>
      <c r="E1235" s="2"/>
      <c r="F1235" s="3"/>
      <c r="G1235" s="3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AK1236" s="5"/>
    </row>
    <row r="1237" spans="2:37" x14ac:dyDescent="0.25">
      <c r="B1237" s="3"/>
      <c r="E1237" s="2"/>
      <c r="G1237" s="3"/>
      <c r="H1237" s="3"/>
      <c r="I1237" s="3"/>
      <c r="K1237" s="3"/>
      <c r="L1237" s="3"/>
      <c r="X1237" s="4"/>
      <c r="AK1237" s="5"/>
    </row>
    <row r="1238" spans="2:37" x14ac:dyDescent="0.25">
      <c r="B1238" s="1"/>
      <c r="D1238" s="3"/>
      <c r="E1238" s="2"/>
      <c r="G1238" s="3"/>
      <c r="H1238" s="3"/>
      <c r="I1238" s="3"/>
      <c r="K1238" s="3"/>
      <c r="L1238" s="3"/>
      <c r="X1238" s="4"/>
      <c r="AK1238" s="5"/>
    </row>
    <row r="1239" spans="2:37" x14ac:dyDescent="0.25">
      <c r="B1239" s="1"/>
      <c r="E1239" s="2"/>
      <c r="F1239" s="3"/>
      <c r="G1239" s="3"/>
      <c r="H1239" s="3"/>
      <c r="I1239" s="3"/>
      <c r="K1239" s="3"/>
      <c r="L1239" s="3"/>
      <c r="X1239" s="4"/>
      <c r="AK1239" s="5"/>
    </row>
    <row r="1240" spans="2:37" x14ac:dyDescent="0.25">
      <c r="B1240" s="1"/>
      <c r="D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3"/>
      <c r="E1242" s="2"/>
      <c r="G1242" s="3"/>
      <c r="H1242" s="3"/>
      <c r="I1242" s="3"/>
      <c r="K1242" s="3"/>
      <c r="L1242" s="3"/>
      <c r="X1242" s="4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K1243" s="5"/>
    </row>
    <row r="1244" spans="2:37" x14ac:dyDescent="0.25">
      <c r="B1244" s="1"/>
      <c r="D1244" s="3"/>
      <c r="E1244" s="2"/>
      <c r="G1244" s="3"/>
      <c r="H1244" s="3"/>
      <c r="I1244" s="3"/>
      <c r="K1244" s="3"/>
      <c r="X1244" s="4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E1245" s="3"/>
      <c r="AK1245" s="5"/>
    </row>
    <row r="1246" spans="2:37" x14ac:dyDescent="0.25">
      <c r="B1246" s="1"/>
      <c r="E1246" s="2"/>
      <c r="G1246" s="3"/>
      <c r="H1246" s="3"/>
      <c r="I1246" s="3"/>
      <c r="K1246" s="3"/>
      <c r="L1246" s="3"/>
      <c r="X1246" s="4"/>
      <c r="AD1246" s="3"/>
      <c r="AE1246" s="3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Z1247" s="3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E1248" s="3"/>
      <c r="AK1248" s="5"/>
    </row>
    <row r="1249" spans="2:37" x14ac:dyDescent="0.25">
      <c r="B1249" s="1"/>
      <c r="E1249" s="2"/>
      <c r="H1249" s="3"/>
      <c r="I1249" s="3"/>
      <c r="K1249" s="3"/>
      <c r="L1249" s="3"/>
      <c r="X1249" s="4"/>
      <c r="Z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X1250" s="4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3"/>
      <c r="E1252" s="2"/>
      <c r="G1252" s="3"/>
      <c r="H1252" s="3"/>
      <c r="I1252" s="3"/>
      <c r="K1252" s="3"/>
      <c r="X1252" s="4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AK1253" s="5"/>
    </row>
    <row r="1254" spans="2:37" x14ac:dyDescent="0.25">
      <c r="B1254" s="1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B1256" s="3"/>
      <c r="AE1256" s="3"/>
      <c r="AK1256" s="5"/>
    </row>
    <row r="1257" spans="2:37" x14ac:dyDescent="0.25">
      <c r="B1257" s="1"/>
      <c r="D1257" s="3"/>
      <c r="E1257" s="2"/>
      <c r="G1257" s="3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G1258" s="3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Z1259" s="3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1"/>
      <c r="D1261" s="3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F1263" s="3"/>
      <c r="G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X1267" s="4"/>
      <c r="AE1267" s="3"/>
      <c r="AK1267" s="5"/>
    </row>
    <row r="1268" spans="2:37" x14ac:dyDescent="0.25">
      <c r="B1268" s="1"/>
      <c r="E1268" s="2"/>
      <c r="H1268" s="3"/>
      <c r="I1268" s="3"/>
      <c r="K1268" s="3"/>
      <c r="X1268" s="4"/>
      <c r="AE1268" s="3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E1270" s="2"/>
      <c r="F1270" s="3"/>
      <c r="G1270" s="3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X1271" s="4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AK1272" s="5"/>
    </row>
    <row r="1273" spans="2:37" x14ac:dyDescent="0.25">
      <c r="B1273" s="1"/>
      <c r="D1273" s="3"/>
      <c r="E1273" s="2"/>
      <c r="G1273" s="3"/>
      <c r="H1273" s="3"/>
      <c r="I1273" s="3"/>
      <c r="K1273" s="3"/>
      <c r="L1273" s="3"/>
      <c r="X1273" s="4"/>
      <c r="AK1273" s="5"/>
    </row>
    <row r="1274" spans="2:37" x14ac:dyDescent="0.25">
      <c r="B1274" s="1"/>
      <c r="D1274" s="3"/>
      <c r="E1274" s="2"/>
      <c r="G1274" s="3"/>
      <c r="H1274" s="3"/>
      <c r="I1274" s="3"/>
      <c r="K1274" s="3"/>
      <c r="X1274" s="4"/>
      <c r="AK1274" s="5"/>
    </row>
    <row r="1275" spans="2:37" x14ac:dyDescent="0.25">
      <c r="B1275" s="1"/>
      <c r="E1275" s="2"/>
      <c r="G1275" s="3"/>
      <c r="H1275" s="3"/>
      <c r="I1275" s="3"/>
      <c r="K1275" s="3"/>
      <c r="L1275" s="3"/>
      <c r="X1275" s="4"/>
      <c r="AB1275" s="3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L1276" s="3"/>
      <c r="X1276" s="4"/>
      <c r="Z1276" s="3"/>
      <c r="AB1276" s="3"/>
      <c r="AE1276" s="3"/>
      <c r="AK1276" s="5"/>
    </row>
    <row r="1277" spans="2:37" x14ac:dyDescent="0.25">
      <c r="B1277" s="1"/>
      <c r="E1277" s="2"/>
      <c r="H1277" s="3"/>
      <c r="I1277" s="3"/>
      <c r="K1277" s="3"/>
      <c r="L1277" s="3"/>
      <c r="X1277" s="4"/>
      <c r="Z1277" s="3"/>
      <c r="AE1277" s="3"/>
      <c r="AK1277" s="5"/>
    </row>
    <row r="1278" spans="2:37" x14ac:dyDescent="0.25">
      <c r="B1278" s="1"/>
      <c r="E1278" s="2"/>
      <c r="H1278" s="3"/>
      <c r="I1278" s="3"/>
      <c r="K1278" s="3"/>
      <c r="X1278" s="4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</row>
    <row r="1280" spans="2:37" x14ac:dyDescent="0.25">
      <c r="B1280" s="1"/>
      <c r="D1280" s="3"/>
      <c r="E1280" s="2"/>
      <c r="F1280" s="3"/>
      <c r="G1280" s="3"/>
      <c r="X1280" s="4"/>
    </row>
    <row r="1281" spans="2:37" x14ac:dyDescent="0.25">
      <c r="B1281" s="1"/>
      <c r="E1281" s="2"/>
      <c r="H1281" s="3"/>
      <c r="I1281" s="3"/>
      <c r="K1281" s="3"/>
      <c r="L1281" s="3"/>
      <c r="X1281" s="4"/>
      <c r="AK1281" s="5"/>
    </row>
    <row r="1282" spans="2:37" x14ac:dyDescent="0.25">
      <c r="B1282" s="3"/>
      <c r="E1282" s="2"/>
      <c r="G1282" s="3"/>
      <c r="H1282" s="3"/>
      <c r="I1282" s="3"/>
      <c r="K1282" s="3"/>
      <c r="L1282" s="3"/>
      <c r="X1282" s="4"/>
      <c r="AD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D1283" s="3"/>
      <c r="AE1283" s="3"/>
      <c r="AK1283" s="5"/>
    </row>
    <row r="1284" spans="2:37" x14ac:dyDescent="0.25">
      <c r="B1284" s="3"/>
      <c r="E1284" s="2"/>
      <c r="G1284" s="3"/>
      <c r="H1284" s="3"/>
      <c r="I1284" s="3"/>
      <c r="K1284" s="3"/>
      <c r="L1284" s="3"/>
      <c r="X1284" s="4"/>
      <c r="AD1284" s="3"/>
      <c r="AE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AB1285" s="3"/>
      <c r="AE1285" s="3"/>
      <c r="AK1285" s="5"/>
    </row>
    <row r="1286" spans="2:37" x14ac:dyDescent="0.25">
      <c r="B1286" s="1"/>
      <c r="D1286" s="3"/>
      <c r="E1286" s="2"/>
      <c r="G1286" s="3"/>
      <c r="H1286" s="3"/>
      <c r="I1286" s="3"/>
      <c r="K1286" s="3"/>
      <c r="L1286" s="3"/>
      <c r="X1286" s="4"/>
      <c r="Z1286" s="3"/>
      <c r="AB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L1287" s="3"/>
      <c r="X1287" s="4"/>
      <c r="Z1287" s="3"/>
      <c r="AB1287" s="3"/>
      <c r="AE1287" s="3"/>
      <c r="AK1287" s="5"/>
    </row>
    <row r="1288" spans="2:37" x14ac:dyDescent="0.25">
      <c r="B1288" s="1"/>
      <c r="E1288" s="2"/>
      <c r="G1288" s="3"/>
      <c r="H1288" s="3"/>
      <c r="I1288" s="3"/>
      <c r="K1288" s="3"/>
      <c r="L1288" s="3"/>
      <c r="X1288" s="4"/>
      <c r="AB1288" s="3"/>
      <c r="AK1288" s="5"/>
    </row>
    <row r="1289" spans="2:37" x14ac:dyDescent="0.25">
      <c r="B1289" s="1"/>
      <c r="E1289" s="2"/>
      <c r="H1289" s="3"/>
      <c r="I1289" s="3"/>
      <c r="K1289" s="3"/>
      <c r="L1289" s="3"/>
      <c r="X1289" s="4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Z1292" s="3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A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3"/>
      <c r="E1297" s="2"/>
      <c r="G1297" s="3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3"/>
      <c r="E1301" s="2"/>
      <c r="G1301" s="3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F1302" s="3"/>
      <c r="G1302" s="3"/>
      <c r="H1302" s="3"/>
      <c r="I1302" s="3"/>
      <c r="K1302" s="3"/>
      <c r="L1302" s="3"/>
      <c r="X1302" s="4"/>
      <c r="Z1302" s="3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X1304" s="4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D1308" s="3"/>
      <c r="E1308" s="2"/>
      <c r="F1308" s="3"/>
      <c r="G1308" s="3"/>
      <c r="H1308" s="3"/>
      <c r="I1308" s="3"/>
      <c r="K1308" s="3"/>
      <c r="L1308" s="3"/>
      <c r="X1308" s="4"/>
      <c r="AB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Z1309" s="3"/>
      <c r="AE1309" s="3"/>
      <c r="AK1309" s="5"/>
    </row>
    <row r="1310" spans="2:37" x14ac:dyDescent="0.25">
      <c r="B1310" s="3"/>
      <c r="E1310" s="2"/>
      <c r="F1310" s="3"/>
      <c r="G1310" s="3"/>
      <c r="H1310" s="3"/>
      <c r="I1310" s="3"/>
      <c r="K1310" s="3"/>
      <c r="L1310" s="3"/>
      <c r="X1310" s="4"/>
      <c r="AA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AD1311" s="3"/>
      <c r="AE1311" s="3"/>
      <c r="AK1311" s="5"/>
    </row>
    <row r="1312" spans="2:37" x14ac:dyDescent="0.25">
      <c r="B1312" s="1"/>
      <c r="E1312" s="2"/>
      <c r="F1312" s="3"/>
      <c r="G1312" s="3"/>
      <c r="H1312" s="3"/>
      <c r="I1312" s="3"/>
      <c r="K1312" s="3"/>
      <c r="X1312" s="4"/>
    </row>
    <row r="1313" spans="2:37" x14ac:dyDescent="0.25">
      <c r="B1313" s="1"/>
      <c r="E1313" s="2"/>
      <c r="H1313" s="3"/>
      <c r="I1313" s="3"/>
      <c r="K1313" s="3"/>
      <c r="L1313" s="3"/>
      <c r="X1313" s="4"/>
      <c r="Z1313" s="3"/>
      <c r="AE1313" s="3"/>
      <c r="AK1313" s="5"/>
    </row>
    <row r="1314" spans="2:37" x14ac:dyDescent="0.25">
      <c r="B1314" s="1"/>
      <c r="E1314" s="2"/>
      <c r="F1314" s="3"/>
      <c r="G1314" s="3"/>
      <c r="H1314" s="3"/>
      <c r="I1314" s="3"/>
      <c r="K1314" s="3"/>
      <c r="L1314" s="3"/>
      <c r="X1314" s="4"/>
      <c r="Z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E1317" s="2"/>
      <c r="G1317" s="3"/>
      <c r="H1317" s="3"/>
      <c r="I1317" s="3"/>
      <c r="K1317" s="3"/>
      <c r="L1317" s="3"/>
      <c r="X1317" s="4"/>
      <c r="Z1317" s="3"/>
      <c r="AE1317" s="3"/>
      <c r="AK1317" s="5"/>
    </row>
    <row r="1318" spans="2:37" x14ac:dyDescent="0.25">
      <c r="B1318" s="1"/>
      <c r="E1318" s="2"/>
      <c r="F1318" s="3"/>
      <c r="G1318" s="3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D1319" s="3"/>
      <c r="AE1319" s="3"/>
      <c r="AK1319" s="5"/>
    </row>
    <row r="1320" spans="2:37" x14ac:dyDescent="0.25">
      <c r="B1320" s="1"/>
      <c r="E1320" s="2"/>
      <c r="F1320" s="3"/>
      <c r="G1320" s="3"/>
      <c r="H1320" s="3"/>
      <c r="I1320" s="3"/>
      <c r="K1320" s="3"/>
      <c r="L1320" s="3"/>
      <c r="X1320" s="4"/>
      <c r="AE1320" s="3"/>
      <c r="AK1320" s="5"/>
    </row>
    <row r="1321" spans="2:37" x14ac:dyDescent="0.25">
      <c r="B1321" s="3"/>
      <c r="E1321" s="2"/>
      <c r="G1321" s="3"/>
      <c r="H1321" s="3"/>
      <c r="I1321" s="3"/>
      <c r="K1321" s="3"/>
      <c r="L1321" s="3"/>
      <c r="X1321" s="4"/>
      <c r="AE1321" s="3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3"/>
      <c r="E1323" s="2"/>
      <c r="G1323" s="3"/>
      <c r="H1323" s="3"/>
      <c r="I1323" s="3"/>
      <c r="K1323" s="3"/>
      <c r="L1323" s="3"/>
      <c r="X1323" s="4"/>
    </row>
    <row r="1324" spans="2:37" x14ac:dyDescent="0.25">
      <c r="B1324" s="1"/>
      <c r="E1324" s="2"/>
      <c r="G1324" s="3"/>
      <c r="H1324" s="3"/>
      <c r="I1324" s="3"/>
      <c r="K1324" s="3"/>
      <c r="L1324" s="3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AD1326" s="3"/>
      <c r="AE1326" s="3"/>
      <c r="AK1326" s="5"/>
    </row>
    <row r="1327" spans="2:37" x14ac:dyDescent="0.25">
      <c r="B1327" s="1"/>
      <c r="E1327" s="2"/>
      <c r="H1327" s="3"/>
      <c r="I1327" s="3"/>
      <c r="K1327" s="3"/>
      <c r="L1327" s="3"/>
      <c r="X1327" s="4"/>
      <c r="AD1327" s="3"/>
      <c r="AE1327" s="3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X1330" s="4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B1331" s="3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Z1333" s="3"/>
      <c r="AD1333" s="3"/>
      <c r="AE1333" s="3"/>
      <c r="AK1333" s="5"/>
    </row>
    <row r="1334" spans="2:37" x14ac:dyDescent="0.25">
      <c r="B1334" s="1"/>
      <c r="E1334" s="2"/>
      <c r="H1334" s="3"/>
      <c r="I1334" s="3"/>
      <c r="K1334" s="3"/>
      <c r="L1334" s="3"/>
      <c r="X1334" s="4"/>
      <c r="AB1334" s="3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3"/>
      <c r="E1338" s="2"/>
      <c r="F1338" s="3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B1339" s="3"/>
      <c r="AD1339" s="3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X1340" s="4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A1341" s="3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Z1343" s="3"/>
      <c r="AB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Z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E1345" s="3"/>
      <c r="AK1345" s="5"/>
    </row>
    <row r="1346" spans="2:37" x14ac:dyDescent="0.25">
      <c r="B1346" s="1"/>
      <c r="D1346" s="3"/>
      <c r="E1346" s="2"/>
      <c r="G1346" s="3"/>
      <c r="H1346" s="3"/>
      <c r="I1346" s="3"/>
      <c r="K1346" s="3"/>
      <c r="X1346" s="4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3"/>
      <c r="E1348" s="2"/>
      <c r="G1348" s="3"/>
      <c r="H1348" s="3"/>
      <c r="I1348" s="3"/>
      <c r="K1348" s="3"/>
      <c r="L1348" s="3"/>
      <c r="X1348" s="4"/>
      <c r="Z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1"/>
      <c r="E1350" s="2"/>
      <c r="G1350" s="3"/>
      <c r="X1350" s="4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</row>
    <row r="1353" spans="2:37" x14ac:dyDescent="0.25">
      <c r="B1353" s="1"/>
      <c r="D1353" s="3"/>
      <c r="E1353" s="2"/>
      <c r="G1353" s="3"/>
      <c r="H1353" s="3"/>
      <c r="I1353" s="3"/>
      <c r="K1353" s="3"/>
      <c r="L1353" s="3"/>
      <c r="X1353" s="4"/>
    </row>
    <row r="1354" spans="2:37" x14ac:dyDescent="0.25">
      <c r="B1354" s="1"/>
      <c r="E1354" s="2"/>
      <c r="G1354" s="3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X1356" s="4"/>
      <c r="AK1356" s="5"/>
    </row>
    <row r="1357" spans="2:37" x14ac:dyDescent="0.25">
      <c r="B1357" s="1"/>
      <c r="E1357" s="2"/>
      <c r="H1357" s="3"/>
      <c r="I1357" s="3"/>
      <c r="K1357" s="3"/>
      <c r="X1357" s="4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AB1358" s="3"/>
      <c r="AE1358" s="3"/>
      <c r="AK1358" s="5"/>
    </row>
    <row r="1359" spans="2:37" x14ac:dyDescent="0.25">
      <c r="B1359" s="1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</row>
    <row r="1361" spans="2:37" x14ac:dyDescent="0.25">
      <c r="B1361" s="3"/>
      <c r="G1361" s="3"/>
    </row>
    <row r="1362" spans="2:37" x14ac:dyDescent="0.25">
      <c r="B1362" s="1"/>
      <c r="E1362" s="2"/>
      <c r="H1362" s="3"/>
      <c r="I1362" s="3"/>
      <c r="K1362" s="3"/>
      <c r="L1362" s="3"/>
      <c r="X1362" s="4"/>
      <c r="AK1362" s="5"/>
    </row>
    <row r="1363" spans="2:37" x14ac:dyDescent="0.25">
      <c r="B1363" s="1"/>
      <c r="E1363" s="2"/>
      <c r="G1363" s="3"/>
      <c r="H1363" s="3"/>
      <c r="I1363" s="3"/>
      <c r="K1363" s="3"/>
      <c r="X1363" s="4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G1365" s="3"/>
      <c r="H1365" s="3"/>
      <c r="I1365" s="3"/>
      <c r="K1365" s="3"/>
      <c r="L1365" s="3"/>
      <c r="X1365" s="4"/>
      <c r="AB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  <c r="AD1366" s="3"/>
      <c r="AE1366" s="3"/>
      <c r="AK1366" s="5"/>
    </row>
    <row r="1367" spans="2:37" x14ac:dyDescent="0.25">
      <c r="B1367" s="1"/>
      <c r="E1367" s="2"/>
      <c r="G1367" s="3"/>
      <c r="X1367" s="4"/>
    </row>
    <row r="1368" spans="2:37" x14ac:dyDescent="0.25">
      <c r="B1368" s="1"/>
      <c r="E1368" s="2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G1369" s="3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G1371" s="3"/>
      <c r="H1371" s="3"/>
      <c r="I1371" s="3"/>
      <c r="K1371" s="3"/>
      <c r="L1371" s="3"/>
      <c r="X1371" s="4"/>
      <c r="AB1371" s="3"/>
      <c r="AE1371" s="3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E1372" s="3"/>
      <c r="AK1372" s="5"/>
    </row>
    <row r="1373" spans="2:37" x14ac:dyDescent="0.25">
      <c r="B1373" s="1"/>
      <c r="E1373" s="2"/>
      <c r="H1373" s="3"/>
      <c r="I1373" s="3"/>
      <c r="K1373" s="3"/>
      <c r="X1373" s="4"/>
      <c r="AK1373" s="5"/>
    </row>
    <row r="1374" spans="2:37" x14ac:dyDescent="0.25">
      <c r="B1374" s="1"/>
      <c r="E1374" s="2"/>
      <c r="F1374" s="3"/>
      <c r="G1374" s="3"/>
      <c r="H1374" s="3"/>
      <c r="I1374" s="3"/>
      <c r="K1374" s="3"/>
      <c r="X1374" s="4"/>
      <c r="AK1374" s="5"/>
    </row>
    <row r="1375" spans="2:37" x14ac:dyDescent="0.25">
      <c r="B1375" s="1"/>
      <c r="E1375" s="2"/>
      <c r="H1375" s="3"/>
      <c r="I1375" s="3"/>
      <c r="K1375" s="3"/>
      <c r="X1375" s="4"/>
      <c r="AK1375" s="5"/>
    </row>
    <row r="1376" spans="2:37" x14ac:dyDescent="0.25">
      <c r="B1376" s="1"/>
      <c r="E1376" s="2"/>
      <c r="H1376" s="3"/>
      <c r="I1376" s="3"/>
      <c r="K1376" s="3"/>
      <c r="L1376" s="3"/>
      <c r="X1376" s="4"/>
      <c r="Z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AB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</row>
    <row r="1380" spans="2:37" x14ac:dyDescent="0.25">
      <c r="B1380" s="3"/>
      <c r="E1380" s="2"/>
      <c r="G1380" s="3"/>
      <c r="H1380" s="3"/>
      <c r="I1380" s="3"/>
      <c r="K1380" s="3"/>
      <c r="X1380" s="4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A1381" s="3"/>
      <c r="AK1381" s="5"/>
    </row>
    <row r="1382" spans="2:37" x14ac:dyDescent="0.25">
      <c r="B1382" s="1"/>
      <c r="E1382" s="2"/>
      <c r="G1382" s="3"/>
      <c r="H1382" s="3"/>
      <c r="I1382" s="3"/>
      <c r="K1382" s="3"/>
      <c r="X1382" s="4"/>
      <c r="AE1382" s="3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K1383" s="5"/>
    </row>
    <row r="1384" spans="2:37" x14ac:dyDescent="0.25">
      <c r="B1384" s="1"/>
      <c r="D1384" s="3"/>
      <c r="E1384" s="2"/>
      <c r="G1384" s="3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G1386" s="3"/>
      <c r="H1386" s="3"/>
      <c r="I1386" s="3"/>
      <c r="K1386" s="3"/>
      <c r="L1386" s="3"/>
      <c r="X1386" s="4"/>
    </row>
    <row r="1387" spans="2:37" x14ac:dyDescent="0.25">
      <c r="B1387" s="3"/>
      <c r="C1387" s="3"/>
      <c r="E1387" s="2"/>
      <c r="G1387" s="3"/>
      <c r="H1387" s="3"/>
      <c r="I1387" s="3"/>
      <c r="K1387" s="3"/>
      <c r="X1387" s="4"/>
    </row>
    <row r="1388" spans="2:37" x14ac:dyDescent="0.25">
      <c r="B1388" s="1"/>
      <c r="E1388" s="2"/>
      <c r="G1388" s="3"/>
      <c r="H1388" s="3"/>
      <c r="I1388" s="3"/>
      <c r="K1388" s="3"/>
      <c r="L1388" s="3"/>
      <c r="X1388" s="4"/>
      <c r="AD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  <c r="Z1389" s="3"/>
      <c r="AE1389" s="3"/>
      <c r="AK1389" s="5"/>
    </row>
    <row r="1390" spans="2:37" x14ac:dyDescent="0.25">
      <c r="B1390" s="1"/>
      <c r="E1390" s="2"/>
      <c r="G1390" s="3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F1392" s="3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X1397" s="4"/>
      <c r="AE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AA1402" s="3"/>
      <c r="AD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A1403" s="3"/>
      <c r="AD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D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A1405" s="3"/>
      <c r="AE1405" s="3"/>
      <c r="AK1405" s="5"/>
    </row>
    <row r="1406" spans="2:37" x14ac:dyDescent="0.25">
      <c r="B1406" s="1"/>
      <c r="E1406" s="2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B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B1409" s="3"/>
      <c r="AE1409" s="3"/>
      <c r="AK1409" s="5"/>
    </row>
    <row r="1410" spans="2:37" x14ac:dyDescent="0.25">
      <c r="B1410" s="3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B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B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B1420" s="3"/>
      <c r="AE1420" s="3"/>
      <c r="AK1420" s="5"/>
    </row>
    <row r="1421" spans="2:37" x14ac:dyDescent="0.25">
      <c r="B1421" s="3"/>
      <c r="E1421" s="2"/>
      <c r="G1421" s="3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X1422" s="4"/>
    </row>
    <row r="1423" spans="2:37" x14ac:dyDescent="0.25">
      <c r="B1423" s="1"/>
      <c r="E1423" s="2"/>
      <c r="H1423" s="3"/>
      <c r="I1423" s="3"/>
      <c r="K1423" s="3"/>
      <c r="L1423" s="3"/>
      <c r="X1423" s="4"/>
    </row>
    <row r="1424" spans="2:37" x14ac:dyDescent="0.25">
      <c r="B1424" s="1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</row>
    <row r="1426" spans="2:37" x14ac:dyDescent="0.25">
      <c r="B1426" s="1"/>
      <c r="E1426" s="2"/>
      <c r="G1426" s="3"/>
      <c r="H1426" s="3"/>
      <c r="I1426" s="3"/>
      <c r="K1426" s="3"/>
      <c r="X1426" s="4"/>
    </row>
    <row r="1427" spans="2:37" x14ac:dyDescent="0.25">
      <c r="B1427" s="1"/>
      <c r="E1427" s="2"/>
      <c r="H1427" s="3"/>
      <c r="I1427" s="3"/>
      <c r="K1427" s="3"/>
      <c r="L1427" s="3"/>
      <c r="X1427" s="4"/>
      <c r="AB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AB1428" s="3"/>
      <c r="AE1428" s="3"/>
      <c r="AK1428" s="5"/>
    </row>
    <row r="1429" spans="2:37" x14ac:dyDescent="0.25">
      <c r="B1429" s="3"/>
      <c r="E1429" s="2"/>
      <c r="G1429" s="3"/>
      <c r="H1429" s="3"/>
      <c r="I1429" s="3"/>
      <c r="K1429" s="3"/>
      <c r="L1429" s="3"/>
      <c r="X1429" s="4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3"/>
      <c r="E1431" s="2"/>
      <c r="G1431" s="3"/>
      <c r="H1431" s="3"/>
      <c r="I1431" s="3"/>
      <c r="K1431" s="3"/>
      <c r="L1431" s="3"/>
      <c r="X1431" s="4"/>
      <c r="AA1431" s="3"/>
      <c r="AD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AB1434" s="3"/>
      <c r="AD1434" s="3"/>
      <c r="AE1434" s="3"/>
      <c r="AK1434" s="5"/>
    </row>
    <row r="1435" spans="2:37" x14ac:dyDescent="0.25">
      <c r="B1435" s="1"/>
      <c r="D1435" s="3"/>
      <c r="E1435" s="2"/>
      <c r="H1435" s="3"/>
      <c r="I1435" s="3"/>
      <c r="K1435" s="3"/>
      <c r="L1435" s="3"/>
      <c r="X1435" s="4"/>
      <c r="AB1435" s="3"/>
      <c r="AD1435" s="3"/>
      <c r="AE1435" s="3"/>
      <c r="AK1435" s="5"/>
    </row>
    <row r="1436" spans="2:37" x14ac:dyDescent="0.25">
      <c r="B1436" s="1"/>
      <c r="E1436" s="2"/>
      <c r="F1436" s="3"/>
      <c r="G1436" s="3"/>
      <c r="H1436" s="3"/>
      <c r="I1436" s="3"/>
      <c r="K1436" s="3"/>
      <c r="L1436" s="3"/>
      <c r="X1436" s="4"/>
      <c r="AB1436" s="3"/>
      <c r="AD1436" s="3"/>
      <c r="AE1436" s="3"/>
      <c r="AK1436" s="5"/>
    </row>
    <row r="1437" spans="2:37" x14ac:dyDescent="0.25">
      <c r="B1437" s="1"/>
      <c r="D1437" s="3"/>
      <c r="E1437" s="2"/>
      <c r="G1437" s="3"/>
      <c r="H1437" s="3"/>
      <c r="I1437" s="3"/>
      <c r="K1437" s="3"/>
      <c r="L1437" s="3"/>
      <c r="X1437" s="4"/>
      <c r="Z1437" s="3"/>
      <c r="AA1437" s="3"/>
      <c r="AE1437" s="3"/>
      <c r="AK1437" s="5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D1440" s="3"/>
      <c r="E1440" s="2"/>
      <c r="F1440" s="3"/>
      <c r="H1440" s="3"/>
      <c r="I1440" s="3"/>
      <c r="K1440" s="3"/>
      <c r="L1440" s="3"/>
      <c r="X1440" s="4"/>
      <c r="Z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G1442" s="3"/>
      <c r="H1442" s="3"/>
      <c r="I1442" s="3"/>
      <c r="K1442" s="3"/>
      <c r="L1442" s="3"/>
      <c r="X1442" s="4"/>
      <c r="AA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Z1443" s="3"/>
      <c r="AB1443" s="3"/>
      <c r="AE1443" s="3"/>
      <c r="AK1443" s="5"/>
    </row>
    <row r="1444" spans="2:37" x14ac:dyDescent="0.25">
      <c r="B1444" s="1"/>
      <c r="E1444" s="2"/>
      <c r="G1444" s="3"/>
      <c r="H1444" s="3"/>
      <c r="I1444" s="3"/>
      <c r="K1444" s="3"/>
      <c r="L1444" s="3"/>
      <c r="X1444" s="4"/>
      <c r="Z1444" s="3"/>
      <c r="AB1444" s="3"/>
      <c r="AE1444" s="3"/>
      <c r="AK1444" s="5"/>
    </row>
    <row r="1445" spans="2:37" x14ac:dyDescent="0.25">
      <c r="B1445" s="1"/>
      <c r="D1445" s="3"/>
      <c r="E1445" s="2"/>
      <c r="G1445" s="3"/>
      <c r="H1445" s="3"/>
      <c r="I1445" s="3"/>
      <c r="K1445" s="3"/>
      <c r="L1445" s="3"/>
      <c r="X1445" s="4"/>
      <c r="Z1445" s="3"/>
      <c r="AD1445" s="3"/>
      <c r="AE1445" s="3"/>
      <c r="AK1445" s="5"/>
    </row>
    <row r="1446" spans="2:37" x14ac:dyDescent="0.25">
      <c r="B1446" s="1"/>
      <c r="E1446" s="2"/>
      <c r="G1446" s="3"/>
      <c r="H1446" s="3"/>
      <c r="I1446" s="3"/>
      <c r="K1446" s="3"/>
      <c r="X1446" s="4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</row>
    <row r="1448" spans="2:37" x14ac:dyDescent="0.25">
      <c r="B1448" s="1"/>
      <c r="E1448" s="2"/>
      <c r="G1448" s="3"/>
      <c r="H1448" s="3"/>
      <c r="I1448" s="3"/>
      <c r="K1448" s="3"/>
      <c r="L1448" s="3"/>
      <c r="X1448" s="4"/>
      <c r="Z1448" s="3"/>
      <c r="AE1448" s="3"/>
      <c r="AK1448" s="5"/>
    </row>
    <row r="1449" spans="2:37" x14ac:dyDescent="0.25">
      <c r="B1449" s="1"/>
      <c r="E1449" s="2"/>
      <c r="F1449" s="3"/>
      <c r="G1449" s="3"/>
      <c r="H1449" s="3"/>
      <c r="I1449" s="3"/>
      <c r="K1449" s="3"/>
      <c r="L1449" s="3"/>
      <c r="X1449" s="4"/>
      <c r="AB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</row>
    <row r="1451" spans="2:37" x14ac:dyDescent="0.25">
      <c r="B1451" s="3"/>
      <c r="E1451" s="2"/>
      <c r="F1451" s="3"/>
      <c r="G1451" s="3"/>
      <c r="H1451" s="3"/>
      <c r="I1451" s="3"/>
      <c r="K1451" s="3"/>
      <c r="L1451" s="3"/>
      <c r="X1451" s="4"/>
      <c r="AE1451" s="3"/>
      <c r="AK1451" s="5"/>
    </row>
    <row r="1452" spans="2:37" x14ac:dyDescent="0.25">
      <c r="B1452" s="1"/>
      <c r="D1452" s="3"/>
      <c r="E1452" s="2"/>
      <c r="G1452" s="3"/>
      <c r="H1452" s="3"/>
      <c r="I1452" s="3"/>
      <c r="K1452" s="3"/>
      <c r="L1452" s="3"/>
      <c r="X1452" s="4"/>
      <c r="AD1452" s="3"/>
      <c r="AE1452" s="3"/>
      <c r="AK1452" s="5"/>
    </row>
    <row r="1453" spans="2:37" x14ac:dyDescent="0.25">
      <c r="B1453" s="3"/>
      <c r="E1453" s="2"/>
      <c r="G1453" s="3"/>
      <c r="H1453" s="3"/>
      <c r="I1453" s="3"/>
      <c r="K1453" s="3"/>
      <c r="L1453" s="3"/>
      <c r="X1453" s="4"/>
      <c r="Z1453" s="3"/>
      <c r="AB1453" s="3"/>
      <c r="AD1453" s="3"/>
      <c r="AE1453" s="3"/>
      <c r="AK1453" s="5"/>
    </row>
    <row r="1454" spans="2:37" x14ac:dyDescent="0.25">
      <c r="B1454" s="1"/>
      <c r="E1454" s="2"/>
      <c r="H1454" s="3"/>
      <c r="I1454" s="3"/>
      <c r="K1454" s="3"/>
      <c r="L1454" s="3"/>
      <c r="X1454" s="4"/>
      <c r="AD1454" s="3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  <c r="AD1455" s="3"/>
      <c r="AE1455" s="3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  <c r="AD1456" s="3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D1458" s="3"/>
      <c r="AE1458" s="3"/>
      <c r="AK1458" s="5"/>
    </row>
    <row r="1459" spans="2:37" x14ac:dyDescent="0.25">
      <c r="B1459" s="1"/>
      <c r="E1459" s="2"/>
      <c r="G1459" s="3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E1460" s="2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Z1464" s="3"/>
      <c r="AD1464" s="3"/>
      <c r="AE1464" s="3"/>
      <c r="AK1464" s="5"/>
    </row>
    <row r="1465" spans="2:37" x14ac:dyDescent="0.25">
      <c r="B1465" s="1"/>
      <c r="D1465" s="3"/>
      <c r="E1465" s="2"/>
      <c r="G1465" s="3"/>
      <c r="H1465" s="3"/>
      <c r="I1465" s="3"/>
      <c r="K1465" s="3"/>
      <c r="L1465" s="3"/>
      <c r="X1465" s="4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</row>
    <row r="1470" spans="2:37" x14ac:dyDescent="0.25">
      <c r="B1470" s="1"/>
      <c r="D1470" s="3"/>
      <c r="E1470" s="2"/>
      <c r="G1470" s="3"/>
      <c r="X1470" s="4"/>
      <c r="AE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K1471" s="5"/>
    </row>
    <row r="1472" spans="2:37" x14ac:dyDescent="0.25">
      <c r="B1472" s="3"/>
      <c r="D1472" s="3"/>
      <c r="E1472" s="2"/>
      <c r="G1472" s="3"/>
      <c r="H1472" s="3"/>
      <c r="I1472" s="3"/>
      <c r="K1472" s="3"/>
      <c r="X1472" s="4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3"/>
      <c r="E1474" s="2"/>
      <c r="G1474" s="3"/>
      <c r="H1474" s="3"/>
      <c r="I1474" s="3"/>
      <c r="K1474" s="3"/>
      <c r="L1474" s="3"/>
      <c r="X1474" s="4"/>
      <c r="Z1474" s="3"/>
      <c r="AE1474" s="3"/>
      <c r="AK1474" s="5"/>
    </row>
    <row r="1475" spans="2:37" x14ac:dyDescent="0.25">
      <c r="B1475" s="1"/>
      <c r="E1475" s="2"/>
      <c r="H1475" s="3"/>
      <c r="I1475" s="3"/>
      <c r="K1475" s="3"/>
      <c r="L1475" s="3"/>
      <c r="X1475" s="4"/>
      <c r="Z1475" s="3"/>
      <c r="AE1475" s="3"/>
      <c r="AK1475" s="5"/>
    </row>
    <row r="1476" spans="2:37" x14ac:dyDescent="0.25">
      <c r="B1476" s="1"/>
      <c r="D1476" s="3"/>
      <c r="E1476" s="2"/>
      <c r="G1476" s="3"/>
      <c r="H1476" s="3"/>
      <c r="I1476" s="3"/>
      <c r="K1476" s="3"/>
      <c r="L1476" s="3"/>
      <c r="X1476" s="4"/>
      <c r="AB1476" s="3"/>
      <c r="AE1476" s="3"/>
      <c r="AK1476" s="5"/>
    </row>
    <row r="1477" spans="2:37" x14ac:dyDescent="0.25">
      <c r="B1477" s="1"/>
      <c r="D1477" s="3"/>
      <c r="E1477" s="2"/>
      <c r="G1477" s="3"/>
      <c r="H1477" s="3"/>
      <c r="I1477" s="3"/>
      <c r="K1477" s="3"/>
      <c r="L1477" s="3"/>
      <c r="X1477" s="4"/>
      <c r="AK1477" s="5"/>
    </row>
    <row r="1478" spans="2:37" x14ac:dyDescent="0.25">
      <c r="B1478" s="1"/>
      <c r="D1478" s="3"/>
      <c r="E1478" s="2"/>
      <c r="G1478" s="3"/>
      <c r="H1478" s="3"/>
      <c r="I1478" s="3"/>
      <c r="K1478" s="3"/>
      <c r="X1478" s="4"/>
      <c r="AE1478" s="3"/>
      <c r="AK1478" s="5"/>
    </row>
    <row r="1479" spans="2:37" x14ac:dyDescent="0.25">
      <c r="B1479" s="1"/>
      <c r="E1479" s="2"/>
      <c r="H1479" s="3"/>
      <c r="I1479" s="3"/>
      <c r="K1479" s="3"/>
      <c r="L1479" s="3"/>
      <c r="X1479" s="4"/>
      <c r="AE1479" s="3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L1480" s="3"/>
      <c r="X1480" s="4"/>
      <c r="Z1480" s="3"/>
      <c r="AE1480" s="3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L1481" s="3"/>
      <c r="X1481" s="4"/>
      <c r="Z1481" s="3"/>
      <c r="AE1481" s="3"/>
      <c r="AK1481" s="5"/>
    </row>
    <row r="1482" spans="2:37" x14ac:dyDescent="0.25">
      <c r="B1482" s="1"/>
      <c r="E1482" s="2"/>
      <c r="G1482" s="3"/>
      <c r="H1482" s="3"/>
      <c r="I1482" s="3"/>
      <c r="K1482" s="3"/>
      <c r="L1482" s="3"/>
      <c r="X1482" s="4"/>
      <c r="Z1482" s="3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E1484" s="2"/>
      <c r="G1484" s="3"/>
      <c r="H1484" s="3"/>
      <c r="I1484" s="3"/>
      <c r="K1484" s="3"/>
      <c r="L1484" s="3"/>
      <c r="X1484" s="4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E1485" s="3"/>
      <c r="AK1485" s="5"/>
    </row>
    <row r="1486" spans="2:37" x14ac:dyDescent="0.25">
      <c r="B1486" s="1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  <c r="Z1487" s="3"/>
      <c r="AB1487" s="3"/>
      <c r="AE1487" s="3"/>
      <c r="AK1487" s="5"/>
    </row>
    <row r="1488" spans="2:37" x14ac:dyDescent="0.25">
      <c r="B1488" s="1"/>
      <c r="E1488" s="2"/>
      <c r="G1488" s="3"/>
      <c r="H1488" s="3"/>
      <c r="I1488" s="3"/>
      <c r="K1488" s="3"/>
      <c r="L1488" s="3"/>
      <c r="X1488" s="4"/>
      <c r="Z1488" s="3"/>
      <c r="AB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AK1489" s="5"/>
    </row>
    <row r="1490" spans="2:37" x14ac:dyDescent="0.25">
      <c r="B1490" s="1"/>
      <c r="E1490" s="2"/>
      <c r="G1490" s="3"/>
      <c r="H1490" s="3"/>
      <c r="I1490" s="3"/>
      <c r="K1490" s="3"/>
      <c r="X1490" s="4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E1494" s="2"/>
      <c r="F1494" s="3"/>
      <c r="G1494" s="3"/>
      <c r="H1494" s="3"/>
      <c r="I1494" s="3"/>
      <c r="K1494" s="3"/>
      <c r="L1494" s="3"/>
      <c r="X1494" s="4"/>
      <c r="AB1494" s="3"/>
      <c r="AE1494" s="3"/>
      <c r="AK1494" s="5"/>
    </row>
    <row r="1495" spans="2:37" x14ac:dyDescent="0.25">
      <c r="B1495" s="1"/>
      <c r="E1495" s="2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X1496" s="4"/>
      <c r="AK1496" s="5"/>
    </row>
    <row r="1497" spans="2:37" x14ac:dyDescent="0.25">
      <c r="B1497" s="1"/>
      <c r="E1497" s="2"/>
      <c r="H1497" s="3"/>
      <c r="I1497" s="3"/>
      <c r="K1497" s="3"/>
      <c r="L1497" s="3"/>
      <c r="X1497" s="4"/>
      <c r="AK1497" s="5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  <c r="AB1498" s="3"/>
      <c r="AE1498" s="3"/>
      <c r="AK1498" s="5"/>
    </row>
    <row r="1499" spans="2:37" x14ac:dyDescent="0.25">
      <c r="B1499" s="1"/>
      <c r="E1499" s="2"/>
      <c r="H1499" s="3"/>
      <c r="I1499" s="3"/>
      <c r="K1499" s="3"/>
      <c r="L1499" s="3"/>
      <c r="X1499" s="4"/>
      <c r="AB1499" s="3"/>
      <c r="AE1499" s="3"/>
      <c r="AK1499" s="5"/>
    </row>
    <row r="1500" spans="2:37" x14ac:dyDescent="0.25">
      <c r="B1500" s="1"/>
      <c r="E1500" s="2"/>
      <c r="F1500" s="3"/>
      <c r="G1500" s="3"/>
      <c r="H1500" s="3"/>
      <c r="I1500" s="3"/>
      <c r="K1500" s="3"/>
      <c r="X1500" s="4"/>
      <c r="AK1500" s="5"/>
    </row>
    <row r="1501" spans="2:37" x14ac:dyDescent="0.25">
      <c r="B1501" s="1"/>
      <c r="E1501" s="2"/>
      <c r="H1501" s="3"/>
      <c r="I1501" s="3"/>
      <c r="K1501" s="3"/>
      <c r="L1501" s="3"/>
      <c r="X1501" s="4"/>
    </row>
    <row r="1502" spans="2:37" x14ac:dyDescent="0.25">
      <c r="B1502" s="3"/>
      <c r="E1502" s="2"/>
      <c r="F1502" s="3"/>
      <c r="G1502" s="3"/>
      <c r="X1502" s="4"/>
    </row>
    <row r="1503" spans="2:37" x14ac:dyDescent="0.25">
      <c r="B1503" s="1"/>
      <c r="E1503" s="2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3"/>
      <c r="E1504" s="2"/>
      <c r="G1504" s="3"/>
      <c r="H1504" s="3"/>
      <c r="I1504" s="3"/>
      <c r="K1504" s="3"/>
      <c r="L1504" s="3"/>
      <c r="X1504" s="4"/>
    </row>
    <row r="1505" spans="2:37" x14ac:dyDescent="0.25">
      <c r="B1505" s="1"/>
      <c r="D1505" s="3"/>
      <c r="E1505" s="2"/>
      <c r="G1505" s="3"/>
      <c r="H1505" s="3"/>
      <c r="I1505" s="3"/>
      <c r="K1505" s="3"/>
      <c r="L1505" s="3"/>
      <c r="X1505" s="4"/>
    </row>
    <row r="1506" spans="2:37" x14ac:dyDescent="0.25">
      <c r="B1506" s="3"/>
      <c r="E1506" s="2"/>
      <c r="G1506" s="3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1"/>
      <c r="D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Z1508" s="3"/>
      <c r="AE1508" s="3"/>
      <c r="AK1508" s="5"/>
    </row>
    <row r="1509" spans="2:37" x14ac:dyDescent="0.25">
      <c r="B1509" s="1"/>
      <c r="E1509" s="2"/>
      <c r="G1509" s="3"/>
      <c r="H1509" s="3"/>
      <c r="I1509" s="3"/>
      <c r="K1509" s="3"/>
      <c r="L1509" s="3"/>
      <c r="X1509" s="4"/>
      <c r="AA1509" s="3"/>
      <c r="AE1509" s="3"/>
      <c r="AK1509" s="5"/>
    </row>
    <row r="1510" spans="2:37" x14ac:dyDescent="0.25">
      <c r="B1510" s="1"/>
      <c r="E1510" s="2"/>
      <c r="F1510" s="3"/>
      <c r="G1510" s="3"/>
      <c r="H1510" s="3"/>
      <c r="I1510" s="3"/>
      <c r="K1510" s="3"/>
      <c r="X1510" s="4"/>
    </row>
    <row r="1511" spans="2:37" x14ac:dyDescent="0.25">
      <c r="B1511" s="1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</row>
    <row r="1513" spans="2:37" x14ac:dyDescent="0.25">
      <c r="B1513" s="1"/>
      <c r="D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  <c r="AA1514" s="3"/>
      <c r="AE1514" s="3"/>
      <c r="AK1514" s="5"/>
    </row>
    <row r="1515" spans="2:37" x14ac:dyDescent="0.25">
      <c r="B1515" s="1"/>
      <c r="D1515" s="3"/>
      <c r="E1515" s="2"/>
      <c r="G1515" s="3"/>
      <c r="H1515" s="3"/>
      <c r="I1515" s="3"/>
      <c r="K1515" s="3"/>
      <c r="L1515" s="3"/>
      <c r="X1515" s="4"/>
      <c r="AE1515" s="3"/>
      <c r="AK1515" s="5"/>
    </row>
    <row r="1516" spans="2:37" x14ac:dyDescent="0.25">
      <c r="B1516" s="1"/>
      <c r="E1516" s="2"/>
      <c r="G1516" s="3"/>
      <c r="H1516" s="3"/>
      <c r="I1516" s="3"/>
      <c r="K1516" s="3"/>
      <c r="L1516" s="3"/>
      <c r="X1516" s="4"/>
      <c r="Z1516" s="3"/>
      <c r="AB1516" s="3"/>
      <c r="AE1516" s="3"/>
      <c r="AK1516" s="5"/>
    </row>
    <row r="1517" spans="2:37" x14ac:dyDescent="0.25">
      <c r="B1517" s="1"/>
      <c r="E1517" s="2"/>
      <c r="H1517" s="3"/>
      <c r="I1517" s="3"/>
      <c r="K1517" s="3"/>
      <c r="L1517" s="3"/>
      <c r="X1517" s="4"/>
      <c r="Z1517" s="3"/>
      <c r="AA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E1519" s="2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A1520" s="3"/>
      <c r="AE1520" s="3"/>
      <c r="AK1520" s="5"/>
    </row>
    <row r="1521" spans="2:37" x14ac:dyDescent="0.25">
      <c r="B1521" s="1"/>
      <c r="E1521" s="2"/>
      <c r="H1521" s="3"/>
      <c r="I1521" s="3"/>
      <c r="K1521" s="3"/>
      <c r="X1521" s="4"/>
      <c r="AK1521" s="5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Z1522" s="3"/>
      <c r="AA1522" s="3"/>
      <c r="AB1522" s="3"/>
      <c r="AE1522" s="3"/>
      <c r="AK1522" s="5"/>
    </row>
    <row r="1523" spans="2:37" x14ac:dyDescent="0.25">
      <c r="B1523" s="1"/>
      <c r="E1523" s="2"/>
      <c r="H1523" s="3"/>
      <c r="I1523" s="3"/>
      <c r="K1523" s="3"/>
      <c r="L1523" s="3"/>
      <c r="X1523" s="4"/>
      <c r="AD1523" s="3"/>
      <c r="AE1523" s="3"/>
      <c r="AK1523" s="5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  <c r="AB1524" s="3"/>
      <c r="AE1524" s="3"/>
      <c r="AK1524" s="5"/>
    </row>
    <row r="1525" spans="2:37" x14ac:dyDescent="0.25">
      <c r="B1525" s="1"/>
      <c r="E1525" s="2"/>
      <c r="H1525" s="3"/>
      <c r="I1525" s="3"/>
      <c r="K1525" s="3"/>
      <c r="L1525" s="3"/>
      <c r="X1525" s="4"/>
      <c r="Z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D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E1529" s="3"/>
      <c r="AK1529" s="5"/>
    </row>
    <row r="1530" spans="2:37" x14ac:dyDescent="0.25">
      <c r="B1530" s="1"/>
      <c r="D1530" s="3"/>
      <c r="E1530" s="2"/>
      <c r="G1530" s="3"/>
      <c r="H1530" s="3"/>
      <c r="I1530" s="3"/>
      <c r="K1530" s="3"/>
      <c r="L1530" s="3"/>
      <c r="X1530" s="4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D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Z1532" s="3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AK1533" s="5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AD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B1537" s="3"/>
      <c r="AE1537" s="3"/>
      <c r="AK1537" s="5"/>
    </row>
    <row r="1538" spans="2:37" x14ac:dyDescent="0.25">
      <c r="B1538" s="1"/>
      <c r="D1538" s="3"/>
      <c r="E1538" s="2"/>
      <c r="G1538" s="3"/>
      <c r="H1538" s="3"/>
      <c r="I1538" s="3"/>
      <c r="K1538" s="3"/>
      <c r="L1538" s="3"/>
      <c r="X1538" s="4"/>
      <c r="Z1538" s="3"/>
      <c r="AE1538" s="3"/>
    </row>
    <row r="1539" spans="2:37" x14ac:dyDescent="0.25">
      <c r="B1539" s="1"/>
      <c r="E1539" s="2"/>
      <c r="G1539" s="3"/>
      <c r="H1539" s="3"/>
      <c r="I1539" s="3"/>
      <c r="K1539" s="3"/>
      <c r="X1539" s="4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AB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B1542" s="3"/>
      <c r="AE1542" s="3"/>
      <c r="AK1542" s="5"/>
    </row>
    <row r="1543" spans="2:37" x14ac:dyDescent="0.25">
      <c r="B1543" s="1"/>
      <c r="E1543" s="2"/>
      <c r="F1543" s="3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C1545" s="3"/>
      <c r="E1545" s="2"/>
      <c r="G1545" s="3"/>
      <c r="H1545" s="3"/>
      <c r="I1545" s="3"/>
      <c r="K1545" s="3"/>
      <c r="L1545" s="3"/>
      <c r="X1545" s="4"/>
      <c r="AB1545" s="3"/>
      <c r="AE1545" s="3"/>
      <c r="AK1545" s="5"/>
    </row>
    <row r="1546" spans="2:37" x14ac:dyDescent="0.25">
      <c r="B1546" s="1"/>
      <c r="C1546" s="3"/>
      <c r="E1546" s="2"/>
      <c r="G1546" s="3"/>
      <c r="H1546" s="3"/>
      <c r="I1546" s="3"/>
      <c r="K1546" s="3"/>
      <c r="L1546" s="3"/>
      <c r="X1546" s="4"/>
      <c r="Z1546" s="3"/>
      <c r="AA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A1547" s="3"/>
      <c r="AE1547" s="3"/>
      <c r="AK1547" s="5"/>
    </row>
    <row r="1548" spans="2:37" x14ac:dyDescent="0.25">
      <c r="B1548" s="1"/>
      <c r="E1548" s="2"/>
      <c r="H1548" s="3"/>
      <c r="I1548" s="3"/>
      <c r="K1548" s="3"/>
      <c r="L1548" s="3"/>
      <c r="X1548" s="4"/>
      <c r="AB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G1551" s="3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Z1552" s="3"/>
      <c r="AB1552" s="3"/>
      <c r="AE1552" s="3"/>
      <c r="AK1552" s="5"/>
    </row>
    <row r="1553" spans="2:37" x14ac:dyDescent="0.25">
      <c r="B1553" s="1"/>
      <c r="C1553" s="3"/>
      <c r="E1553" s="2"/>
      <c r="G1553" s="3"/>
      <c r="H1553" s="3"/>
      <c r="I1553" s="3"/>
      <c r="K1553" s="3"/>
      <c r="L1553" s="3"/>
      <c r="X1553" s="4"/>
      <c r="Z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A1554" s="3"/>
      <c r="AB1554" s="3"/>
      <c r="AE1554" s="3"/>
      <c r="AK1554" s="5"/>
    </row>
    <row r="1555" spans="2:37" x14ac:dyDescent="0.25">
      <c r="B1555" s="1"/>
      <c r="E1555" s="2"/>
      <c r="F1555" s="3"/>
      <c r="G1555" s="3"/>
      <c r="H1555" s="3"/>
      <c r="I1555" s="3"/>
      <c r="K1555" s="3"/>
      <c r="L1555" s="3"/>
      <c r="X1555" s="4"/>
      <c r="AA1555" s="3"/>
      <c r="AB1555" s="3"/>
      <c r="AE1555" s="3"/>
      <c r="AK1555" s="5"/>
    </row>
    <row r="1556" spans="2:37" x14ac:dyDescent="0.25">
      <c r="B1556" s="1"/>
      <c r="E1556" s="2"/>
      <c r="F1556" s="3"/>
      <c r="G1556" s="3"/>
      <c r="H1556" s="3"/>
      <c r="I1556" s="3"/>
      <c r="K1556" s="3"/>
      <c r="X1556" s="4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D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3"/>
      <c r="E1559" s="2"/>
      <c r="F1559" s="3"/>
      <c r="G1559" s="3"/>
      <c r="H1559" s="3"/>
      <c r="I1559" s="3"/>
      <c r="K1559" s="3"/>
      <c r="L1559" s="3"/>
      <c r="X1559" s="4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Z1560" s="3"/>
      <c r="AB1560" s="3"/>
      <c r="AD1560" s="3"/>
      <c r="AE1560" s="3"/>
      <c r="AK1560" s="5"/>
    </row>
    <row r="1561" spans="2:37" x14ac:dyDescent="0.25">
      <c r="B1561" s="1"/>
      <c r="E1561" s="2"/>
      <c r="G1561" s="3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K1562" s="5"/>
    </row>
    <row r="1563" spans="2:37" x14ac:dyDescent="0.25">
      <c r="B1563" s="1"/>
      <c r="E1563" s="2"/>
      <c r="F1563" s="3"/>
      <c r="G1563" s="3"/>
      <c r="H1563" s="3"/>
      <c r="I1563" s="3"/>
      <c r="K1563" s="3"/>
      <c r="L1563" s="3"/>
      <c r="X1563" s="4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K1564" s="5"/>
    </row>
    <row r="1565" spans="2:37" x14ac:dyDescent="0.25">
      <c r="B1565" s="1"/>
      <c r="E1565" s="2"/>
      <c r="G1565" s="3"/>
      <c r="H1565" s="3"/>
      <c r="I1565" s="3"/>
      <c r="K1565" s="3"/>
      <c r="X1565" s="4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E1566" s="3"/>
      <c r="AK1566" s="5"/>
    </row>
    <row r="1567" spans="2:37" x14ac:dyDescent="0.25">
      <c r="B1567" s="1"/>
      <c r="E1567" s="2"/>
      <c r="G1567" s="3"/>
      <c r="H1567" s="3"/>
      <c r="I1567" s="3"/>
      <c r="K1567" s="3"/>
      <c r="L1567" s="3"/>
      <c r="X1567" s="4"/>
      <c r="AE1567" s="3"/>
      <c r="AK1567" s="5"/>
    </row>
    <row r="1568" spans="2:37" x14ac:dyDescent="0.25">
      <c r="B1568" s="1"/>
      <c r="E1568" s="2"/>
      <c r="G1568" s="3"/>
      <c r="H1568" s="3"/>
      <c r="I1568" s="3"/>
      <c r="K1568" s="3"/>
      <c r="L1568" s="3"/>
      <c r="X1568" s="4"/>
      <c r="Z1568" s="3"/>
      <c r="AB1568" s="3"/>
      <c r="AE1568" s="3"/>
      <c r="AK1568" s="5"/>
    </row>
    <row r="1569" spans="2:37" x14ac:dyDescent="0.25">
      <c r="B1569" s="1"/>
      <c r="E1569" s="2"/>
      <c r="G1569" s="3"/>
      <c r="H1569" s="3"/>
      <c r="I1569" s="3"/>
      <c r="K1569" s="3"/>
      <c r="L1569" s="3"/>
      <c r="X1569" s="4"/>
      <c r="Z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F1571" s="3"/>
      <c r="G1571" s="3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E1574" s="3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B1576" s="3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AB1577" s="3"/>
      <c r="AE1577" s="3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Z1578" s="3"/>
      <c r="AD1578" s="3"/>
      <c r="AE1578" s="3"/>
      <c r="AK1578" s="5"/>
    </row>
    <row r="1579" spans="2:37" x14ac:dyDescent="0.25">
      <c r="B1579" s="3"/>
      <c r="E1579" s="2"/>
      <c r="G1579" s="3"/>
      <c r="H1579" s="3"/>
      <c r="I1579" s="3"/>
      <c r="K1579" s="3"/>
      <c r="L1579" s="3"/>
      <c r="X1579" s="4"/>
      <c r="Z1579" s="3"/>
      <c r="AD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Z1580" s="3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B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AB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X1583" s="4"/>
      <c r="AK1583" s="5"/>
    </row>
    <row r="1584" spans="2:37" x14ac:dyDescent="0.25">
      <c r="B1584" s="1"/>
      <c r="E1584" s="2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D1585" s="3"/>
      <c r="E1585" s="2"/>
      <c r="H1585" s="3"/>
      <c r="I1585" s="3"/>
      <c r="K1585" s="3"/>
      <c r="L1585" s="3"/>
      <c r="X1585" s="4"/>
      <c r="AB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Z1586" s="3"/>
      <c r="AB1586" s="3"/>
      <c r="AE1586" s="3"/>
      <c r="AK1586" s="5"/>
    </row>
    <row r="1587" spans="2:37" x14ac:dyDescent="0.25">
      <c r="B1587" s="3"/>
      <c r="E1587" s="2"/>
      <c r="G1587" s="3"/>
      <c r="H1587" s="3"/>
      <c r="I1587" s="3"/>
      <c r="K1587" s="3"/>
      <c r="L1587" s="3"/>
      <c r="X1587" s="4"/>
      <c r="Z1587" s="3"/>
      <c r="AE1587" s="3"/>
      <c r="AK1587" s="5"/>
    </row>
    <row r="1588" spans="2:37" x14ac:dyDescent="0.25">
      <c r="B1588" s="1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G1589" s="3"/>
      <c r="H1589" s="3"/>
      <c r="I1589" s="3"/>
      <c r="K1589" s="3"/>
      <c r="L1589" s="3"/>
      <c r="X1589" s="4"/>
      <c r="Z1589" s="3"/>
      <c r="AD1589" s="3"/>
      <c r="AE1589" s="3"/>
      <c r="AK1589" s="5"/>
    </row>
    <row r="1590" spans="2:37" x14ac:dyDescent="0.25">
      <c r="B1590" s="1"/>
      <c r="E1590" s="2"/>
      <c r="H1590" s="3"/>
      <c r="I1590" s="3"/>
      <c r="K1590" s="3"/>
      <c r="L1590" s="3"/>
      <c r="X1590" s="4"/>
      <c r="Z1590" s="3"/>
      <c r="AB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B1591" s="3"/>
      <c r="AK1591" s="5"/>
    </row>
    <row r="1592" spans="2:37" x14ac:dyDescent="0.25">
      <c r="B1592" s="1"/>
      <c r="E1592" s="2"/>
      <c r="H1592" s="3"/>
      <c r="I1592" s="3"/>
      <c r="K1592" s="3"/>
      <c r="L1592" s="3"/>
      <c r="X1592" s="4"/>
      <c r="AB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AD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AK1594" s="5"/>
    </row>
    <row r="1595" spans="2:37" x14ac:dyDescent="0.25">
      <c r="B1595" s="1"/>
      <c r="D1595" s="3"/>
      <c r="E1595" s="2"/>
      <c r="G1595" s="3"/>
      <c r="H1595" s="3"/>
      <c r="I1595" s="3"/>
      <c r="K1595" s="3"/>
      <c r="L1595" s="3"/>
      <c r="X1595" s="4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D1596" s="3"/>
      <c r="AE1596" s="3"/>
      <c r="AK1596" s="5"/>
    </row>
    <row r="1597" spans="2:37" x14ac:dyDescent="0.25">
      <c r="B1597" s="3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Z1598" s="3"/>
      <c r="AB1598" s="3"/>
      <c r="AD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H1600" s="3"/>
      <c r="I1600" s="3"/>
      <c r="K1600" s="3"/>
      <c r="L1600" s="3"/>
      <c r="X1600" s="4"/>
      <c r="Z1600" s="3"/>
      <c r="AE1600" s="3"/>
      <c r="AK1600" s="5"/>
    </row>
    <row r="1601" spans="2:37" x14ac:dyDescent="0.25">
      <c r="B1601" s="1"/>
      <c r="D1601" s="3"/>
      <c r="E1601" s="2"/>
      <c r="G1601" s="3"/>
      <c r="H1601" s="3"/>
      <c r="I1601" s="3"/>
      <c r="K1601" s="3"/>
      <c r="L1601" s="3"/>
      <c r="X1601" s="4"/>
      <c r="Z1601" s="3"/>
      <c r="AB1601" s="3"/>
      <c r="AE1601" s="3"/>
      <c r="AK1601" s="5"/>
    </row>
    <row r="1602" spans="2:37" x14ac:dyDescent="0.25">
      <c r="B1602" s="1"/>
      <c r="E1602" s="2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D1603" s="3"/>
      <c r="E1603" s="2"/>
      <c r="G1603" s="3"/>
      <c r="H1603" s="3"/>
      <c r="I1603" s="3"/>
      <c r="K1603" s="3"/>
      <c r="L1603" s="3"/>
      <c r="X1603" s="4"/>
      <c r="Z1603" s="3"/>
      <c r="AB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</row>
    <row r="1606" spans="2:37" x14ac:dyDescent="0.25">
      <c r="B1606" s="1"/>
      <c r="D1606" s="3"/>
      <c r="E1606" s="2"/>
      <c r="G1606" s="3"/>
      <c r="H1606" s="3"/>
      <c r="I1606" s="3"/>
      <c r="K1606" s="3"/>
      <c r="X1606" s="4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E1608" s="2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AB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E1610" s="3"/>
      <c r="AK1610" s="5"/>
    </row>
    <row r="1611" spans="2:37" x14ac:dyDescent="0.25">
      <c r="B1611" s="1"/>
      <c r="E1611" s="2"/>
      <c r="G1611" s="3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AB1613" s="3"/>
      <c r="AE1613" s="3"/>
      <c r="AK1613" s="5"/>
    </row>
    <row r="1614" spans="2:37" x14ac:dyDescent="0.25">
      <c r="B1614" s="1"/>
      <c r="D1614" s="3"/>
      <c r="E1614" s="2"/>
      <c r="G1614" s="3"/>
      <c r="H1614" s="3"/>
      <c r="I1614" s="3"/>
      <c r="K1614" s="3"/>
      <c r="L1614" s="3"/>
      <c r="X1614" s="4"/>
      <c r="AB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E1616" s="3"/>
      <c r="AK1616" s="5"/>
    </row>
    <row r="1617" spans="2:37" x14ac:dyDescent="0.25">
      <c r="B1617" s="1"/>
      <c r="E1617" s="2"/>
      <c r="F1617" s="3"/>
      <c r="G1617" s="3"/>
      <c r="H1617" s="3"/>
      <c r="I1617" s="3"/>
      <c r="K1617" s="3"/>
      <c r="L1617" s="3"/>
      <c r="X1617" s="4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F1619" s="3"/>
      <c r="H1619" s="3"/>
      <c r="I1619" s="3"/>
      <c r="K1619" s="3"/>
      <c r="L1619" s="3"/>
      <c r="X1619" s="4"/>
      <c r="AB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E1620" s="3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AD1623" s="3"/>
      <c r="AE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D1624" s="3"/>
      <c r="AE1624" s="3"/>
      <c r="AK1624" s="5"/>
    </row>
    <row r="1625" spans="2:37" x14ac:dyDescent="0.25">
      <c r="B1625" s="1"/>
      <c r="D1625" s="3"/>
      <c r="E1625" s="2"/>
      <c r="G1625" s="3"/>
      <c r="H1625" s="3"/>
      <c r="I1625" s="3"/>
      <c r="K1625" s="3"/>
      <c r="L1625" s="3"/>
      <c r="X1625" s="4"/>
      <c r="Z1625" s="3"/>
      <c r="AD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Z1626" s="3"/>
      <c r="AD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AA1629" s="3"/>
      <c r="AE1629" s="3"/>
      <c r="AK1629" s="5"/>
    </row>
    <row r="1630" spans="2:37" x14ac:dyDescent="0.25">
      <c r="B1630" s="1"/>
      <c r="D1630" s="3"/>
      <c r="E1630" s="2"/>
      <c r="G1630" s="3"/>
      <c r="H1630" s="3"/>
      <c r="I1630" s="3"/>
      <c r="K1630" s="3"/>
      <c r="L1630" s="3"/>
      <c r="X1630" s="4"/>
      <c r="Z1630" s="3"/>
      <c r="AA1630" s="3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Z1631" s="3"/>
      <c r="AB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Z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AB1633" s="3"/>
      <c r="AD1633" s="3"/>
      <c r="AE1633" s="3"/>
      <c r="AK1633" s="5"/>
    </row>
    <row r="1634" spans="2:37" x14ac:dyDescent="0.25">
      <c r="B1634" s="1"/>
      <c r="E1634" s="2"/>
      <c r="H1634" s="3"/>
      <c r="I1634" s="3"/>
      <c r="K1634" s="3"/>
      <c r="L1634" s="3"/>
      <c r="X1634" s="4"/>
      <c r="Z1634" s="3"/>
      <c r="AB1634" s="3"/>
      <c r="AE1634" s="3"/>
      <c r="AK1634" s="5"/>
    </row>
    <row r="1635" spans="2:37" x14ac:dyDescent="0.25">
      <c r="B1635" s="1"/>
      <c r="D1635" s="3"/>
      <c r="E1635" s="2"/>
      <c r="H1635" s="3"/>
      <c r="I1635" s="3"/>
      <c r="K1635" s="3"/>
      <c r="L1635" s="3"/>
      <c r="X1635" s="4"/>
      <c r="AK1635" s="5"/>
    </row>
    <row r="1636" spans="2:37" x14ac:dyDescent="0.25">
      <c r="B1636" s="1"/>
      <c r="E1636" s="2"/>
      <c r="G1636" s="3"/>
      <c r="H1636" s="3"/>
      <c r="I1636" s="3"/>
      <c r="K1636" s="3"/>
      <c r="X1636" s="4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B1637" s="3"/>
      <c r="AD1637" s="3"/>
      <c r="AE1637" s="3"/>
      <c r="AK1637" s="5"/>
    </row>
    <row r="1638" spans="2:37" x14ac:dyDescent="0.25">
      <c r="B1638" s="1"/>
      <c r="E1638" s="2"/>
      <c r="H1638" s="3"/>
      <c r="I1638" s="3"/>
      <c r="K1638" s="3"/>
      <c r="L1638" s="3"/>
      <c r="X1638" s="4"/>
      <c r="Z1638" s="3"/>
      <c r="AB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B1639" s="3"/>
      <c r="AD1639" s="3"/>
      <c r="AE1639" s="3"/>
      <c r="AK1639" s="5"/>
    </row>
    <row r="1640" spans="2:37" x14ac:dyDescent="0.25">
      <c r="B1640" s="1"/>
      <c r="D1640" s="3"/>
      <c r="E1640" s="2"/>
      <c r="G1640" s="3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Z1641" s="3"/>
      <c r="AB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B1643" s="3"/>
      <c r="AK1643" s="5"/>
    </row>
    <row r="1644" spans="2:37" x14ac:dyDescent="0.25">
      <c r="B1644" s="1"/>
      <c r="E1644" s="2"/>
      <c r="G1644" s="3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AB1645" s="3"/>
      <c r="AD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AK1646" s="5"/>
    </row>
    <row r="1647" spans="2:37" x14ac:dyDescent="0.25">
      <c r="B1647" s="1"/>
      <c r="E1647" s="2"/>
      <c r="G1647" s="3"/>
      <c r="H1647" s="3"/>
      <c r="I1647" s="3"/>
      <c r="K1647" s="3"/>
      <c r="L1647" s="3"/>
      <c r="X1647" s="4"/>
      <c r="Z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Z1649" s="3"/>
      <c r="AB1649" s="3"/>
      <c r="AD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AB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AB1651" s="3"/>
      <c r="AE1651" s="3"/>
      <c r="AK1651" s="5"/>
    </row>
    <row r="1652" spans="2:37" x14ac:dyDescent="0.25">
      <c r="B1652" s="1"/>
      <c r="E1652" s="2"/>
      <c r="G1652" s="3"/>
      <c r="H1652" s="3"/>
      <c r="I1652" s="3"/>
      <c r="K1652" s="3"/>
      <c r="L1652" s="3"/>
      <c r="X1652" s="4"/>
      <c r="AB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D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D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G1659" s="3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G1660" s="3"/>
      <c r="H1660" s="3"/>
      <c r="I1660" s="3"/>
      <c r="K1660" s="3"/>
      <c r="L1660" s="3"/>
      <c r="X1660" s="4"/>
      <c r="AD1660" s="3"/>
      <c r="AE1660" s="3"/>
      <c r="AK1660" s="5"/>
    </row>
    <row r="1661" spans="2:37" x14ac:dyDescent="0.25">
      <c r="B1661" s="1"/>
      <c r="E1661" s="2"/>
      <c r="F1661" s="3"/>
      <c r="G1661" s="3"/>
      <c r="H1661" s="3"/>
      <c r="I1661" s="3"/>
      <c r="K1661" s="3"/>
      <c r="L1661" s="3"/>
      <c r="X1661" s="4"/>
      <c r="AE1661" s="3"/>
      <c r="AK1661" s="5"/>
    </row>
    <row r="1662" spans="2:37" x14ac:dyDescent="0.25">
      <c r="B1662" s="1"/>
      <c r="E1662" s="2"/>
      <c r="F1662" s="3"/>
      <c r="G1662" s="3"/>
      <c r="H1662" s="3"/>
      <c r="I1662" s="3"/>
      <c r="K1662" s="3"/>
      <c r="L1662" s="3"/>
      <c r="X1662" s="4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AB1663" s="3"/>
      <c r="AD1663" s="3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Z1664" s="3"/>
      <c r="AB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Z1665" s="3"/>
      <c r="AD1665" s="3"/>
      <c r="AE1665" s="3"/>
      <c r="AK1665" s="5"/>
    </row>
    <row r="1666" spans="2:37" x14ac:dyDescent="0.25">
      <c r="B1666" s="1"/>
      <c r="D1666" s="3"/>
      <c r="E1666" s="2"/>
      <c r="H1666" s="3"/>
      <c r="I1666" s="3"/>
      <c r="K1666" s="3"/>
      <c r="L1666" s="3"/>
      <c r="X1666" s="4"/>
      <c r="Z1666" s="3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F1668" s="3"/>
      <c r="G1668" s="3"/>
      <c r="H1668" s="3"/>
      <c r="I1668" s="3"/>
      <c r="K1668" s="3"/>
      <c r="L1668" s="3"/>
      <c r="X1668" s="4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B1669" s="3"/>
      <c r="AD1669" s="3"/>
      <c r="AE1669" s="3"/>
      <c r="AK1669" s="5"/>
    </row>
    <row r="1670" spans="2:37" x14ac:dyDescent="0.25">
      <c r="B1670" s="3"/>
      <c r="E1670" s="2"/>
      <c r="F1670" s="3"/>
      <c r="G1670" s="3"/>
      <c r="H1670" s="3"/>
      <c r="I1670" s="3"/>
      <c r="K1670" s="3"/>
      <c r="L1670" s="3"/>
      <c r="X1670" s="4"/>
      <c r="AB1670" s="3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AE1671" s="3"/>
      <c r="AK1671" s="5"/>
    </row>
    <row r="1672" spans="2:37" x14ac:dyDescent="0.25">
      <c r="B1672" s="1"/>
      <c r="D1672" s="3"/>
      <c r="E1672" s="2"/>
      <c r="G1672" s="3"/>
      <c r="H1672" s="3"/>
      <c r="I1672" s="3"/>
      <c r="K1672" s="3"/>
      <c r="L1672" s="3"/>
      <c r="X1672" s="4"/>
      <c r="AA1672" s="3"/>
      <c r="AD1672" s="3"/>
      <c r="AE1672" s="3"/>
      <c r="AK1672" s="5"/>
    </row>
    <row r="1673" spans="2:37" x14ac:dyDescent="0.25">
      <c r="B1673" s="1"/>
      <c r="E1673" s="2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E1675" s="2"/>
      <c r="H1675" s="3"/>
      <c r="I1675" s="3"/>
      <c r="K1675" s="3"/>
      <c r="L1675" s="3"/>
      <c r="X1675" s="4"/>
      <c r="AD1675" s="3"/>
      <c r="AE1675" s="3"/>
      <c r="AK1675" s="5"/>
    </row>
    <row r="1676" spans="2:37" x14ac:dyDescent="0.25">
      <c r="B1676" s="1"/>
      <c r="E1676" s="2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D1678" s="3"/>
      <c r="E1678" s="2"/>
      <c r="G1678" s="3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G1679" s="3"/>
      <c r="H1679" s="3"/>
      <c r="I1679" s="3"/>
      <c r="K1679" s="3"/>
      <c r="L1679" s="3"/>
      <c r="X1679" s="4"/>
      <c r="AA1679" s="3"/>
      <c r="AB1679" s="3"/>
      <c r="AD1679" s="3"/>
      <c r="AE1679" s="3"/>
      <c r="AK1679" s="5"/>
    </row>
    <row r="1680" spans="2:37" x14ac:dyDescent="0.25">
      <c r="B1680" s="1"/>
      <c r="E1680" s="2"/>
      <c r="G1680" s="3"/>
      <c r="H1680" s="3"/>
      <c r="I1680" s="3"/>
      <c r="K1680" s="3"/>
      <c r="L1680" s="3"/>
      <c r="X1680" s="4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Z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K1683" s="5"/>
    </row>
    <row r="1684" spans="2:37" x14ac:dyDescent="0.25">
      <c r="B1684" s="1"/>
      <c r="D1684" s="3"/>
      <c r="E1684" s="2"/>
      <c r="G1684" s="3"/>
      <c r="H1684" s="3"/>
      <c r="I1684" s="3"/>
      <c r="K1684" s="3"/>
      <c r="L1684" s="3"/>
      <c r="X1684" s="4"/>
      <c r="AB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B1685" s="3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E1687" s="2"/>
      <c r="G1687" s="3"/>
      <c r="H1687" s="3"/>
      <c r="I1687" s="3"/>
      <c r="K1687" s="3"/>
      <c r="L1687" s="3"/>
      <c r="X1687" s="4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Z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Z1689" s="3"/>
      <c r="AB1689" s="3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Z1690" s="3"/>
      <c r="AB1690" s="3"/>
      <c r="AD1690" s="3"/>
      <c r="AE1690" s="3"/>
      <c r="AK1690" s="5"/>
    </row>
    <row r="1691" spans="2:37" x14ac:dyDescent="0.25">
      <c r="B1691" s="3"/>
      <c r="D1691" s="3"/>
      <c r="E1691" s="2"/>
      <c r="G1691" s="3"/>
      <c r="H1691" s="3"/>
      <c r="I1691" s="3"/>
      <c r="K1691" s="3"/>
      <c r="L1691" s="3"/>
      <c r="X1691" s="4"/>
      <c r="Z1691" s="3"/>
      <c r="AD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D1693" s="3"/>
      <c r="AE1693" s="3"/>
      <c r="AK1693" s="5"/>
    </row>
    <row r="1694" spans="2:37" x14ac:dyDescent="0.25">
      <c r="B1694" s="3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AB1695" s="3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D1696" s="3"/>
      <c r="AE1696" s="3"/>
      <c r="AK1696" s="5"/>
    </row>
    <row r="1697" spans="2:37" x14ac:dyDescent="0.25">
      <c r="B1697" s="3"/>
      <c r="E1697" s="2"/>
      <c r="G1697" s="3"/>
      <c r="H1697" s="3"/>
      <c r="I1697" s="3"/>
      <c r="K1697" s="3"/>
      <c r="L1697" s="3"/>
      <c r="X1697" s="4"/>
      <c r="AD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Z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K1700" s="5"/>
    </row>
    <row r="1701" spans="2:37" x14ac:dyDescent="0.25">
      <c r="B1701" s="3"/>
      <c r="D1701" s="3"/>
      <c r="E1701" s="2"/>
      <c r="G1701" s="3"/>
      <c r="H1701" s="3"/>
      <c r="I1701" s="3"/>
      <c r="K1701" s="3"/>
      <c r="L1701" s="3"/>
      <c r="X1701" s="4"/>
      <c r="AB1701" s="3"/>
      <c r="AD1701" s="3"/>
      <c r="AE1701" s="3"/>
      <c r="AK1701" s="5"/>
    </row>
    <row r="1702" spans="2:37" x14ac:dyDescent="0.25">
      <c r="B1702" s="1"/>
      <c r="D1702" s="3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1"/>
      <c r="D1703" s="3"/>
      <c r="E1703" s="2"/>
      <c r="G1703" s="3"/>
      <c r="H1703" s="3"/>
      <c r="I1703" s="3"/>
      <c r="K1703" s="3"/>
      <c r="L1703" s="3"/>
      <c r="X1703" s="4"/>
      <c r="AD1703" s="3"/>
      <c r="AE1703" s="3"/>
      <c r="AK1703" s="5"/>
    </row>
    <row r="1704" spans="2:37" x14ac:dyDescent="0.25">
      <c r="B1704" s="1"/>
      <c r="D1704" s="3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Z1705" s="3"/>
      <c r="AB1705" s="3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1"/>
      <c r="E1708" s="2"/>
      <c r="G1708" s="3"/>
      <c r="H1708" s="3"/>
      <c r="I1708" s="3"/>
      <c r="K1708" s="3"/>
      <c r="L1708" s="3"/>
      <c r="X1708" s="4"/>
    </row>
    <row r="1709" spans="2:37" x14ac:dyDescent="0.25">
      <c r="B1709" s="3"/>
      <c r="E1709" s="2"/>
      <c r="G1709" s="3"/>
      <c r="H1709" s="3"/>
      <c r="I1709" s="3"/>
      <c r="K1709" s="3"/>
      <c r="L1709" s="3"/>
      <c r="X1709" s="4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</row>
    <row r="1711" spans="2:37" x14ac:dyDescent="0.25">
      <c r="B1711" s="3"/>
      <c r="D1711" s="3"/>
      <c r="E1711" s="2"/>
      <c r="G1711" s="3"/>
      <c r="H1711" s="3"/>
      <c r="I1711" s="3"/>
      <c r="K1711" s="3"/>
      <c r="L1711" s="3"/>
      <c r="X1711" s="4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3"/>
      <c r="D1713" s="3"/>
      <c r="E1713" s="2"/>
      <c r="G1713" s="3"/>
      <c r="H1713" s="3"/>
      <c r="I1713" s="3"/>
      <c r="K1713" s="3"/>
      <c r="L1713" s="3"/>
      <c r="X1713" s="4"/>
      <c r="AK1713" s="5"/>
    </row>
    <row r="1714" spans="2:37" x14ac:dyDescent="0.25">
      <c r="B1714" s="1"/>
      <c r="D1714" s="3"/>
      <c r="E1714" s="2"/>
      <c r="F1714" s="3"/>
      <c r="G1714" s="3"/>
      <c r="H1714" s="3"/>
      <c r="I1714" s="3"/>
      <c r="K1714" s="3"/>
      <c r="L1714" s="3"/>
      <c r="X1714" s="4"/>
      <c r="AB1714" s="3"/>
      <c r="AE1714" s="3"/>
      <c r="AK1714" s="5"/>
    </row>
    <row r="1715" spans="2:37" x14ac:dyDescent="0.25">
      <c r="B1715" s="1"/>
      <c r="D1715" s="3"/>
      <c r="E1715" s="2"/>
      <c r="F1715" s="3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B1716" s="3"/>
      <c r="AE1716" s="3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Z1717" s="3"/>
      <c r="AE1717" s="3"/>
      <c r="AK1717" s="5"/>
    </row>
    <row r="1718" spans="2:37" x14ac:dyDescent="0.25">
      <c r="B1718" s="1"/>
      <c r="E1718" s="2"/>
      <c r="G1718" s="3"/>
      <c r="H1718" s="3"/>
      <c r="I1718" s="3"/>
      <c r="K1718" s="3"/>
      <c r="L1718" s="3"/>
      <c r="X1718" s="4"/>
      <c r="Z1718" s="3"/>
      <c r="AE1718" s="3"/>
      <c r="AK1718" s="5"/>
    </row>
    <row r="1719" spans="2:37" x14ac:dyDescent="0.25">
      <c r="B1719" s="1"/>
      <c r="E1719" s="2"/>
      <c r="G1719" s="3"/>
      <c r="H1719" s="3"/>
      <c r="I1719" s="3"/>
      <c r="K1719" s="3"/>
      <c r="X1719" s="4"/>
    </row>
    <row r="1720" spans="2:37" x14ac:dyDescent="0.25">
      <c r="B1720" s="1"/>
      <c r="E1720" s="2"/>
      <c r="G1720" s="3"/>
      <c r="H1720" s="3"/>
      <c r="I1720" s="3"/>
      <c r="K1720" s="3"/>
      <c r="L1720" s="3"/>
      <c r="X1720" s="4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  <c r="Z1722" s="3"/>
      <c r="AB1722" s="3"/>
      <c r="AE1722" s="3"/>
      <c r="AK1722" s="5"/>
    </row>
    <row r="1723" spans="2:37" x14ac:dyDescent="0.25">
      <c r="B1723" s="1"/>
      <c r="E1723" s="2"/>
      <c r="H1723" s="3"/>
      <c r="I1723" s="3"/>
      <c r="K1723" s="3"/>
      <c r="L1723" s="3"/>
      <c r="X1723" s="4"/>
      <c r="Z1723" s="3"/>
      <c r="AE1723" s="3"/>
      <c r="AK1723" s="5"/>
    </row>
    <row r="1724" spans="2:37" x14ac:dyDescent="0.25">
      <c r="B1724" s="1"/>
      <c r="E1724" s="2"/>
      <c r="F1724" s="3"/>
      <c r="G1724" s="3"/>
      <c r="H1724" s="3"/>
      <c r="I1724" s="3"/>
      <c r="K1724" s="3"/>
      <c r="L1724" s="3"/>
      <c r="X1724" s="4"/>
      <c r="Z1724" s="3"/>
      <c r="AB1724" s="3"/>
      <c r="AE1724" s="3"/>
      <c r="AK1724" s="5"/>
    </row>
    <row r="1725" spans="2:37" x14ac:dyDescent="0.25">
      <c r="B1725" s="1"/>
      <c r="E1725" s="2"/>
      <c r="F1725" s="3"/>
      <c r="G1725" s="3"/>
      <c r="H1725" s="3"/>
      <c r="I1725" s="3"/>
      <c r="K1725" s="3"/>
      <c r="L1725" s="3"/>
      <c r="X1725" s="4"/>
      <c r="Z1725" s="3"/>
      <c r="AB1725" s="3"/>
      <c r="AE1725" s="3"/>
      <c r="AK1725" s="5"/>
    </row>
    <row r="1726" spans="2:37" x14ac:dyDescent="0.25">
      <c r="B1726" s="1"/>
      <c r="E1726" s="2"/>
      <c r="H1726" s="3"/>
      <c r="I1726" s="3"/>
      <c r="K1726" s="3"/>
      <c r="L1726" s="3"/>
      <c r="X1726" s="4"/>
      <c r="AB1726" s="3"/>
      <c r="AD1726" s="3"/>
      <c r="AE1726" s="3"/>
      <c r="AK1726" s="5"/>
    </row>
    <row r="1727" spans="2:37" x14ac:dyDescent="0.25">
      <c r="B1727" s="1"/>
      <c r="D1727" s="3"/>
      <c r="E1727" s="2"/>
      <c r="G1727" s="3"/>
      <c r="H1727" s="3"/>
      <c r="I1727" s="3"/>
      <c r="K1727" s="3"/>
      <c r="L1727" s="3"/>
      <c r="X1727" s="4"/>
      <c r="Z1727" s="3"/>
      <c r="AD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G1729" s="3"/>
      <c r="H1729" s="3"/>
      <c r="I1729" s="3"/>
      <c r="K1729" s="3"/>
      <c r="X1729" s="4"/>
      <c r="AE1729" s="3"/>
      <c r="AK1729" s="5"/>
    </row>
    <row r="1730" spans="2:37" x14ac:dyDescent="0.25">
      <c r="B1730" s="1"/>
      <c r="E1730" s="2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AB1731" s="3"/>
      <c r="AE1731" s="3"/>
      <c r="AK1731" s="5"/>
    </row>
    <row r="1732" spans="2:37" x14ac:dyDescent="0.25">
      <c r="B1732" s="3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D1733" s="3"/>
      <c r="E1733" s="2"/>
      <c r="G1733" s="3"/>
      <c r="H1733" s="3"/>
      <c r="I1733" s="3"/>
      <c r="K1733" s="3"/>
      <c r="L1733" s="3"/>
      <c r="X1733" s="4"/>
      <c r="Z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AK1734" s="5"/>
    </row>
    <row r="1735" spans="2:37" x14ac:dyDescent="0.25">
      <c r="B1735" s="1"/>
      <c r="D1735" s="3"/>
      <c r="E1735" s="2"/>
      <c r="F1735" s="3"/>
      <c r="G1735" s="3"/>
      <c r="H1735" s="3"/>
      <c r="I1735" s="3"/>
      <c r="K1735" s="3"/>
      <c r="L1735" s="3"/>
      <c r="X1735" s="4"/>
      <c r="Z1735" s="3"/>
      <c r="AB1735" s="3"/>
      <c r="AE1735" s="3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AB1736" s="3"/>
      <c r="AD1736" s="3"/>
      <c r="AE1736" s="3"/>
      <c r="AK1736" s="5"/>
    </row>
    <row r="1737" spans="2:37" x14ac:dyDescent="0.25">
      <c r="B1737" s="1"/>
      <c r="D1737" s="3"/>
      <c r="E1737" s="2"/>
      <c r="G1737" s="3"/>
      <c r="H1737" s="3"/>
      <c r="I1737" s="3"/>
      <c r="K1737" s="3"/>
      <c r="L1737" s="3"/>
      <c r="X1737" s="4"/>
      <c r="AD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AD1738" s="3"/>
      <c r="AE1738" s="3"/>
      <c r="AK1738" s="5"/>
    </row>
    <row r="1739" spans="2:37" x14ac:dyDescent="0.25">
      <c r="B1739" s="1"/>
      <c r="E1739" s="2"/>
      <c r="G1739" s="3"/>
      <c r="H1739" s="3"/>
      <c r="I1739" s="3"/>
      <c r="K1739" s="3"/>
      <c r="L1739" s="3"/>
      <c r="X1739" s="4"/>
      <c r="Z1739" s="3"/>
      <c r="AB1739" s="3"/>
      <c r="AD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Z1740" s="3"/>
      <c r="AB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AB1741" s="3"/>
      <c r="AE1741" s="3"/>
      <c r="AK1741" s="5"/>
    </row>
    <row r="1742" spans="2:37" x14ac:dyDescent="0.25">
      <c r="B1742" s="1"/>
      <c r="E1742" s="2"/>
      <c r="F1742" s="3"/>
      <c r="G1742" s="3"/>
      <c r="H1742" s="3"/>
      <c r="I1742" s="3"/>
      <c r="K1742" s="3"/>
      <c r="L1742" s="3"/>
      <c r="X1742" s="4"/>
    </row>
    <row r="1743" spans="2:37" x14ac:dyDescent="0.25">
      <c r="B1743" s="3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Z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Z1745" s="3"/>
      <c r="AE1745" s="3"/>
      <c r="AK1745" s="5"/>
    </row>
    <row r="1746" spans="2:37" x14ac:dyDescent="0.25">
      <c r="B1746" s="1"/>
      <c r="E1746" s="2"/>
      <c r="F1746" s="3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Z1748" s="3"/>
      <c r="AD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D1750" s="3"/>
      <c r="E1750" s="2"/>
      <c r="H1750" s="3"/>
      <c r="I1750" s="3"/>
      <c r="K1750" s="3"/>
      <c r="X1750" s="4"/>
    </row>
    <row r="1751" spans="2:37" x14ac:dyDescent="0.25">
      <c r="B1751" s="1"/>
      <c r="E1751" s="2"/>
      <c r="H1751" s="3"/>
      <c r="I1751" s="3"/>
      <c r="K1751" s="3"/>
      <c r="L1751" s="3"/>
      <c r="X1751" s="4"/>
      <c r="AA1751" s="3"/>
      <c r="AE1751" s="3"/>
      <c r="AK1751" s="5"/>
    </row>
    <row r="1752" spans="2:37" x14ac:dyDescent="0.25">
      <c r="B1752" s="1"/>
      <c r="E1752" s="2"/>
      <c r="G1752" s="3"/>
      <c r="H1752" s="3"/>
      <c r="I1752" s="3"/>
      <c r="K1752" s="3"/>
      <c r="L1752" s="3"/>
      <c r="X1752" s="4"/>
      <c r="Z1752" s="3"/>
      <c r="AA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D1754" s="3"/>
      <c r="E1754" s="2"/>
      <c r="G1754" s="3"/>
      <c r="H1754" s="3"/>
      <c r="I1754" s="3"/>
      <c r="K1754" s="3"/>
      <c r="X1754" s="4"/>
      <c r="AE1754" s="3"/>
      <c r="AK1754" s="5"/>
    </row>
    <row r="1755" spans="2:37" x14ac:dyDescent="0.25">
      <c r="B1755" s="1"/>
      <c r="E1755" s="2"/>
      <c r="H1755" s="3"/>
      <c r="I1755" s="3"/>
      <c r="K1755" s="3"/>
      <c r="L1755" s="3"/>
      <c r="X1755" s="4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AE1758" s="3"/>
      <c r="AK1758" s="5"/>
    </row>
    <row r="1759" spans="2:37" x14ac:dyDescent="0.25">
      <c r="B1759" s="1"/>
      <c r="D1759" s="3"/>
      <c r="E1759" s="2"/>
      <c r="G1759" s="3"/>
      <c r="H1759" s="3"/>
      <c r="I1759" s="3"/>
      <c r="K1759" s="3"/>
      <c r="L1759" s="3"/>
      <c r="X1759" s="4"/>
      <c r="AB1759" s="3"/>
      <c r="AE1759" s="3"/>
    </row>
    <row r="1760" spans="2:37" x14ac:dyDescent="0.25">
      <c r="B1760" s="1"/>
      <c r="D1760" s="3"/>
      <c r="E1760" s="2"/>
      <c r="G1760" s="3"/>
      <c r="H1760" s="3"/>
      <c r="I1760" s="3"/>
      <c r="K1760" s="3"/>
      <c r="L1760" s="3"/>
      <c r="X1760" s="4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AA1761" s="3"/>
      <c r="AE1761" s="3"/>
      <c r="AK1761" s="5"/>
    </row>
    <row r="1762" spans="2:37" x14ac:dyDescent="0.25">
      <c r="B1762" s="1"/>
      <c r="E1762" s="2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L1763" s="3"/>
      <c r="X1763" s="4"/>
    </row>
    <row r="1764" spans="2:37" x14ac:dyDescent="0.25">
      <c r="B1764" s="1"/>
      <c r="D1764" s="3"/>
      <c r="E1764" s="2"/>
      <c r="G1764" s="3"/>
      <c r="H1764" s="3"/>
      <c r="I1764" s="3"/>
      <c r="K1764" s="3"/>
      <c r="L1764" s="3"/>
      <c r="X1764" s="4"/>
      <c r="Z1764" s="3"/>
      <c r="AK1764" s="5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  <c r="Z1765" s="3"/>
      <c r="AB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AB1766" s="3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C1768" s="3"/>
      <c r="E1768" s="2"/>
      <c r="G1768" s="3"/>
      <c r="H1768" s="3"/>
      <c r="I1768" s="3"/>
      <c r="K1768" s="3"/>
      <c r="L1768" s="3"/>
      <c r="X1768" s="4"/>
    </row>
    <row r="1769" spans="2:37" x14ac:dyDescent="0.25">
      <c r="B1769" s="1"/>
      <c r="D1769" s="3"/>
      <c r="E1769" s="2"/>
      <c r="G1769" s="3"/>
      <c r="X1769" s="4"/>
      <c r="AK1769" s="5"/>
    </row>
    <row r="1770" spans="2:37" x14ac:dyDescent="0.25">
      <c r="B1770" s="1"/>
      <c r="E1770" s="2"/>
      <c r="H1770" s="3"/>
      <c r="I1770" s="3"/>
      <c r="K1770" s="3"/>
      <c r="L1770" s="3"/>
      <c r="X1770" s="4"/>
      <c r="Z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X1773" s="4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G1776" s="3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E1777" s="2"/>
      <c r="G1777" s="3"/>
      <c r="H1777" s="3"/>
      <c r="I1777" s="3"/>
      <c r="K1777" s="3"/>
      <c r="L1777" s="3"/>
      <c r="X1777" s="4"/>
      <c r="Z1777" s="3"/>
      <c r="AB1777" s="3"/>
      <c r="AE1777" s="3"/>
      <c r="AK1777" s="5"/>
    </row>
    <row r="1778" spans="2:37" x14ac:dyDescent="0.25">
      <c r="B1778" s="1"/>
      <c r="C1778" s="3"/>
      <c r="E1778" s="2"/>
      <c r="G1778" s="3"/>
      <c r="H1778" s="3"/>
      <c r="I1778" s="3"/>
      <c r="K1778" s="3"/>
      <c r="L1778" s="3"/>
      <c r="X1778" s="4"/>
    </row>
    <row r="1779" spans="2:37" x14ac:dyDescent="0.25">
      <c r="B1779" s="3"/>
      <c r="E1779" s="2"/>
      <c r="G1779" s="3"/>
      <c r="X1779" s="4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D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Z1781" s="3"/>
      <c r="AE1781" s="3"/>
      <c r="AK1781" s="5"/>
    </row>
    <row r="1782" spans="2:37" x14ac:dyDescent="0.25">
      <c r="B1782" s="1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E1783" s="2"/>
      <c r="G1783" s="3"/>
      <c r="H1783" s="3"/>
      <c r="I1783" s="3"/>
      <c r="K1783" s="3"/>
      <c r="L1783" s="3"/>
      <c r="X1783" s="4"/>
    </row>
    <row r="1784" spans="2:37" x14ac:dyDescent="0.25">
      <c r="B1784" s="1"/>
      <c r="E1784" s="2"/>
      <c r="F1784" s="3"/>
      <c r="G1784" s="3"/>
      <c r="H1784" s="3"/>
      <c r="I1784" s="3"/>
      <c r="K1784" s="3"/>
      <c r="X1784" s="4"/>
    </row>
    <row r="1785" spans="2:37" x14ac:dyDescent="0.25">
      <c r="B1785" s="1"/>
      <c r="E1785" s="2"/>
      <c r="H1785" s="3"/>
      <c r="I1785" s="3"/>
      <c r="K1785" s="3"/>
      <c r="X1785" s="4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X1787" s="4"/>
      <c r="AK1787" s="5"/>
    </row>
    <row r="1788" spans="2:37" x14ac:dyDescent="0.25">
      <c r="B1788" s="1"/>
      <c r="E1788" s="2"/>
      <c r="H1788" s="3"/>
      <c r="I1788" s="3"/>
      <c r="K1788" s="3"/>
      <c r="L1788" s="3"/>
      <c r="X1788" s="4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X1789" s="4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AD1790" s="3"/>
      <c r="AE1790" s="3"/>
      <c r="AK1790" s="5"/>
    </row>
    <row r="1791" spans="2:37" x14ac:dyDescent="0.25">
      <c r="B1791" s="1"/>
      <c r="E1791" s="2"/>
      <c r="H1791" s="3"/>
      <c r="I1791" s="3"/>
      <c r="K1791" s="3"/>
      <c r="X1791" s="4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L1792" s="3"/>
      <c r="M1792" s="5"/>
      <c r="X1792" s="4"/>
    </row>
    <row r="1793" spans="2:37" x14ac:dyDescent="0.25">
      <c r="B1793" s="1"/>
      <c r="E1793" s="2"/>
      <c r="G1793" s="3"/>
      <c r="H1793" s="3"/>
      <c r="I1793" s="3"/>
      <c r="K1793" s="3"/>
      <c r="L1793" s="3"/>
      <c r="X1793" s="4"/>
      <c r="Z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AB1794" s="3"/>
      <c r="AE1794" s="3"/>
      <c r="AK1794" s="5"/>
    </row>
    <row r="1795" spans="2:37" x14ac:dyDescent="0.25">
      <c r="F1795" s="3"/>
      <c r="G1795" s="3"/>
    </row>
    <row r="1796" spans="2:37" x14ac:dyDescent="0.25">
      <c r="B1796" s="1"/>
      <c r="E1796" s="2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Z1797" s="3"/>
      <c r="AE1797" s="3"/>
      <c r="AK1797" s="5"/>
    </row>
    <row r="1798" spans="2:37" x14ac:dyDescent="0.25">
      <c r="B1798" s="1"/>
      <c r="E1798" s="2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X1799" s="4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X1801" s="4"/>
      <c r="AE1801" s="3"/>
      <c r="AK1801" s="5"/>
    </row>
    <row r="1802" spans="2:37" x14ac:dyDescent="0.25">
      <c r="B1802" s="1"/>
      <c r="E1802" s="2"/>
      <c r="H1802" s="3"/>
      <c r="I1802" s="3"/>
      <c r="K1802" s="3"/>
      <c r="X1802" s="4"/>
      <c r="AK1802" s="5"/>
    </row>
    <row r="1803" spans="2:37" x14ac:dyDescent="0.25">
      <c r="B1803" s="1"/>
      <c r="E1803" s="2"/>
      <c r="H1803" s="3"/>
      <c r="I1803" s="3"/>
      <c r="K1803" s="3"/>
      <c r="X1803" s="4"/>
      <c r="AE1803" s="3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</row>
    <row r="1805" spans="2:37" x14ac:dyDescent="0.25">
      <c r="B1805" s="3"/>
      <c r="G1805" s="3"/>
    </row>
    <row r="1816" spans="7:8" x14ac:dyDescent="0.25">
      <c r="H1816" s="6"/>
    </row>
    <row r="1817" spans="7:8" x14ac:dyDescent="0.25">
      <c r="H1817" s="6"/>
    </row>
    <row r="1818" spans="7:8" x14ac:dyDescent="0.25">
      <c r="G1818" s="3"/>
      <c r="H1818" s="7"/>
    </row>
    <row r="1819" spans="7:8" x14ac:dyDescent="0.25">
      <c r="H1819" s="6"/>
    </row>
    <row r="1820" spans="7:8" x14ac:dyDescent="0.25">
      <c r="H1820" s="6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</sheetData>
  <conditionalFormatting sqref="B501:B1048576">
    <cfRule type="duplicateValues" dxfId="1" priority="1"/>
  </conditionalFormatting>
  <conditionalFormatting sqref="B1811:B1048576 B501:B1809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SUBTOTAL(9,Planilha1!K1:K1811)</f>
        <v>3439876.8199999994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SUBTOTAL(9,Planilha1!L1:L1806)</f>
        <v>563208.24000000011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SUBTOTAL(9,Planilha1!M1:M1807)</f>
        <v>5659046.3923379648</v>
      </c>
      <c r="D5" t="s">
        <v>12</v>
      </c>
      <c r="E5" s="12">
        <v>20107.340000000004</v>
      </c>
    </row>
    <row r="6" spans="1:5" x14ac:dyDescent="0.25">
      <c r="A6" t="s">
        <v>114</v>
      </c>
      <c r="B6" s="10">
        <f>SUBTOTAL(3,Planilha1!D2:D1807)</f>
        <v>395</v>
      </c>
      <c r="D6" t="s">
        <v>114</v>
      </c>
      <c r="E6" s="10">
        <v>31</v>
      </c>
    </row>
    <row r="7" spans="1:5" x14ac:dyDescent="0.25">
      <c r="A7" t="s">
        <v>117</v>
      </c>
      <c r="B7" s="13">
        <f>B3/B6</f>
        <v>8708.5489113924032</v>
      </c>
      <c r="D7" t="s">
        <v>117</v>
      </c>
      <c r="E7" s="13">
        <v>8961.8625806451619</v>
      </c>
    </row>
    <row r="8" spans="1:5" x14ac:dyDescent="0.25">
      <c r="A8" t="s">
        <v>116</v>
      </c>
      <c r="B8" s="13">
        <f>B3/B4</f>
        <v>6.1076464719337178</v>
      </c>
      <c r="D8" t="s">
        <v>116</v>
      </c>
      <c r="E8" s="13">
        <v>7.0208172386700527</v>
      </c>
    </row>
    <row r="9" spans="1:5" x14ac:dyDescent="0.25">
      <c r="A9" t="s">
        <v>115</v>
      </c>
      <c r="B9" s="13">
        <f>B3/B5</f>
        <v>0.60785450083204862</v>
      </c>
      <c r="D9" t="s">
        <v>115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159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158</v>
      </c>
    </row>
    <row r="5" spans="1:2" x14ac:dyDescent="0.25">
      <c r="A5" s="15" t="s">
        <v>156</v>
      </c>
      <c r="B5" s="16">
        <v>54041.66</v>
      </c>
    </row>
    <row r="6" spans="1:2" x14ac:dyDescent="0.25">
      <c r="A6" s="15" t="s">
        <v>157</v>
      </c>
      <c r="B6" s="17">
        <v>689178.17</v>
      </c>
    </row>
    <row r="7" spans="1:2" x14ac:dyDescent="0.25">
      <c r="A7" s="15" t="s">
        <v>160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2026-03-24T19:32:07Z</dcterms:modified>
</cp:coreProperties>
</file>