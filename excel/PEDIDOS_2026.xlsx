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F926CFF3-AC41-4B1C-BD7B-7AC95910344E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Planilha1!$A$1:$AU$197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2" l="1"/>
  <c r="B6" i="2"/>
  <c r="B4" i="2"/>
  <c r="B3" i="2"/>
  <c r="B7" i="2" s="1"/>
  <c r="B9" i="2" l="1"/>
  <c r="B8" i="2"/>
</calcChain>
</file>

<file path=xl/sharedStrings.xml><?xml version="1.0" encoding="utf-8"?>
<sst xmlns="http://schemas.openxmlformats.org/spreadsheetml/2006/main" count="3418" uniqueCount="221">
  <si>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</si>
  <si>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</si>
  <si>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</si>
  <si>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</si>
  <si>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</si>
  <si>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</si>
  <si>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</si>
  <si>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</si>
  <si>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</si>
  <si>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</si>
  <si>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</si>
  <si>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</si>
  <si>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</si>
  <si>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</si>
  <si>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</si>
  <si>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</si>
  <si>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</si>
  <si>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</si>
  <si>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</si>
  <si>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</si>
  <si>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</si>
  <si>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</si>
  <si>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</si>
  <si>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</si>
  <si>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</si>
  <si>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</si>
  <si>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</si>
  <si>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</si>
  <si>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</si>
  <si>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</si>
  <si>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</si>
  <si>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</si>
  <si>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</si>
  <si>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</si>
  <si>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</si>
  <si>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</si>
  <si>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</si>
  <si>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</si>
  <si>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</si>
  <si>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</si>
  <si>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</si>
  <si>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</si>
  <si>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</si>
  <si>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</si>
  <si>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</si>
  <si>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</si>
  <si>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</si>
  <si>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</si>
  <si>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</si>
  <si>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</si>
  <si>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</si>
  <si>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</si>
  <si>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</si>
  <si>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</si>
  <si>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</si>
  <si>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</si>
  <si>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</si>
  <si>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</si>
  <si>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</si>
  <si>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</si>
  <si>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</si>
  <si>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</si>
  <si>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</si>
  <si>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</si>
  <si>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</si>
  <si>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</si>
  <si>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</si>
  <si>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</si>
  <si>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</si>
  <si>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</si>
  <si>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</si>
  <si>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</si>
  <si>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</si>
  <si>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</si>
  <si>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</si>
  <si>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</si>
  <si>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</si>
  <si>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</si>
  <si>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</si>
  <si>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</si>
  <si>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</si>
  <si>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</si>
  <si>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</si>
  <si>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</si>
  <si>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</si>
  <si>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</si>
  <si>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</si>
  <si>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</si>
  <si>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</si>
  <si>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</si>
  <si>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</si>
  <si>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</si>
  <si>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</si>
  <si>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</si>
  <si>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</si>
  <si>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</si>
  <si>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</si>
  <si>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</si>
  <si>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</si>
  <si>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</si>
  <si>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</si>
  <si>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</si>
  <si>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</si>
  <si>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</si>
  <si>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</si>
  <si>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</si>
  <si>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</si>
  <si>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</si>
  <si>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</si>
  <si>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</si>
  <si>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</si>
  <si>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</si>
  <si>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</si>
  <si>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</si>
  <si>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</si>
  <si>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</si>
  <si>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</si>
  <si>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</si>
  <si>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</si>
  <si>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</si>
  <si>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</si>
  <si>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</si>
  <si>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</si>
  <si>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</si>
  <si>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</si>
  <si>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</si>
  <si>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</si>
  <si>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</si>
  <si>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</si>
  <si>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</si>
  <si>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</si>
  <si>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</si>
  <si>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</si>
  <si>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</si>
  <si>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</si>
  <si>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</si>
  <si>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</si>
  <si>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</si>
  <si>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</si>
  <si>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</si>
  <si>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</si>
  <si>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</si>
  <si>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</si>
  <si>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</si>
  <si>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</si>
  <si>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</si>
  <si>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</si>
  <si>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</si>
  <si>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</si>
  <si>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</si>
  <si>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</si>
  <si>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</si>
  <si>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</si>
  <si>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</si>
  <si>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</si>
  <si>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</si>
  <si>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</si>
  <si>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</si>
  <si>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</si>
  <si>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</si>
  <si>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</si>
  <si>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</si>
  <si>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</si>
  <si>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</si>
  <si>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</si>
  <si>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</si>
  <si>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GASPAR</t>
  </si>
  <si>
    <t>ARAQUARI</t>
  </si>
  <si>
    <t>42 DD</t>
  </si>
  <si>
    <t>POD BEBIDAS</t>
  </si>
  <si>
    <t>28 35 42 49 DD</t>
  </si>
  <si>
    <t>SC *** Nenhuma ***</t>
  </si>
  <si>
    <t>JARAGUA DO SUL</t>
  </si>
  <si>
    <t>ELLOS</t>
  </si>
  <si>
    <t>Limite de crédito inferior à soma dos valores pendentes.</t>
  </si>
  <si>
    <t>28 35 42 49 56 DD</t>
  </si>
  <si>
    <t>JUAREZ</t>
  </si>
  <si>
    <t>HIPER TEXTIL</t>
  </si>
  <si>
    <t>UNILUX</t>
  </si>
  <si>
    <t>REIKI</t>
  </si>
  <si>
    <t>SC CAMBORIU</t>
  </si>
  <si>
    <t>PAPINHA BABY</t>
  </si>
  <si>
    <t>30 45 60 75 DD</t>
  </si>
  <si>
    <t>SAMIRA INJETADOS LTDA</t>
  </si>
  <si>
    <t>SAO JOAO BATISTA</t>
  </si>
  <si>
    <t xml:space="preserve">SKIN </t>
  </si>
  <si>
    <t>TREK BRASIL</t>
  </si>
  <si>
    <t>ETIQUETAR</t>
  </si>
  <si>
    <t>CICAMPO</t>
  </si>
  <si>
    <t>TIMBO</t>
  </si>
  <si>
    <t>PACIFIC</t>
  </si>
  <si>
    <t>GRUPO IW8</t>
  </si>
  <si>
    <t>COREMMA</t>
  </si>
  <si>
    <t>QUEENPACK REPRESENTACOES LTDA</t>
  </si>
  <si>
    <t>7 DD</t>
  </si>
  <si>
    <t>GASTRO</t>
  </si>
  <si>
    <t>MICRONICS ENGINEERED FILTRATION GROUP</t>
  </si>
  <si>
    <t>DEYU FISHING NET</t>
  </si>
  <si>
    <t>MELATO METAIS</t>
  </si>
  <si>
    <t>BELA FLOR - SP</t>
  </si>
  <si>
    <t>SAO JOSE DO RIO PRETO</t>
  </si>
  <si>
    <t>RIO BRANCO</t>
  </si>
  <si>
    <t>REALSC EMBALAGENS</t>
  </si>
  <si>
    <t>PAFER</t>
  </si>
  <si>
    <t>DINAMAR</t>
  </si>
  <si>
    <t xml:space="preserve">SMART MAGENTA </t>
  </si>
  <si>
    <t>COOKOA - FABRICA DE ALIMENTOS</t>
  </si>
  <si>
    <t>STB</t>
  </si>
  <si>
    <t>YES EMBALAGENS</t>
  </si>
  <si>
    <t>WILLMIX</t>
  </si>
  <si>
    <t>VIDA BELA COSMETICOS</t>
  </si>
  <si>
    <t>CIAPLASTIC</t>
  </si>
  <si>
    <t>JORANI - GARDENMIX</t>
  </si>
  <si>
    <t>ANTROPOCENO ENGENHARIA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</si>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</sst>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Normal="100" workbookViewId="0">
      <pane ySplit="1" topLeftCell="A2" activePane="bottomLeft" state="frozen"/>
      <selection pane="bottomLeft" sqref="A1:AU197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50</v>
      </c>
      <c r="G2" t="s">
        <v>51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57</v>
      </c>
      <c r="X2" s="4">
        <v>0</v>
      </c>
      <c r="Y2" t="s">
        <v>58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54</v>
      </c>
      <c r="AG2" t="s">
        <v>59</v>
      </c>
      <c r="AI2" t="s">
        <v>60</v>
      </c>
      <c r="AJ2" t="s">
        <v>60</v>
      </c>
      <c r="AK2" s="5">
        <v>46027.438668981478</v>
      </c>
      <c r="AO2" t="s">
        <v>54</v>
      </c>
      <c r="AP2">
        <v>0</v>
      </c>
      <c r="AR2" t="s">
        <v>54</v>
      </c>
      <c r="AS2" t="s">
        <v>54</v>
      </c>
      <c r="AT2">
        <v>6611</v>
      </c>
      <c r="AU2" t="s">
        <v>55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61</v>
      </c>
      <c r="G3" t="s">
        <v>51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126</v>
      </c>
      <c r="V3" t="s">
        <v>56</v>
      </c>
      <c r="W3" t="s">
        <v>57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54</v>
      </c>
      <c r="I4" s="3" t="s">
        <v>59</v>
      </c>
      <c r="J4" t="s">
        <v>64</v>
      </c>
      <c r="K4" s="3" t="s">
        <v>60</v>
      </c>
      <c r="L4" s="3" t="s">
        <v>60</v>
      </c>
      <c r="M4" s="3">
        <v>46027.476736111108</v>
      </c>
      <c r="Q4" t="s">
        <v>54</v>
      </c>
      <c r="R4">
        <v>0</v>
      </c>
      <c r="T4" t="s">
        <v>54</v>
      </c>
      <c r="U4" t="s">
        <v>54</v>
      </c>
      <c r="V4">
        <v>7006</v>
      </c>
      <c r="W4" t="s">
        <v>55</v>
      </c>
      <c r="X4" s="4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65</v>
      </c>
      <c r="G5" s="3" t="s">
        <v>66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52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126</v>
      </c>
      <c r="V5" t="s">
        <v>56</v>
      </c>
      <c r="W5" t="s">
        <v>67</v>
      </c>
      <c r="X5" s="4">
        <v>0</v>
      </c>
      <c r="Y5" t="s">
        <v>58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54</v>
      </c>
      <c r="AG5" t="s">
        <v>59</v>
      </c>
      <c r="AI5" t="s">
        <v>60</v>
      </c>
      <c r="AJ5" t="s">
        <v>60</v>
      </c>
      <c r="AK5" s="5">
        <v>46027.627013888887</v>
      </c>
      <c r="AO5" t="s">
        <v>54</v>
      </c>
      <c r="AP5">
        <v>0</v>
      </c>
      <c r="AR5" t="s">
        <v>54</v>
      </c>
      <c r="AS5" t="s">
        <v>54</v>
      </c>
      <c r="AT5">
        <v>1269</v>
      </c>
      <c r="AU5" t="s">
        <v>55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68</v>
      </c>
      <c r="G6" t="s">
        <v>69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70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76</v>
      </c>
      <c r="V6" t="s">
        <v>71</v>
      </c>
      <c r="W6" t="s">
        <v>72</v>
      </c>
      <c r="X6" s="4">
        <v>0</v>
      </c>
      <c r="Y6" t="s">
        <v>62</v>
      </c>
      <c r="AB6" s="3"/>
      <c r="AE6" s="3"/>
      <c r="AK6" s="5"/>
    </row>
    <row r="7" spans="1:47" x14ac:dyDescent="0.25">
      <c r="A7" t="s">
        <v>63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54</v>
      </c>
      <c r="I7" s="3" t="s">
        <v>59</v>
      </c>
      <c r="K7" s="3" t="s">
        <v>73</v>
      </c>
      <c r="L7" s="3" t="s">
        <v>73</v>
      </c>
      <c r="M7" s="3">
        <v>46028.488078703704</v>
      </c>
      <c r="Q7" t="s">
        <v>54</v>
      </c>
      <c r="R7">
        <v>0</v>
      </c>
      <c r="T7" t="s">
        <v>54</v>
      </c>
      <c r="U7" t="s">
        <v>54</v>
      </c>
      <c r="V7">
        <v>139</v>
      </c>
      <c r="W7" t="s">
        <v>55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74</v>
      </c>
      <c r="G8" s="3" t="s">
        <v>51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75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43</v>
      </c>
      <c r="W8" t="s">
        <v>72</v>
      </c>
      <c r="X8" s="4">
        <v>0</v>
      </c>
      <c r="Y8" t="s">
        <v>58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54</v>
      </c>
      <c r="AG8" t="s">
        <v>59</v>
      </c>
      <c r="AI8" t="s">
        <v>73</v>
      </c>
      <c r="AJ8" t="s">
        <v>73</v>
      </c>
      <c r="AK8" s="5">
        <v>46044.706817129627</v>
      </c>
      <c r="AO8" t="s">
        <v>54</v>
      </c>
      <c r="AP8">
        <v>0</v>
      </c>
      <c r="AR8" t="s">
        <v>54</v>
      </c>
      <c r="AS8" t="s">
        <v>54</v>
      </c>
      <c r="AT8">
        <v>8469</v>
      </c>
      <c r="AU8" t="s">
        <v>55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t="s">
        <v>76</v>
      </c>
      <c r="G9" t="s">
        <v>69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77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83</v>
      </c>
      <c r="W9" t="s">
        <v>78</v>
      </c>
      <c r="X9" s="4">
        <v>0</v>
      </c>
      <c r="Y9" t="s">
        <v>58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54</v>
      </c>
      <c r="AG9" t="s">
        <v>59</v>
      </c>
      <c r="AH9" t="s">
        <v>79</v>
      </c>
      <c r="AI9" t="s">
        <v>80</v>
      </c>
      <c r="AJ9" t="s">
        <v>73</v>
      </c>
      <c r="AK9" s="5">
        <v>46028.701481481483</v>
      </c>
      <c r="AO9" t="s">
        <v>54</v>
      </c>
      <c r="AP9">
        <v>0</v>
      </c>
      <c r="AR9" t="s">
        <v>54</v>
      </c>
      <c r="AS9" t="s">
        <v>54</v>
      </c>
      <c r="AT9">
        <v>3870</v>
      </c>
      <c r="AU9" t="s">
        <v>55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76</v>
      </c>
      <c r="G10" s="3" t="s">
        <v>69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77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83</v>
      </c>
      <c r="W10" t="s">
        <v>78</v>
      </c>
      <c r="X10" s="4">
        <v>0</v>
      </c>
      <c r="Y10" t="s">
        <v>58</v>
      </c>
      <c r="Z10" s="3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54</v>
      </c>
      <c r="AG10" t="s">
        <v>59</v>
      </c>
      <c r="AH10" t="s">
        <v>79</v>
      </c>
      <c r="AI10" t="s">
        <v>80</v>
      </c>
      <c r="AJ10" t="s">
        <v>73</v>
      </c>
      <c r="AK10" s="5">
        <v>46028.703252314815</v>
      </c>
      <c r="AO10" t="s">
        <v>54</v>
      </c>
      <c r="AP10">
        <v>0</v>
      </c>
      <c r="AR10" t="s">
        <v>54</v>
      </c>
      <c r="AS10" t="s">
        <v>54</v>
      </c>
      <c r="AT10">
        <v>3870</v>
      </c>
      <c r="AU10" t="s">
        <v>55</v>
      </c>
    </row>
    <row r="11" spans="1:47" x14ac:dyDescent="0.25">
      <c r="A11" t="s">
        <v>81</v>
      </c>
      <c r="B11" s="1">
        <v>38401</v>
      </c>
      <c r="C11" t="s">
        <v>48</v>
      </c>
      <c r="D11" t="s">
        <v>49</v>
      </c>
      <c r="E11" s="2">
        <v>46029</v>
      </c>
      <c r="F11" t="s">
        <v>82</v>
      </c>
      <c r="G11" t="s">
        <v>83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84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9</v>
      </c>
      <c r="V11" t="s">
        <v>71</v>
      </c>
      <c r="W11" t="s">
        <v>85</v>
      </c>
      <c r="X11" s="4">
        <v>0</v>
      </c>
      <c r="Y11" t="s">
        <v>62</v>
      </c>
      <c r="AB11" s="3"/>
      <c r="AE11" s="3"/>
      <c r="AK11" s="5"/>
    </row>
    <row r="12" spans="1:47" x14ac:dyDescent="0.25">
      <c r="A12" t="s">
        <v>63</v>
      </c>
      <c r="B12" s="1">
        <v>622.75</v>
      </c>
      <c r="C12">
        <v>0</v>
      </c>
      <c r="D12">
        <v>0</v>
      </c>
      <c r="E12" s="2">
        <v>0</v>
      </c>
      <c r="F12">
        <v>0</v>
      </c>
      <c r="G12">
        <v>500</v>
      </c>
      <c r="H12" s="3" t="s">
        <v>54</v>
      </c>
      <c r="I12" s="3" t="s">
        <v>59</v>
      </c>
      <c r="K12" s="3" t="s">
        <v>73</v>
      </c>
      <c r="L12" s="3" t="s">
        <v>73</v>
      </c>
      <c r="M12" s="3">
        <v>46029.349988425929</v>
      </c>
      <c r="Q12" t="s">
        <v>54</v>
      </c>
      <c r="R12">
        <v>0</v>
      </c>
      <c r="T12" t="s">
        <v>54</v>
      </c>
      <c r="U12" t="s">
        <v>54</v>
      </c>
      <c r="V12">
        <v>2154</v>
      </c>
      <c r="W12" t="s">
        <v>55</v>
      </c>
      <c r="X12" s="4"/>
      <c r="Z12" s="3"/>
      <c r="AD12" s="3"/>
      <c r="AE12" s="3"/>
      <c r="AK12" s="5"/>
    </row>
    <row r="13" spans="1:47" x14ac:dyDescent="0.25">
      <c r="A13" t="s">
        <v>81</v>
      </c>
      <c r="B13" s="3">
        <v>38402</v>
      </c>
      <c r="C13" t="s">
        <v>48</v>
      </c>
      <c r="D13" t="s">
        <v>49</v>
      </c>
      <c r="E13" s="2">
        <v>46029</v>
      </c>
      <c r="F13" t="s">
        <v>86</v>
      </c>
      <c r="G13" s="3" t="s">
        <v>87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85</v>
      </c>
      <c r="X13" s="4">
        <v>0</v>
      </c>
      <c r="Y13" t="s">
        <v>62</v>
      </c>
      <c r="AK13" s="5"/>
    </row>
    <row r="14" spans="1:47" x14ac:dyDescent="0.25">
      <c r="A14" t="s">
        <v>63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54</v>
      </c>
      <c r="I14" s="3" t="s">
        <v>59</v>
      </c>
      <c r="K14" s="3" t="s">
        <v>73</v>
      </c>
      <c r="L14" s="3" t="s">
        <v>73</v>
      </c>
      <c r="M14" s="3">
        <v>46029.355856481481</v>
      </c>
      <c r="Q14" t="s">
        <v>54</v>
      </c>
      <c r="R14">
        <v>0</v>
      </c>
      <c r="T14" t="s">
        <v>54</v>
      </c>
      <c r="U14" t="s">
        <v>54</v>
      </c>
      <c r="V14">
        <v>5254</v>
      </c>
      <c r="W14" t="s">
        <v>55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88</v>
      </c>
      <c r="G15" s="3" t="s">
        <v>89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90</v>
      </c>
      <c r="X15" s="4">
        <v>0</v>
      </c>
      <c r="Y15" t="s">
        <v>62</v>
      </c>
      <c r="Z15" s="3"/>
      <c r="AA15" s="3"/>
      <c r="AB15" s="3"/>
      <c r="AD15" s="3"/>
      <c r="AE15" s="3"/>
      <c r="AK15" s="5"/>
    </row>
    <row r="16" spans="1:47" x14ac:dyDescent="0.25">
      <c r="A16" t="s">
        <v>63</v>
      </c>
      <c r="B16" s="1">
        <v>496.65</v>
      </c>
      <c r="C16">
        <v>0</v>
      </c>
      <c r="D16">
        <v>0</v>
      </c>
      <c r="E16" s="2">
        <v>0</v>
      </c>
      <c r="F16">
        <v>0</v>
      </c>
      <c r="G16">
        <v>550</v>
      </c>
      <c r="H16" s="3" t="s">
        <v>54</v>
      </c>
      <c r="I16" s="3" t="s">
        <v>91</v>
      </c>
      <c r="K16" s="3" t="s">
        <v>92</v>
      </c>
      <c r="L16" s="3" t="s">
        <v>92</v>
      </c>
      <c r="M16" s="3">
        <v>46029.364594907405</v>
      </c>
      <c r="Q16" t="s">
        <v>54</v>
      </c>
      <c r="R16">
        <v>0</v>
      </c>
      <c r="T16" t="s">
        <v>54</v>
      </c>
      <c r="U16" t="s">
        <v>54</v>
      </c>
      <c r="V16">
        <v>2291</v>
      </c>
      <c r="W16" t="s">
        <v>55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t="s">
        <v>93</v>
      </c>
      <c r="G17" s="3" t="s">
        <v>94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84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9</v>
      </c>
      <c r="V17" t="s">
        <v>71</v>
      </c>
      <c r="W17" t="s">
        <v>95</v>
      </c>
      <c r="X17" s="4">
        <v>0</v>
      </c>
      <c r="Y17" t="s">
        <v>62</v>
      </c>
      <c r="AD17" s="3"/>
      <c r="AE17" s="3"/>
      <c r="AK17" s="5"/>
    </row>
    <row r="18" spans="1:47" x14ac:dyDescent="0.25">
      <c r="A18" t="s">
        <v>63</v>
      </c>
      <c r="B18" s="1">
        <v>0</v>
      </c>
      <c r="C18">
        <v>0</v>
      </c>
      <c r="D18">
        <v>86.12</v>
      </c>
      <c r="E18" s="2">
        <v>0</v>
      </c>
      <c r="F18">
        <v>0</v>
      </c>
      <c r="G18">
        <v>90</v>
      </c>
      <c r="H18" s="3" t="s">
        <v>54</v>
      </c>
      <c r="I18" s="3" t="s">
        <v>59</v>
      </c>
      <c r="K18" s="3" t="s">
        <v>73</v>
      </c>
      <c r="L18" s="3" t="s">
        <v>73</v>
      </c>
      <c r="M18" s="3">
        <v>46029.448912037034</v>
      </c>
      <c r="Q18" t="s">
        <v>54</v>
      </c>
      <c r="R18">
        <v>0</v>
      </c>
      <c r="T18" t="s">
        <v>54</v>
      </c>
      <c r="U18" t="s">
        <v>54</v>
      </c>
      <c r="V18">
        <v>924</v>
      </c>
      <c r="W18" t="s">
        <v>55</v>
      </c>
      <c r="X18" s="4"/>
      <c r="AD18" s="3"/>
      <c r="AE18" s="3"/>
      <c r="AK18" s="5"/>
    </row>
    <row r="19" spans="1:47" x14ac:dyDescent="0.25">
      <c r="A19" t="s">
        <v>96</v>
      </c>
      <c r="B19" s="3">
        <v>38405</v>
      </c>
      <c r="C19" t="s">
        <v>48</v>
      </c>
      <c r="D19" s="3" t="s">
        <v>49</v>
      </c>
      <c r="E19" s="2">
        <v>46029</v>
      </c>
      <c r="F19" t="s">
        <v>97</v>
      </c>
      <c r="G19" s="3" t="s">
        <v>94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98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167</v>
      </c>
      <c r="V19" t="s">
        <v>99</v>
      </c>
      <c r="W19" t="s">
        <v>100</v>
      </c>
      <c r="X19" s="4">
        <v>0</v>
      </c>
      <c r="Y19" t="s">
        <v>58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54</v>
      </c>
      <c r="AG19" t="s">
        <v>59</v>
      </c>
      <c r="AI19" t="s">
        <v>73</v>
      </c>
      <c r="AJ19" t="s">
        <v>73</v>
      </c>
      <c r="AK19" s="5">
        <v>46029.466469907406</v>
      </c>
      <c r="AO19" t="s">
        <v>54</v>
      </c>
      <c r="AP19">
        <v>0</v>
      </c>
      <c r="AR19" t="s">
        <v>54</v>
      </c>
      <c r="AS19" t="s">
        <v>54</v>
      </c>
      <c r="AT19">
        <v>2778</v>
      </c>
      <c r="AU19" t="s">
        <v>55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101</v>
      </c>
      <c r="G20" s="3" t="s">
        <v>94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84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9</v>
      </c>
      <c r="V20" t="s">
        <v>71</v>
      </c>
      <c r="W20" t="s">
        <v>102</v>
      </c>
      <c r="X20" s="4">
        <v>0</v>
      </c>
      <c r="Y20" t="s">
        <v>58</v>
      </c>
      <c r="Z20" s="3">
        <v>1150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H20" t="s">
        <v>103</v>
      </c>
      <c r="AI20" t="s">
        <v>92</v>
      </c>
      <c r="AJ20" t="s">
        <v>92</v>
      </c>
      <c r="AK20" s="5">
        <v>46029.47457175926</v>
      </c>
      <c r="AO20" t="s">
        <v>54</v>
      </c>
      <c r="AP20">
        <v>0</v>
      </c>
      <c r="AR20" t="s">
        <v>54</v>
      </c>
      <c r="AS20" t="s">
        <v>54</v>
      </c>
      <c r="AT20">
        <v>161</v>
      </c>
      <c r="AU20" t="s">
        <v>55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50</v>
      </c>
      <c r="G21" s="3" t="s">
        <v>51</v>
      </c>
      <c r="H21" s="3">
        <v>4183.2</v>
      </c>
      <c r="I21" s="3">
        <v>4183.2</v>
      </c>
      <c r="J21">
        <v>0</v>
      </c>
      <c r="K21" s="3">
        <v>4810.68</v>
      </c>
      <c r="L21">
        <v>596.64</v>
      </c>
      <c r="M21" s="3">
        <v>232.69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57</v>
      </c>
      <c r="X21" s="4">
        <v>0</v>
      </c>
      <c r="Y21" t="s">
        <v>58</v>
      </c>
      <c r="Z21">
        <v>596.64</v>
      </c>
      <c r="AA21">
        <v>0</v>
      </c>
      <c r="AB21">
        <v>0</v>
      </c>
      <c r="AC21">
        <v>0</v>
      </c>
      <c r="AD21">
        <v>0</v>
      </c>
      <c r="AE21" s="3">
        <v>240</v>
      </c>
      <c r="AF21" t="s">
        <v>54</v>
      </c>
      <c r="AG21" t="s">
        <v>59</v>
      </c>
      <c r="AI21" t="s">
        <v>60</v>
      </c>
      <c r="AJ21" t="s">
        <v>60</v>
      </c>
      <c r="AK21" s="5">
        <v>46029.629131944443</v>
      </c>
      <c r="AO21" t="s">
        <v>54</v>
      </c>
      <c r="AP21">
        <v>0</v>
      </c>
      <c r="AR21" t="s">
        <v>54</v>
      </c>
      <c r="AS21" t="s">
        <v>54</v>
      </c>
      <c r="AT21">
        <v>6611</v>
      </c>
      <c r="AU21" t="s">
        <v>55</v>
      </c>
    </row>
    <row r="22" spans="1:47" x14ac:dyDescent="0.25">
      <c r="A22" t="s">
        <v>81</v>
      </c>
      <c r="B22" s="1">
        <v>38408</v>
      </c>
      <c r="C22" t="s">
        <v>48</v>
      </c>
      <c r="D22" t="s">
        <v>49</v>
      </c>
      <c r="E22" s="2">
        <v>46030</v>
      </c>
      <c r="F22" t="s">
        <v>104</v>
      </c>
      <c r="G22" t="s">
        <v>89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52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126</v>
      </c>
      <c r="V22" t="s">
        <v>56</v>
      </c>
      <c r="W22" t="s">
        <v>72</v>
      </c>
      <c r="X22" s="4">
        <v>0</v>
      </c>
      <c r="Y22" t="s">
        <v>58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54</v>
      </c>
      <c r="AG22" t="s">
        <v>59</v>
      </c>
      <c r="AI22" t="s">
        <v>73</v>
      </c>
      <c r="AJ22" t="s">
        <v>73</v>
      </c>
      <c r="AK22" s="5">
        <v>46030.464837962965</v>
      </c>
      <c r="AO22" t="s">
        <v>54</v>
      </c>
      <c r="AP22">
        <v>0</v>
      </c>
      <c r="AR22" t="s">
        <v>54</v>
      </c>
      <c r="AS22" t="s">
        <v>54</v>
      </c>
      <c r="AT22">
        <v>7057</v>
      </c>
      <c r="AU22" t="s">
        <v>55</v>
      </c>
    </row>
    <row r="23" spans="1:47" x14ac:dyDescent="0.25">
      <c r="A23" t="s">
        <v>81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105</v>
      </c>
      <c r="G23" s="3" t="s">
        <v>94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106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145</v>
      </c>
      <c r="W23" t="s">
        <v>107</v>
      </c>
      <c r="X23" s="4">
        <v>0</v>
      </c>
      <c r="Y23" t="s">
        <v>62</v>
      </c>
      <c r="Z23" s="3"/>
      <c r="AE23" s="3"/>
      <c r="AK23" s="5"/>
    </row>
    <row r="24" spans="1:47" x14ac:dyDescent="0.25">
      <c r="A24" t="s">
        <v>63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54</v>
      </c>
      <c r="I24" s="3" t="s">
        <v>59</v>
      </c>
      <c r="K24" s="3" t="s">
        <v>73</v>
      </c>
      <c r="L24" t="s">
        <v>73</v>
      </c>
      <c r="M24" s="3">
        <v>46031.342152777775</v>
      </c>
      <c r="Q24" t="s">
        <v>54</v>
      </c>
      <c r="R24">
        <v>0</v>
      </c>
      <c r="T24" t="s">
        <v>54</v>
      </c>
      <c r="U24" t="s">
        <v>54</v>
      </c>
      <c r="V24">
        <v>8632</v>
      </c>
      <c r="W24" t="s">
        <v>55</v>
      </c>
      <c r="X24" s="4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108</v>
      </c>
      <c r="G25" s="3" t="s">
        <v>109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84</v>
      </c>
      <c r="O25" t="s">
        <v>53</v>
      </c>
      <c r="P25" t="s">
        <v>53</v>
      </c>
      <c r="Q25" t="s">
        <v>53</v>
      </c>
      <c r="R25" t="s">
        <v>54</v>
      </c>
      <c r="S25" t="s">
        <v>54</v>
      </c>
      <c r="T25" t="s">
        <v>55</v>
      </c>
      <c r="U25">
        <v>9</v>
      </c>
      <c r="V25" t="s">
        <v>56</v>
      </c>
      <c r="W25" t="s">
        <v>110</v>
      </c>
      <c r="X25" s="4">
        <v>0</v>
      </c>
      <c r="Y25" t="s">
        <v>58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54</v>
      </c>
      <c r="AG25" t="s">
        <v>59</v>
      </c>
      <c r="AI25" t="s">
        <v>92</v>
      </c>
      <c r="AJ25" t="s">
        <v>92</v>
      </c>
      <c r="AK25" s="5">
        <v>46030.667002314818</v>
      </c>
      <c r="AO25" t="s">
        <v>54</v>
      </c>
      <c r="AP25">
        <v>0</v>
      </c>
      <c r="AR25" t="s">
        <v>54</v>
      </c>
      <c r="AS25" t="s">
        <v>54</v>
      </c>
      <c r="AT25">
        <v>3124</v>
      </c>
      <c r="AU25" t="s">
        <v>55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111</v>
      </c>
      <c r="G26" t="s">
        <v>69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95</v>
      </c>
      <c r="X26" s="4">
        <v>0</v>
      </c>
      <c r="Y26" t="s">
        <v>58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54</v>
      </c>
      <c r="AG26" t="s">
        <v>59</v>
      </c>
      <c r="AI26" t="s">
        <v>60</v>
      </c>
      <c r="AJ26" t="s">
        <v>60</v>
      </c>
      <c r="AK26" s="5">
        <v>46030.933159722219</v>
      </c>
      <c r="AO26" t="s">
        <v>54</v>
      </c>
      <c r="AP26">
        <v>0</v>
      </c>
      <c r="AR26" t="s">
        <v>54</v>
      </c>
      <c r="AS26" t="s">
        <v>54</v>
      </c>
      <c r="AT26">
        <v>1877</v>
      </c>
      <c r="AU26" t="s">
        <v>55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112</v>
      </c>
      <c r="G27" s="3" t="s">
        <v>113</v>
      </c>
      <c r="H27">
        <v>870</v>
      </c>
      <c r="I27">
        <v>870</v>
      </c>
      <c r="J27">
        <v>0</v>
      </c>
      <c r="K27">
        <v>870</v>
      </c>
      <c r="L27">
        <v>143.4</v>
      </c>
      <c r="M27" s="3">
        <v>55.93</v>
      </c>
      <c r="N27" t="s">
        <v>52</v>
      </c>
      <c r="O27" t="s">
        <v>53</v>
      </c>
      <c r="P27" t="s">
        <v>53</v>
      </c>
      <c r="Q27" t="s">
        <v>53</v>
      </c>
      <c r="R27" t="s">
        <v>54</v>
      </c>
      <c r="S27" t="s">
        <v>54</v>
      </c>
      <c r="T27" t="s">
        <v>55</v>
      </c>
      <c r="U27">
        <v>126</v>
      </c>
      <c r="V27" t="s">
        <v>56</v>
      </c>
      <c r="W27" t="s">
        <v>114</v>
      </c>
      <c r="X27" s="4">
        <v>0</v>
      </c>
      <c r="Y27" t="s">
        <v>58</v>
      </c>
      <c r="Z27">
        <v>143.4</v>
      </c>
      <c r="AA27">
        <v>0</v>
      </c>
      <c r="AB27">
        <v>0</v>
      </c>
      <c r="AC27">
        <v>0</v>
      </c>
      <c r="AD27">
        <v>0</v>
      </c>
      <c r="AE27">
        <v>600</v>
      </c>
      <c r="AF27" t="s">
        <v>54</v>
      </c>
      <c r="AG27" t="s">
        <v>59</v>
      </c>
      <c r="AH27" t="s">
        <v>115</v>
      </c>
      <c r="AI27" t="s">
        <v>60</v>
      </c>
      <c r="AJ27" t="s">
        <v>60</v>
      </c>
      <c r="AK27" s="5">
        <v>46030.999918981484</v>
      </c>
      <c r="AO27" t="s">
        <v>54</v>
      </c>
      <c r="AP27">
        <v>0</v>
      </c>
      <c r="AR27" t="s">
        <v>54</v>
      </c>
      <c r="AS27" t="s">
        <v>54</v>
      </c>
      <c r="AT27">
        <v>4089</v>
      </c>
      <c r="AU27" t="s">
        <v>55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93</v>
      </c>
      <c r="G28" t="s">
        <v>94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84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9</v>
      </c>
      <c r="V28" t="s">
        <v>71</v>
      </c>
      <c r="W28" t="s">
        <v>95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54</v>
      </c>
      <c r="I29" s="3" t="s">
        <v>59</v>
      </c>
      <c r="K29" s="3" t="s">
        <v>73</v>
      </c>
      <c r="L29" t="s">
        <v>73</v>
      </c>
      <c r="M29" s="3">
        <v>46034.353900462964</v>
      </c>
      <c r="Q29" t="s">
        <v>54</v>
      </c>
      <c r="R29">
        <v>0</v>
      </c>
      <c r="T29" t="s">
        <v>54</v>
      </c>
      <c r="U29" t="s">
        <v>54</v>
      </c>
      <c r="V29">
        <v>924</v>
      </c>
      <c r="W29" t="s">
        <v>55</v>
      </c>
      <c r="X29" s="4"/>
    </row>
    <row r="30" spans="1:47" x14ac:dyDescent="0.25">
      <c r="A30" t="s">
        <v>81</v>
      </c>
      <c r="B30" s="1">
        <v>38414</v>
      </c>
      <c r="C30" t="s">
        <v>48</v>
      </c>
      <c r="D30" t="s">
        <v>49</v>
      </c>
      <c r="E30" s="2">
        <v>46031</v>
      </c>
      <c r="F30" t="s">
        <v>116</v>
      </c>
      <c r="G30" t="s">
        <v>66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84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9</v>
      </c>
      <c r="W30" t="s">
        <v>117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54</v>
      </c>
      <c r="I31" s="3" t="s">
        <v>59</v>
      </c>
      <c r="K31" s="3" t="s">
        <v>73</v>
      </c>
      <c r="L31" t="s">
        <v>73</v>
      </c>
      <c r="M31" s="3">
        <v>46031.577048611114</v>
      </c>
      <c r="Q31" t="s">
        <v>54</v>
      </c>
      <c r="R31">
        <v>0</v>
      </c>
      <c r="T31" t="s">
        <v>54</v>
      </c>
      <c r="U31" t="s">
        <v>54</v>
      </c>
      <c r="V31">
        <v>8826</v>
      </c>
      <c r="W31" t="s">
        <v>55</v>
      </c>
      <c r="X31" s="4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118</v>
      </c>
      <c r="G32" s="3" t="s">
        <v>119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77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83</v>
      </c>
      <c r="W32" t="s">
        <v>85</v>
      </c>
      <c r="X32" s="4">
        <v>0</v>
      </c>
      <c r="Y32" t="s">
        <v>58</v>
      </c>
      <c r="Z32" s="3">
        <v>0</v>
      </c>
      <c r="AA32">
        <v>0</v>
      </c>
      <c r="AB32">
        <v>261.13</v>
      </c>
      <c r="AC32">
        <v>0</v>
      </c>
      <c r="AD32">
        <v>0</v>
      </c>
      <c r="AE32" s="3">
        <v>125</v>
      </c>
      <c r="AF32" t="s">
        <v>54</v>
      </c>
      <c r="AG32" t="s">
        <v>59</v>
      </c>
      <c r="AI32" t="s">
        <v>80</v>
      </c>
      <c r="AJ32" t="s">
        <v>73</v>
      </c>
      <c r="AK32" s="5">
        <v>46031.623749999999</v>
      </c>
      <c r="AO32" t="s">
        <v>54</v>
      </c>
      <c r="AP32">
        <v>0</v>
      </c>
      <c r="AR32" t="s">
        <v>54</v>
      </c>
      <c r="AS32" t="s">
        <v>54</v>
      </c>
      <c r="AT32">
        <v>4900</v>
      </c>
      <c r="AU32" t="s">
        <v>55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118</v>
      </c>
      <c r="G33" t="s">
        <v>119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77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83</v>
      </c>
      <c r="W33" t="s">
        <v>85</v>
      </c>
      <c r="X33" s="4">
        <v>0</v>
      </c>
      <c r="Y33" t="s">
        <v>58</v>
      </c>
      <c r="Z33" s="3">
        <v>0</v>
      </c>
      <c r="AA33">
        <v>0</v>
      </c>
      <c r="AB33">
        <v>261.13</v>
      </c>
      <c r="AC33">
        <v>0</v>
      </c>
      <c r="AD33">
        <v>0</v>
      </c>
      <c r="AE33" s="3">
        <v>125</v>
      </c>
      <c r="AF33" t="s">
        <v>54</v>
      </c>
      <c r="AG33" t="s">
        <v>59</v>
      </c>
      <c r="AI33" t="s">
        <v>80</v>
      </c>
      <c r="AJ33" t="s">
        <v>73</v>
      </c>
      <c r="AK33" s="5">
        <v>46031.623969907407</v>
      </c>
      <c r="AO33" t="s">
        <v>54</v>
      </c>
      <c r="AP33">
        <v>0</v>
      </c>
      <c r="AR33" t="s">
        <v>54</v>
      </c>
      <c r="AS33" t="s">
        <v>54</v>
      </c>
      <c r="AT33">
        <v>4900</v>
      </c>
      <c r="AU33" t="s">
        <v>55</v>
      </c>
    </row>
    <row r="34" spans="1:47" x14ac:dyDescent="0.25">
      <c r="A34" t="s">
        <v>96</v>
      </c>
      <c r="B34" s="1">
        <v>38417</v>
      </c>
      <c r="C34" t="s">
        <v>48</v>
      </c>
      <c r="D34" t="s">
        <v>49</v>
      </c>
      <c r="E34" s="2">
        <v>46031</v>
      </c>
      <c r="F34" t="s">
        <v>120</v>
      </c>
      <c r="G34" t="s">
        <v>69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121</v>
      </c>
      <c r="W34" t="s">
        <v>122</v>
      </c>
      <c r="X34" s="4">
        <v>0</v>
      </c>
      <c r="Y34" t="s">
        <v>58</v>
      </c>
      <c r="Z34" s="3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54</v>
      </c>
      <c r="AG34" t="s">
        <v>59</v>
      </c>
      <c r="AH34" t="s">
        <v>79</v>
      </c>
      <c r="AI34" t="s">
        <v>80</v>
      </c>
      <c r="AJ34" t="s">
        <v>73</v>
      </c>
      <c r="AK34" s="5">
        <v>46031.642685185187</v>
      </c>
      <c r="AO34" t="s">
        <v>54</v>
      </c>
      <c r="AP34">
        <v>0</v>
      </c>
      <c r="AR34" t="s">
        <v>54</v>
      </c>
      <c r="AS34" t="s">
        <v>54</v>
      </c>
      <c r="AT34">
        <v>6081</v>
      </c>
      <c r="AU34" t="s">
        <v>55</v>
      </c>
    </row>
    <row r="35" spans="1:47" x14ac:dyDescent="0.25">
      <c r="A35" t="s">
        <v>96</v>
      </c>
      <c r="B35" s="1">
        <v>38418</v>
      </c>
      <c r="C35" t="s">
        <v>48</v>
      </c>
      <c r="D35" t="s">
        <v>49</v>
      </c>
      <c r="E35" s="2">
        <v>46031</v>
      </c>
      <c r="F35" s="3" t="s">
        <v>120</v>
      </c>
      <c r="G35" s="3" t="s">
        <v>69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77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83</v>
      </c>
      <c r="V35" t="s">
        <v>121</v>
      </c>
      <c r="W35" t="s">
        <v>122</v>
      </c>
      <c r="X35" s="4">
        <v>0</v>
      </c>
      <c r="Y35" t="s">
        <v>58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54</v>
      </c>
      <c r="AG35" t="s">
        <v>59</v>
      </c>
      <c r="AH35" t="s">
        <v>79</v>
      </c>
      <c r="AI35" t="s">
        <v>80</v>
      </c>
      <c r="AJ35" t="s">
        <v>73</v>
      </c>
      <c r="AK35" s="5">
        <v>46031.644004629627</v>
      </c>
      <c r="AO35" t="s">
        <v>54</v>
      </c>
      <c r="AP35">
        <v>0</v>
      </c>
      <c r="AR35" t="s">
        <v>54</v>
      </c>
      <c r="AS35" t="s">
        <v>54</v>
      </c>
      <c r="AT35">
        <v>6081</v>
      </c>
      <c r="AU35" t="s">
        <v>55</v>
      </c>
    </row>
    <row r="36" spans="1:47" x14ac:dyDescent="0.25">
      <c r="A36" t="s">
        <v>96</v>
      </c>
      <c r="B36" s="1">
        <v>38420</v>
      </c>
      <c r="C36" t="s">
        <v>48</v>
      </c>
      <c r="D36" s="3" t="s">
        <v>49</v>
      </c>
      <c r="E36" s="2">
        <v>46031</v>
      </c>
      <c r="F36" t="s">
        <v>120</v>
      </c>
      <c r="G36" s="3" t="s">
        <v>69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77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83</v>
      </c>
      <c r="V36" t="s">
        <v>121</v>
      </c>
      <c r="W36" t="s">
        <v>122</v>
      </c>
      <c r="X36" s="4">
        <v>0</v>
      </c>
      <c r="Y36" t="s">
        <v>58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54</v>
      </c>
      <c r="AG36" t="s">
        <v>59</v>
      </c>
      <c r="AH36" t="s">
        <v>79</v>
      </c>
      <c r="AI36" t="s">
        <v>73</v>
      </c>
      <c r="AJ36" t="s">
        <v>73</v>
      </c>
      <c r="AK36" s="5">
        <v>46031.644270833334</v>
      </c>
      <c r="AO36" t="s">
        <v>54</v>
      </c>
      <c r="AP36">
        <v>0</v>
      </c>
      <c r="AR36" t="s">
        <v>54</v>
      </c>
      <c r="AS36" t="s">
        <v>54</v>
      </c>
      <c r="AT36">
        <v>6081</v>
      </c>
      <c r="AU36" t="s">
        <v>55</v>
      </c>
    </row>
    <row r="37" spans="1:47" x14ac:dyDescent="0.25">
      <c r="A37" t="s">
        <v>96</v>
      </c>
      <c r="B37" s="1">
        <v>38421</v>
      </c>
      <c r="C37" t="s">
        <v>48</v>
      </c>
      <c r="D37" t="s">
        <v>49</v>
      </c>
      <c r="E37" s="2">
        <v>46031</v>
      </c>
      <c r="F37" s="3" t="s">
        <v>120</v>
      </c>
      <c r="G37" s="3" t="s">
        <v>69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77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83</v>
      </c>
      <c r="V37" t="s">
        <v>121</v>
      </c>
      <c r="W37" t="s">
        <v>122</v>
      </c>
      <c r="X37" s="4">
        <v>0</v>
      </c>
      <c r="Y37" t="s">
        <v>58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54</v>
      </c>
      <c r="AG37" t="s">
        <v>59</v>
      </c>
      <c r="AH37" t="s">
        <v>79</v>
      </c>
      <c r="AI37" t="s">
        <v>73</v>
      </c>
      <c r="AJ37" t="s">
        <v>73</v>
      </c>
      <c r="AK37" s="5">
        <v>46031.644467592596</v>
      </c>
      <c r="AO37" t="s">
        <v>54</v>
      </c>
      <c r="AP37">
        <v>0</v>
      </c>
      <c r="AR37" t="s">
        <v>54</v>
      </c>
      <c r="AS37" t="s">
        <v>54</v>
      </c>
      <c r="AT37">
        <v>6081</v>
      </c>
      <c r="AU37" t="s">
        <v>55</v>
      </c>
    </row>
    <row r="38" spans="1:47" x14ac:dyDescent="0.25">
      <c r="A38" t="s">
        <v>96</v>
      </c>
      <c r="B38" s="1">
        <v>38422</v>
      </c>
      <c r="C38" t="s">
        <v>48</v>
      </c>
      <c r="D38" s="3" t="s">
        <v>49</v>
      </c>
      <c r="E38" s="2">
        <v>46031</v>
      </c>
      <c r="F38" t="s">
        <v>120</v>
      </c>
      <c r="G38" s="3" t="s">
        <v>69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77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83</v>
      </c>
      <c r="V38" t="s">
        <v>121</v>
      </c>
      <c r="W38" t="s">
        <v>122</v>
      </c>
      <c r="X38" s="4">
        <v>0</v>
      </c>
      <c r="Y38" t="s">
        <v>58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54</v>
      </c>
      <c r="AG38" t="s">
        <v>59</v>
      </c>
      <c r="AH38" t="s">
        <v>79</v>
      </c>
      <c r="AI38" t="s">
        <v>73</v>
      </c>
      <c r="AJ38" t="s">
        <v>73</v>
      </c>
      <c r="AK38" s="5">
        <v>46031.644791666666</v>
      </c>
      <c r="AO38" t="s">
        <v>54</v>
      </c>
      <c r="AP38">
        <v>0</v>
      </c>
      <c r="AR38" t="s">
        <v>54</v>
      </c>
      <c r="AS38" t="s">
        <v>54</v>
      </c>
      <c r="AT38">
        <v>6081</v>
      </c>
      <c r="AU38" t="s">
        <v>55</v>
      </c>
    </row>
    <row r="39" spans="1:47" x14ac:dyDescent="0.25">
      <c r="A39" t="s">
        <v>96</v>
      </c>
      <c r="B39" s="1">
        <v>38423</v>
      </c>
      <c r="C39" t="s">
        <v>48</v>
      </c>
      <c r="D39" t="s">
        <v>49</v>
      </c>
      <c r="E39" s="2">
        <v>46031</v>
      </c>
      <c r="F39" t="s">
        <v>120</v>
      </c>
      <c r="G39" t="s">
        <v>69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77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83</v>
      </c>
      <c r="V39" t="s">
        <v>121</v>
      </c>
      <c r="W39" t="s">
        <v>122</v>
      </c>
      <c r="X39" s="4">
        <v>0</v>
      </c>
      <c r="Y39" t="s">
        <v>58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54</v>
      </c>
      <c r="AG39" t="s">
        <v>59</v>
      </c>
      <c r="AH39" t="s">
        <v>79</v>
      </c>
      <c r="AI39" t="s">
        <v>73</v>
      </c>
      <c r="AJ39" t="s">
        <v>73</v>
      </c>
      <c r="AK39" s="5">
        <v>46031.644618055558</v>
      </c>
      <c r="AO39" t="s">
        <v>54</v>
      </c>
      <c r="AP39">
        <v>0</v>
      </c>
      <c r="AR39" t="s">
        <v>54</v>
      </c>
      <c r="AS39" t="s">
        <v>54</v>
      </c>
      <c r="AT39">
        <v>6081</v>
      </c>
      <c r="AU39" t="s">
        <v>55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123</v>
      </c>
      <c r="G40" t="s">
        <v>124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126</v>
      </c>
      <c r="V40" t="s">
        <v>56</v>
      </c>
      <c r="W40" t="s">
        <v>95</v>
      </c>
      <c r="X40" s="4">
        <v>0</v>
      </c>
      <c r="Y40" t="s">
        <v>58</v>
      </c>
      <c r="Z40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54</v>
      </c>
      <c r="AG40" t="s">
        <v>59</v>
      </c>
      <c r="AI40" t="s">
        <v>60</v>
      </c>
      <c r="AJ40" t="s">
        <v>60</v>
      </c>
      <c r="AK40" s="5">
        <v>46031.674016203702</v>
      </c>
      <c r="AO40" t="s">
        <v>54</v>
      </c>
      <c r="AP40">
        <v>0</v>
      </c>
      <c r="AR40" t="s">
        <v>54</v>
      </c>
      <c r="AS40" t="s">
        <v>54</v>
      </c>
      <c r="AT40">
        <v>8466</v>
      </c>
      <c r="AU40" t="s">
        <v>55</v>
      </c>
    </row>
    <row r="41" spans="1:47" x14ac:dyDescent="0.25">
      <c r="A41" t="s">
        <v>96</v>
      </c>
      <c r="B41" s="1">
        <v>38427</v>
      </c>
      <c r="C41" t="s">
        <v>48</v>
      </c>
      <c r="D41" t="s">
        <v>49</v>
      </c>
      <c r="E41" s="2">
        <v>46034</v>
      </c>
      <c r="F41" t="s">
        <v>125</v>
      </c>
      <c r="G41" s="3" t="s">
        <v>66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126</v>
      </c>
      <c r="V41" t="s">
        <v>56</v>
      </c>
      <c r="W41" t="s">
        <v>72</v>
      </c>
      <c r="X41" s="4">
        <v>0</v>
      </c>
      <c r="Y41" t="s">
        <v>58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54</v>
      </c>
      <c r="AG41" t="s">
        <v>59</v>
      </c>
      <c r="AI41" t="s">
        <v>60</v>
      </c>
      <c r="AJ41" t="s">
        <v>73</v>
      </c>
      <c r="AK41" s="5">
        <v>46034.643159722225</v>
      </c>
      <c r="AO41" t="s">
        <v>54</v>
      </c>
      <c r="AP41">
        <v>0</v>
      </c>
      <c r="AR41" t="s">
        <v>54</v>
      </c>
      <c r="AS41" t="s">
        <v>54</v>
      </c>
      <c r="AT41">
        <v>5443</v>
      </c>
      <c r="AU41" t="s">
        <v>55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126</v>
      </c>
      <c r="G42" s="3" t="s">
        <v>89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84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9</v>
      </c>
      <c r="V42" t="s">
        <v>71</v>
      </c>
      <c r="W42" t="s">
        <v>95</v>
      </c>
      <c r="X42" s="4">
        <v>0</v>
      </c>
      <c r="Y42" t="s">
        <v>58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54</v>
      </c>
      <c r="AG42" t="s">
        <v>59</v>
      </c>
      <c r="AI42" t="s">
        <v>73</v>
      </c>
      <c r="AJ42" t="s">
        <v>73</v>
      </c>
      <c r="AK42" s="5">
        <v>46035.417569444442</v>
      </c>
      <c r="AO42" t="s">
        <v>54</v>
      </c>
      <c r="AP42">
        <v>0</v>
      </c>
      <c r="AR42" t="s">
        <v>54</v>
      </c>
      <c r="AS42" t="s">
        <v>54</v>
      </c>
      <c r="AT42">
        <v>3204</v>
      </c>
      <c r="AU42" t="s">
        <v>55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126</v>
      </c>
      <c r="G43" t="s">
        <v>89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84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9</v>
      </c>
      <c r="V43" t="s">
        <v>71</v>
      </c>
      <c r="W43" t="s">
        <v>95</v>
      </c>
      <c r="X43" s="4">
        <v>0</v>
      </c>
      <c r="Y43" t="s">
        <v>58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54</v>
      </c>
      <c r="AG43" t="s">
        <v>59</v>
      </c>
      <c r="AI43" t="s">
        <v>73</v>
      </c>
      <c r="AJ43" t="s">
        <v>73</v>
      </c>
      <c r="AK43" s="5">
        <v>46035.417627314811</v>
      </c>
      <c r="AO43" t="s">
        <v>54</v>
      </c>
      <c r="AP43">
        <v>0</v>
      </c>
      <c r="AR43" t="s">
        <v>54</v>
      </c>
      <c r="AS43" t="s">
        <v>54</v>
      </c>
      <c r="AT43">
        <v>3204</v>
      </c>
      <c r="AU43" t="s">
        <v>55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126</v>
      </c>
      <c r="G44" s="3" t="s">
        <v>89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95</v>
      </c>
      <c r="X44" s="4">
        <v>0</v>
      </c>
      <c r="Y44" t="s">
        <v>58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54</v>
      </c>
      <c r="AG44" t="s">
        <v>59</v>
      </c>
      <c r="AI44" t="s">
        <v>73</v>
      </c>
      <c r="AJ44" t="s">
        <v>73</v>
      </c>
      <c r="AK44" s="5">
        <v>46035.460555555554</v>
      </c>
      <c r="AO44" t="s">
        <v>54</v>
      </c>
      <c r="AP44">
        <v>0</v>
      </c>
      <c r="AR44" t="s">
        <v>54</v>
      </c>
      <c r="AS44" t="s">
        <v>54</v>
      </c>
      <c r="AT44">
        <v>3204</v>
      </c>
      <c r="AU44" t="s">
        <v>55</v>
      </c>
    </row>
    <row r="45" spans="1:47" x14ac:dyDescent="0.25">
      <c r="A45" t="s">
        <v>96</v>
      </c>
      <c r="B45" s="1">
        <v>38431</v>
      </c>
      <c r="C45" t="s">
        <v>48</v>
      </c>
      <c r="D45" t="s">
        <v>49</v>
      </c>
      <c r="E45" s="2">
        <v>46035</v>
      </c>
      <c r="F45" t="s">
        <v>127</v>
      </c>
      <c r="G45" t="s">
        <v>109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84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9</v>
      </c>
      <c r="V45" t="s">
        <v>71</v>
      </c>
      <c r="W45" t="s">
        <v>114</v>
      </c>
      <c r="X45" s="4">
        <v>0</v>
      </c>
      <c r="Y45" t="s">
        <v>62</v>
      </c>
      <c r="Z45" s="3"/>
      <c r="AB45" s="3"/>
      <c r="AE45" s="3"/>
      <c r="AK45" s="5"/>
    </row>
    <row r="46" spans="1:47" x14ac:dyDescent="0.25">
      <c r="A46" t="s">
        <v>63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54</v>
      </c>
      <c r="I46" s="3" t="s">
        <v>59</v>
      </c>
      <c r="J46" t="s">
        <v>128</v>
      </c>
      <c r="K46" s="3" t="s">
        <v>73</v>
      </c>
      <c r="L46" s="3" t="s">
        <v>73</v>
      </c>
      <c r="M46" s="3">
        <v>46035.491793981484</v>
      </c>
      <c r="Q46" t="s">
        <v>54</v>
      </c>
      <c r="R46">
        <v>0</v>
      </c>
      <c r="T46" t="s">
        <v>54</v>
      </c>
      <c r="U46" t="s">
        <v>54</v>
      </c>
      <c r="V46">
        <v>4963</v>
      </c>
      <c r="W46" t="s">
        <v>55</v>
      </c>
      <c r="X46" s="4"/>
      <c r="Z46" s="3"/>
      <c r="AB46" s="3"/>
      <c r="AE46" s="3"/>
      <c r="AK46" s="5"/>
    </row>
    <row r="47" spans="1:47" x14ac:dyDescent="0.25">
      <c r="A47" t="s">
        <v>96</v>
      </c>
      <c r="B47" s="1">
        <v>38432</v>
      </c>
      <c r="C47" t="s">
        <v>48</v>
      </c>
      <c r="D47" t="s">
        <v>49</v>
      </c>
      <c r="E47" s="2">
        <v>46035</v>
      </c>
      <c r="F47" t="s">
        <v>127</v>
      </c>
      <c r="G47" s="3" t="s">
        <v>109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84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9</v>
      </c>
      <c r="V47" t="s">
        <v>71</v>
      </c>
      <c r="W47" t="s">
        <v>114</v>
      </c>
      <c r="X47" s="4">
        <v>0</v>
      </c>
      <c r="Y47" t="s">
        <v>62</v>
      </c>
      <c r="AB47" s="3"/>
      <c r="AK47" s="5"/>
    </row>
    <row r="48" spans="1:47" x14ac:dyDescent="0.25">
      <c r="A48" t="s">
        <v>63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54</v>
      </c>
      <c r="I48" s="3" t="s">
        <v>59</v>
      </c>
      <c r="J48" t="s">
        <v>128</v>
      </c>
      <c r="K48" s="3" t="s">
        <v>73</v>
      </c>
      <c r="L48" s="3" t="s">
        <v>73</v>
      </c>
      <c r="M48" s="3">
        <v>46035.490428240744</v>
      </c>
      <c r="Q48" t="s">
        <v>54</v>
      </c>
      <c r="R48">
        <v>0</v>
      </c>
      <c r="T48" t="s">
        <v>54</v>
      </c>
      <c r="U48" t="s">
        <v>54</v>
      </c>
      <c r="V48">
        <v>4963</v>
      </c>
      <c r="W48" t="s">
        <v>55</v>
      </c>
      <c r="X48" s="4"/>
      <c r="AK48" s="5"/>
    </row>
    <row r="49" spans="1:47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129</v>
      </c>
      <c r="G49" s="3" t="s">
        <v>130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52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126</v>
      </c>
      <c r="V49" t="s">
        <v>56</v>
      </c>
      <c r="W49" t="s">
        <v>131</v>
      </c>
      <c r="X49" s="4">
        <v>0</v>
      </c>
      <c r="Y49" t="s">
        <v>62</v>
      </c>
      <c r="AB49" s="3"/>
      <c r="AE49" s="3"/>
      <c r="AK49" s="5"/>
    </row>
    <row r="50" spans="1:47" x14ac:dyDescent="0.25">
      <c r="A50" t="s">
        <v>63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54</v>
      </c>
      <c r="I50" s="3" t="s">
        <v>59</v>
      </c>
      <c r="K50" s="3" t="s">
        <v>73</v>
      </c>
      <c r="L50" s="3" t="s">
        <v>73</v>
      </c>
      <c r="M50" s="3">
        <v>46035.629131944443</v>
      </c>
      <c r="Q50" t="s">
        <v>54</v>
      </c>
      <c r="R50">
        <v>0</v>
      </c>
      <c r="T50" t="s">
        <v>54</v>
      </c>
      <c r="U50" t="s">
        <v>54</v>
      </c>
      <c r="V50">
        <v>6379</v>
      </c>
      <c r="W50" t="s">
        <v>55</v>
      </c>
      <c r="X50" s="4"/>
      <c r="AB50" s="3"/>
      <c r="AE50" s="3"/>
      <c r="AK50" s="5"/>
    </row>
    <row r="51" spans="1:47" x14ac:dyDescent="0.25">
      <c r="A51" t="s">
        <v>81</v>
      </c>
      <c r="B51" s="1">
        <v>38434</v>
      </c>
      <c r="C51" t="s">
        <v>48</v>
      </c>
      <c r="D51" t="s">
        <v>49</v>
      </c>
      <c r="E51" s="2">
        <v>46035</v>
      </c>
      <c r="F51" t="s">
        <v>132</v>
      </c>
      <c r="G51" s="3" t="s">
        <v>87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V51" t="s">
        <v>56</v>
      </c>
      <c r="W51">
        <v>0</v>
      </c>
      <c r="X51" s="4">
        <v>0</v>
      </c>
      <c r="Y51" t="s">
        <v>58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54</v>
      </c>
      <c r="AG51" t="s">
        <v>59</v>
      </c>
      <c r="AI51" t="s">
        <v>80</v>
      </c>
      <c r="AJ51" t="s">
        <v>73</v>
      </c>
      <c r="AK51" s="5">
        <v>46035.724131944444</v>
      </c>
      <c r="AO51" t="s">
        <v>54</v>
      </c>
      <c r="AP51">
        <v>0</v>
      </c>
      <c r="AR51" t="s">
        <v>54</v>
      </c>
      <c r="AS51" t="s">
        <v>54</v>
      </c>
      <c r="AT51">
        <v>5289</v>
      </c>
      <c r="AU51" t="s">
        <v>55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133</v>
      </c>
      <c r="G52" t="s">
        <v>89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52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126</v>
      </c>
      <c r="V52" t="s">
        <v>56</v>
      </c>
      <c r="W52" t="s">
        <v>134</v>
      </c>
      <c r="X52" s="4">
        <v>0</v>
      </c>
      <c r="Y52" t="s">
        <v>58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54</v>
      </c>
      <c r="AG52" t="s">
        <v>59</v>
      </c>
      <c r="AI52" t="s">
        <v>60</v>
      </c>
      <c r="AJ52" t="s">
        <v>60</v>
      </c>
      <c r="AK52" s="5">
        <v>46035.861909722225</v>
      </c>
      <c r="AO52" t="s">
        <v>54</v>
      </c>
      <c r="AP52">
        <v>0</v>
      </c>
      <c r="AR52" t="s">
        <v>54</v>
      </c>
      <c r="AS52" t="s">
        <v>54</v>
      </c>
      <c r="AT52">
        <v>6130</v>
      </c>
      <c r="AU52" t="s">
        <v>55</v>
      </c>
    </row>
    <row r="53" spans="1:47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50</v>
      </c>
      <c r="G53" s="3" t="s">
        <v>51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52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126</v>
      </c>
      <c r="V53" t="s">
        <v>56</v>
      </c>
      <c r="W53" t="s">
        <v>57</v>
      </c>
      <c r="X53" s="4">
        <v>0</v>
      </c>
      <c r="Y53" t="s">
        <v>58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54</v>
      </c>
      <c r="AG53" t="s">
        <v>59</v>
      </c>
      <c r="AI53" t="s">
        <v>92</v>
      </c>
      <c r="AJ53" t="s">
        <v>73</v>
      </c>
      <c r="AK53" s="5">
        <v>46036.454861111109</v>
      </c>
      <c r="AO53" t="s">
        <v>54</v>
      </c>
      <c r="AP53">
        <v>0</v>
      </c>
      <c r="AR53" t="s">
        <v>54</v>
      </c>
      <c r="AS53" t="s">
        <v>54</v>
      </c>
      <c r="AT53">
        <v>6611</v>
      </c>
      <c r="AU53" t="s">
        <v>55</v>
      </c>
    </row>
    <row r="54" spans="1:47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t="s">
        <v>135</v>
      </c>
      <c r="G54" t="s">
        <v>94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117</v>
      </c>
      <c r="X54" s="4">
        <v>0</v>
      </c>
      <c r="Y54" t="s">
        <v>62</v>
      </c>
      <c r="Z54" s="3"/>
      <c r="AE54" s="3"/>
      <c r="AK54" s="5"/>
    </row>
    <row r="55" spans="1:47" x14ac:dyDescent="0.25">
      <c r="A55" t="s">
        <v>63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54</v>
      </c>
      <c r="I55" s="3" t="s">
        <v>59</v>
      </c>
      <c r="K55" s="3" t="s">
        <v>73</v>
      </c>
      <c r="L55" s="3" t="s">
        <v>73</v>
      </c>
      <c r="M55" s="3">
        <v>46037.328819444447</v>
      </c>
      <c r="Q55" t="s">
        <v>54</v>
      </c>
      <c r="R55">
        <v>0</v>
      </c>
      <c r="T55" t="s">
        <v>54</v>
      </c>
      <c r="U55" t="s">
        <v>54</v>
      </c>
      <c r="V55">
        <v>3366</v>
      </c>
      <c r="W55" t="s">
        <v>55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101</v>
      </c>
      <c r="G56" s="3" t="s">
        <v>94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84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9</v>
      </c>
      <c r="V56" t="s">
        <v>71</v>
      </c>
      <c r="W56" t="s">
        <v>102</v>
      </c>
      <c r="X56" s="4">
        <v>0</v>
      </c>
      <c r="Y56" t="s">
        <v>58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54</v>
      </c>
      <c r="AG56" t="s">
        <v>59</v>
      </c>
      <c r="AH56" t="s">
        <v>103</v>
      </c>
      <c r="AI56" t="s">
        <v>92</v>
      </c>
      <c r="AJ56" t="s">
        <v>92</v>
      </c>
      <c r="AK56" s="5">
        <v>46037.309687499997</v>
      </c>
      <c r="AO56" t="s">
        <v>54</v>
      </c>
      <c r="AP56">
        <v>0</v>
      </c>
      <c r="AR56" t="s">
        <v>54</v>
      </c>
      <c r="AS56" t="s">
        <v>54</v>
      </c>
      <c r="AT56">
        <v>161</v>
      </c>
      <c r="AU56" t="s">
        <v>55</v>
      </c>
    </row>
    <row r="57" spans="1:47" x14ac:dyDescent="0.25">
      <c r="A57" t="s">
        <v>136</v>
      </c>
      <c r="B57" s="1">
        <v>38439</v>
      </c>
      <c r="C57" t="s">
        <v>48</v>
      </c>
      <c r="D57" t="s">
        <v>49</v>
      </c>
      <c r="E57" s="2">
        <v>46037</v>
      </c>
      <c r="F57" t="s">
        <v>207</v>
      </c>
      <c r="G57" s="3" t="s">
        <v>137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52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126</v>
      </c>
      <c r="V57" t="s">
        <v>56</v>
      </c>
      <c r="W57" t="s">
        <v>114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4892</v>
      </c>
      <c r="C58">
        <v>0</v>
      </c>
      <c r="D58">
        <v>0</v>
      </c>
      <c r="E58" s="2">
        <v>0</v>
      </c>
      <c r="F58" s="3">
        <v>0</v>
      </c>
      <c r="G58" s="3">
        <v>3000</v>
      </c>
      <c r="H58" s="3" t="s">
        <v>54</v>
      </c>
      <c r="I58" s="3" t="s">
        <v>59</v>
      </c>
      <c r="J58" t="s">
        <v>171</v>
      </c>
      <c r="K58" s="3" t="s">
        <v>60</v>
      </c>
      <c r="L58" s="3" t="s">
        <v>60</v>
      </c>
      <c r="M58" s="3">
        <v>46037.491076388891</v>
      </c>
      <c r="Q58" t="s">
        <v>54</v>
      </c>
      <c r="R58">
        <v>0</v>
      </c>
      <c r="T58" t="s">
        <v>54</v>
      </c>
      <c r="U58" t="s">
        <v>54</v>
      </c>
      <c r="V58">
        <v>8571</v>
      </c>
      <c r="W58" t="s">
        <v>55</v>
      </c>
      <c r="X58" s="4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138</v>
      </c>
      <c r="G59" s="3" t="s">
        <v>89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52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126</v>
      </c>
      <c r="V59" t="s">
        <v>56</v>
      </c>
      <c r="W59" t="s">
        <v>95</v>
      </c>
      <c r="X59" s="4">
        <v>0</v>
      </c>
      <c r="Y59" t="s">
        <v>58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54</v>
      </c>
      <c r="AG59" t="s">
        <v>59</v>
      </c>
      <c r="AI59" t="s">
        <v>73</v>
      </c>
      <c r="AJ59" t="s">
        <v>73</v>
      </c>
      <c r="AK59" s="5">
        <v>46037.576493055552</v>
      </c>
      <c r="AO59" t="s">
        <v>54</v>
      </c>
      <c r="AP59">
        <v>0</v>
      </c>
      <c r="AR59" t="s">
        <v>54</v>
      </c>
      <c r="AS59" t="s">
        <v>54</v>
      </c>
      <c r="AT59">
        <v>7224</v>
      </c>
      <c r="AU59" t="s">
        <v>55</v>
      </c>
    </row>
    <row r="60" spans="1:47" x14ac:dyDescent="0.25">
      <c r="A60" t="s">
        <v>81</v>
      </c>
      <c r="B60" s="1">
        <v>38442</v>
      </c>
      <c r="C60" t="s">
        <v>48</v>
      </c>
      <c r="D60" t="s">
        <v>49</v>
      </c>
      <c r="E60" s="2">
        <v>46037</v>
      </c>
      <c r="F60" t="s">
        <v>139</v>
      </c>
      <c r="G60" t="s">
        <v>140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77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83</v>
      </c>
      <c r="W60" t="s">
        <v>72</v>
      </c>
      <c r="X60" s="4">
        <v>0</v>
      </c>
      <c r="Y60" t="s">
        <v>58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54</v>
      </c>
      <c r="AG60" t="s">
        <v>59</v>
      </c>
      <c r="AH60" t="s">
        <v>103</v>
      </c>
      <c r="AI60" t="s">
        <v>80</v>
      </c>
      <c r="AJ60" t="s">
        <v>73</v>
      </c>
      <c r="AK60" s="5">
        <v>46038.333622685182</v>
      </c>
      <c r="AO60" t="s">
        <v>54</v>
      </c>
      <c r="AP60">
        <v>0</v>
      </c>
      <c r="AR60" t="s">
        <v>54</v>
      </c>
      <c r="AS60" t="s">
        <v>54</v>
      </c>
      <c r="AT60">
        <v>3465</v>
      </c>
      <c r="AU60" t="s">
        <v>55</v>
      </c>
    </row>
    <row r="61" spans="1:47" x14ac:dyDescent="0.25">
      <c r="A61" t="s">
        <v>96</v>
      </c>
      <c r="B61" s="1">
        <v>38443</v>
      </c>
      <c r="C61" t="s">
        <v>48</v>
      </c>
      <c r="D61" s="3" t="s">
        <v>49</v>
      </c>
      <c r="E61" s="2">
        <v>46037</v>
      </c>
      <c r="F61" t="s">
        <v>141</v>
      </c>
      <c r="G61" s="3" t="s">
        <v>94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106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145</v>
      </c>
      <c r="W61" t="s">
        <v>142</v>
      </c>
      <c r="X61" s="4">
        <v>0</v>
      </c>
      <c r="Y61" t="s">
        <v>62</v>
      </c>
      <c r="Z61" s="3"/>
      <c r="AE61" s="3"/>
      <c r="AK61" s="5"/>
    </row>
    <row r="62" spans="1:47" x14ac:dyDescent="0.25">
      <c r="A62" t="s">
        <v>63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54</v>
      </c>
      <c r="I62" s="3" t="s">
        <v>59</v>
      </c>
      <c r="J62" t="s">
        <v>143</v>
      </c>
      <c r="K62" s="3" t="s">
        <v>73</v>
      </c>
      <c r="L62" s="3" t="s">
        <v>73</v>
      </c>
      <c r="M62" s="3">
        <v>46037.664467592593</v>
      </c>
      <c r="Q62" t="s">
        <v>54</v>
      </c>
      <c r="R62">
        <v>0</v>
      </c>
      <c r="T62" t="s">
        <v>54</v>
      </c>
      <c r="U62" t="s">
        <v>54</v>
      </c>
      <c r="V62">
        <v>8241</v>
      </c>
      <c r="W62" t="s">
        <v>55</v>
      </c>
      <c r="X62" s="4"/>
      <c r="AB62" s="3"/>
      <c r="AD62" s="3"/>
      <c r="AE62" s="3"/>
      <c r="AK62" s="5"/>
    </row>
    <row r="63" spans="1:47" x14ac:dyDescent="0.25">
      <c r="A63" t="s">
        <v>96</v>
      </c>
      <c r="B63" s="1">
        <v>38444</v>
      </c>
      <c r="C63" t="s">
        <v>48</v>
      </c>
      <c r="D63" s="3" t="s">
        <v>49</v>
      </c>
      <c r="E63" s="2">
        <v>46037</v>
      </c>
      <c r="F63" t="s">
        <v>144</v>
      </c>
      <c r="G63" s="3" t="s">
        <v>66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106</v>
      </c>
      <c r="O63" t="s">
        <v>53</v>
      </c>
      <c r="P63" t="s">
        <v>53</v>
      </c>
      <c r="Q63" t="s">
        <v>53</v>
      </c>
      <c r="R63" t="s">
        <v>54</v>
      </c>
      <c r="S63" t="s">
        <v>54</v>
      </c>
      <c r="T63" t="s">
        <v>55</v>
      </c>
      <c r="U63">
        <v>145</v>
      </c>
      <c r="V63" t="s">
        <v>145</v>
      </c>
      <c r="W63" t="s">
        <v>146</v>
      </c>
      <c r="X63" s="4">
        <v>0</v>
      </c>
      <c r="Y63" t="s">
        <v>58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54</v>
      </c>
      <c r="AG63" t="s">
        <v>59</v>
      </c>
      <c r="AI63" t="s">
        <v>73</v>
      </c>
      <c r="AJ63" t="s">
        <v>73</v>
      </c>
      <c r="AK63" s="5">
        <v>46037.702175925922</v>
      </c>
      <c r="AO63" t="s">
        <v>54</v>
      </c>
      <c r="AP63">
        <v>0</v>
      </c>
      <c r="AR63" t="s">
        <v>54</v>
      </c>
      <c r="AS63" t="s">
        <v>54</v>
      </c>
      <c r="AT63">
        <v>1301</v>
      </c>
      <c r="AU63" t="s">
        <v>55</v>
      </c>
    </row>
    <row r="64" spans="1:47" x14ac:dyDescent="0.25">
      <c r="A64" t="s">
        <v>96</v>
      </c>
      <c r="B64" s="1">
        <v>38445</v>
      </c>
      <c r="C64" t="s">
        <v>48</v>
      </c>
      <c r="D64" t="s">
        <v>49</v>
      </c>
      <c r="E64" s="2">
        <v>46037</v>
      </c>
      <c r="F64" t="s">
        <v>144</v>
      </c>
      <c r="G64" t="s">
        <v>66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V64" t="s">
        <v>145</v>
      </c>
      <c r="W64" t="s">
        <v>146</v>
      </c>
      <c r="X64" s="4">
        <v>0</v>
      </c>
      <c r="Y64" t="s">
        <v>58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54</v>
      </c>
      <c r="AG64" t="s">
        <v>59</v>
      </c>
      <c r="AI64" t="s">
        <v>73</v>
      </c>
      <c r="AJ64" t="s">
        <v>73</v>
      </c>
      <c r="AK64" s="5">
        <v>46037.702291666668</v>
      </c>
      <c r="AO64" t="s">
        <v>54</v>
      </c>
      <c r="AP64">
        <v>0</v>
      </c>
      <c r="AR64" t="s">
        <v>54</v>
      </c>
      <c r="AS64" t="s">
        <v>54</v>
      </c>
      <c r="AT64">
        <v>1301</v>
      </c>
      <c r="AU64" t="s">
        <v>55</v>
      </c>
    </row>
    <row r="65" spans="1:47" x14ac:dyDescent="0.25">
      <c r="A65" t="s">
        <v>81</v>
      </c>
      <c r="B65" s="1">
        <v>38446</v>
      </c>
      <c r="C65" t="s">
        <v>48</v>
      </c>
      <c r="D65" s="3" t="s">
        <v>49</v>
      </c>
      <c r="E65" s="2">
        <v>46037</v>
      </c>
      <c r="F65" t="s">
        <v>144</v>
      </c>
      <c r="G65" s="3" t="s">
        <v>66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106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145</v>
      </c>
      <c r="V65" t="s">
        <v>145</v>
      </c>
      <c r="W65" t="s">
        <v>146</v>
      </c>
      <c r="X65" s="4">
        <v>0</v>
      </c>
      <c r="Y65" t="s">
        <v>58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54</v>
      </c>
      <c r="AG65" t="s">
        <v>59</v>
      </c>
      <c r="AI65" t="s">
        <v>73</v>
      </c>
      <c r="AJ65" t="s">
        <v>73</v>
      </c>
      <c r="AK65" s="5">
        <v>46037.702465277776</v>
      </c>
      <c r="AO65" t="s">
        <v>54</v>
      </c>
      <c r="AP65">
        <v>0</v>
      </c>
      <c r="AR65" t="s">
        <v>54</v>
      </c>
      <c r="AS65" t="s">
        <v>54</v>
      </c>
      <c r="AT65">
        <v>1301</v>
      </c>
      <c r="AU65" t="s">
        <v>55</v>
      </c>
    </row>
    <row r="66" spans="1:47" x14ac:dyDescent="0.25">
      <c r="A66" t="s">
        <v>81</v>
      </c>
      <c r="B66" s="1">
        <v>38447</v>
      </c>
      <c r="C66" t="s">
        <v>48</v>
      </c>
      <c r="D66" t="s">
        <v>49</v>
      </c>
      <c r="E66" s="2">
        <v>46037</v>
      </c>
      <c r="F66" t="s">
        <v>144</v>
      </c>
      <c r="G66" s="3" t="s">
        <v>66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V66" t="s">
        <v>145</v>
      </c>
      <c r="W66" t="s">
        <v>146</v>
      </c>
      <c r="X66" s="4">
        <v>0</v>
      </c>
      <c r="Y66" t="s">
        <v>58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54</v>
      </c>
      <c r="AG66" t="s">
        <v>59</v>
      </c>
      <c r="AI66" t="s">
        <v>73</v>
      </c>
      <c r="AJ66" t="s">
        <v>73</v>
      </c>
      <c r="AK66" s="5">
        <v>46037.702615740738</v>
      </c>
      <c r="AO66" t="s">
        <v>54</v>
      </c>
      <c r="AP66">
        <v>0</v>
      </c>
      <c r="AR66" t="s">
        <v>54</v>
      </c>
      <c r="AS66" t="s">
        <v>54</v>
      </c>
      <c r="AT66">
        <v>1301</v>
      </c>
      <c r="AU66" t="s">
        <v>55</v>
      </c>
    </row>
    <row r="67" spans="1:47" x14ac:dyDescent="0.25">
      <c r="A67" t="s">
        <v>81</v>
      </c>
      <c r="B67" s="1">
        <v>38448</v>
      </c>
      <c r="C67" t="s">
        <v>48</v>
      </c>
      <c r="D67" s="3" t="s">
        <v>49</v>
      </c>
      <c r="E67" s="2">
        <v>46037</v>
      </c>
      <c r="F67" t="s">
        <v>144</v>
      </c>
      <c r="G67" s="3" t="s">
        <v>66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145</v>
      </c>
      <c r="W67" t="s">
        <v>146</v>
      </c>
      <c r="X67" s="4">
        <v>0</v>
      </c>
      <c r="Y67" t="s">
        <v>58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54</v>
      </c>
      <c r="AG67" t="s">
        <v>59</v>
      </c>
      <c r="AI67" t="s">
        <v>73</v>
      </c>
      <c r="AJ67" t="s">
        <v>73</v>
      </c>
      <c r="AK67" s="5">
        <v>46037.702766203707</v>
      </c>
      <c r="AO67" t="s">
        <v>54</v>
      </c>
      <c r="AP67">
        <v>0</v>
      </c>
      <c r="AR67" t="s">
        <v>54</v>
      </c>
      <c r="AS67" t="s">
        <v>54</v>
      </c>
      <c r="AT67">
        <v>1301</v>
      </c>
      <c r="AU67" t="s">
        <v>55</v>
      </c>
    </row>
    <row r="68" spans="1:47" x14ac:dyDescent="0.25">
      <c r="A68" t="s">
        <v>81</v>
      </c>
      <c r="B68" s="1">
        <v>38449</v>
      </c>
      <c r="C68" t="s">
        <v>48</v>
      </c>
      <c r="D68" t="s">
        <v>49</v>
      </c>
      <c r="E68" s="2">
        <v>46037</v>
      </c>
      <c r="F68" t="s">
        <v>144</v>
      </c>
      <c r="G68" s="3" t="s">
        <v>66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106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145</v>
      </c>
      <c r="V68" t="s">
        <v>145</v>
      </c>
      <c r="W68" t="s">
        <v>146</v>
      </c>
      <c r="X68" s="4">
        <v>0</v>
      </c>
      <c r="Y68" t="s">
        <v>58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54</v>
      </c>
      <c r="AG68" t="s">
        <v>59</v>
      </c>
      <c r="AI68" t="s">
        <v>73</v>
      </c>
      <c r="AJ68" t="s">
        <v>73</v>
      </c>
      <c r="AK68" s="5">
        <v>46037.702893518515</v>
      </c>
      <c r="AO68" t="s">
        <v>54</v>
      </c>
      <c r="AP68">
        <v>0</v>
      </c>
      <c r="AR68" t="s">
        <v>54</v>
      </c>
      <c r="AS68" t="s">
        <v>54</v>
      </c>
      <c r="AT68">
        <v>1301</v>
      </c>
      <c r="AU68" t="s">
        <v>55</v>
      </c>
    </row>
    <row r="69" spans="1:47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88</v>
      </c>
      <c r="G69" t="s">
        <v>89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90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54</v>
      </c>
      <c r="I70" s="3" t="s">
        <v>91</v>
      </c>
      <c r="K70" s="3" t="s">
        <v>73</v>
      </c>
      <c r="L70" s="3" t="s">
        <v>73</v>
      </c>
      <c r="M70" s="3">
        <v>46041.431597222225</v>
      </c>
      <c r="Q70" t="s">
        <v>54</v>
      </c>
      <c r="R70">
        <v>0</v>
      </c>
      <c r="T70" t="s">
        <v>54</v>
      </c>
      <c r="U70" t="s">
        <v>54</v>
      </c>
      <c r="V70">
        <v>2291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t="s">
        <v>49</v>
      </c>
      <c r="E71" s="2">
        <v>46038</v>
      </c>
      <c r="F71" s="3" t="s">
        <v>147</v>
      </c>
      <c r="G71" s="3" t="s">
        <v>89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52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126</v>
      </c>
      <c r="V71" t="s">
        <v>56</v>
      </c>
      <c r="W71" t="s">
        <v>95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54</v>
      </c>
      <c r="I72" s="3" t="s">
        <v>59</v>
      </c>
      <c r="J72" t="s">
        <v>148</v>
      </c>
      <c r="K72" s="3" t="s">
        <v>60</v>
      </c>
      <c r="L72" s="3" t="s">
        <v>60</v>
      </c>
      <c r="M72" s="3">
        <v>46038.656400462962</v>
      </c>
      <c r="Q72" t="s">
        <v>54</v>
      </c>
      <c r="R72">
        <v>0</v>
      </c>
      <c r="T72" t="s">
        <v>54</v>
      </c>
      <c r="U72" t="s">
        <v>54</v>
      </c>
      <c r="V72">
        <v>8478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147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148</v>
      </c>
      <c r="K74" s="3" t="s">
        <v>60</v>
      </c>
      <c r="L74" s="3" t="s">
        <v>60</v>
      </c>
      <c r="M74" s="3">
        <v>46038.658368055556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t="s">
        <v>49</v>
      </c>
      <c r="E75" s="2">
        <v>46038</v>
      </c>
      <c r="F75" t="s">
        <v>147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148</v>
      </c>
      <c r="K76" s="3" t="s">
        <v>60</v>
      </c>
      <c r="L76" s="3" t="s">
        <v>60</v>
      </c>
      <c r="M76" s="3">
        <v>46038.659675925926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t="s">
        <v>49</v>
      </c>
      <c r="E77" s="2">
        <v>46038</v>
      </c>
      <c r="F77" s="3" t="s">
        <v>147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148</v>
      </c>
      <c r="K78" s="3" t="s">
        <v>60</v>
      </c>
      <c r="L78" s="3" t="s">
        <v>60</v>
      </c>
      <c r="M78" s="3">
        <v>46038.661157407405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x14ac:dyDescent="0.25">
      <c r="A79" t="s">
        <v>96</v>
      </c>
      <c r="B79" s="1">
        <v>38455</v>
      </c>
      <c r="C79" t="s">
        <v>48</v>
      </c>
      <c r="D79" t="s">
        <v>49</v>
      </c>
      <c r="E79" s="2">
        <v>46041</v>
      </c>
      <c r="F79" s="3" t="s">
        <v>141</v>
      </c>
      <c r="G79" s="3" t="s">
        <v>94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106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145</v>
      </c>
      <c r="W79" t="s">
        <v>142</v>
      </c>
      <c r="X79" s="4">
        <v>0</v>
      </c>
      <c r="Y79" t="s">
        <v>62</v>
      </c>
      <c r="AB79" s="3"/>
      <c r="AD79" s="3"/>
      <c r="AE79" s="3"/>
      <c r="AK79" s="5"/>
    </row>
    <row r="80" spans="1:47" x14ac:dyDescent="0.25">
      <c r="A80" t="s">
        <v>63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54</v>
      </c>
      <c r="I80" s="3" t="s">
        <v>59</v>
      </c>
      <c r="J80" t="s">
        <v>143</v>
      </c>
      <c r="K80" s="3" t="s">
        <v>73</v>
      </c>
      <c r="L80" s="3" t="s">
        <v>73</v>
      </c>
      <c r="M80" s="3">
        <v>46041.456805555557</v>
      </c>
      <c r="Q80" t="s">
        <v>54</v>
      </c>
      <c r="R80">
        <v>0</v>
      </c>
      <c r="T80" t="s">
        <v>54</v>
      </c>
      <c r="U80" t="s">
        <v>54</v>
      </c>
      <c r="V80">
        <v>8241</v>
      </c>
      <c r="W80" t="s">
        <v>55</v>
      </c>
      <c r="X80" s="4"/>
      <c r="Z80" s="3"/>
      <c r="AD80" s="3"/>
      <c r="AE80" s="3"/>
      <c r="AK80" s="5"/>
    </row>
    <row r="81" spans="1:47" x14ac:dyDescent="0.25">
      <c r="A81" t="s">
        <v>96</v>
      </c>
      <c r="B81" s="1">
        <v>38456</v>
      </c>
      <c r="C81" t="s">
        <v>48</v>
      </c>
      <c r="D81" t="s">
        <v>49</v>
      </c>
      <c r="E81" s="2">
        <v>46041</v>
      </c>
      <c r="F81" t="s">
        <v>141</v>
      </c>
      <c r="G81" s="3" t="s">
        <v>94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106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145</v>
      </c>
      <c r="W81" t="s">
        <v>142</v>
      </c>
      <c r="X81" s="4">
        <v>0</v>
      </c>
      <c r="Y81" t="s">
        <v>62</v>
      </c>
      <c r="AB81" s="3"/>
      <c r="AD81" s="3"/>
      <c r="AE81" s="3"/>
      <c r="AK81" s="5"/>
    </row>
    <row r="82" spans="1:47" x14ac:dyDescent="0.25">
      <c r="A82" t="s">
        <v>63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54</v>
      </c>
      <c r="I82" s="3" t="s">
        <v>59</v>
      </c>
      <c r="J82" t="s">
        <v>143</v>
      </c>
      <c r="K82" s="3" t="s">
        <v>73</v>
      </c>
      <c r="L82" s="3" t="s">
        <v>73</v>
      </c>
      <c r="M82" s="3">
        <v>46041.456990740742</v>
      </c>
      <c r="Q82" t="s">
        <v>54</v>
      </c>
      <c r="R82">
        <v>0</v>
      </c>
      <c r="T82" t="s">
        <v>54</v>
      </c>
      <c r="U82" t="s">
        <v>54</v>
      </c>
      <c r="V82">
        <v>8241</v>
      </c>
      <c r="W82" t="s">
        <v>55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149</v>
      </c>
      <c r="G83" s="3" t="s">
        <v>66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84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9</v>
      </c>
      <c r="V83" t="s">
        <v>71</v>
      </c>
      <c r="W83" t="s">
        <v>57</v>
      </c>
      <c r="X83" s="4">
        <v>0</v>
      </c>
      <c r="Y83" t="s">
        <v>58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54</v>
      </c>
      <c r="AG83" t="s">
        <v>59</v>
      </c>
      <c r="AI83" t="s">
        <v>73</v>
      </c>
      <c r="AJ83" t="s">
        <v>73</v>
      </c>
      <c r="AK83" s="5">
        <v>46041.456504629627</v>
      </c>
      <c r="AO83" t="s">
        <v>54</v>
      </c>
      <c r="AP83">
        <v>0</v>
      </c>
      <c r="AR83" t="s">
        <v>54</v>
      </c>
      <c r="AS83" t="s">
        <v>54</v>
      </c>
      <c r="AT83">
        <v>1009</v>
      </c>
      <c r="AU83" t="s">
        <v>55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149</v>
      </c>
      <c r="G84" t="s">
        <v>66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84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9</v>
      </c>
      <c r="V84" t="s">
        <v>71</v>
      </c>
      <c r="W84" t="s">
        <v>57</v>
      </c>
      <c r="X84" s="4">
        <v>0</v>
      </c>
      <c r="Y84" t="s">
        <v>58</v>
      </c>
      <c r="Z84">
        <v>83.4</v>
      </c>
      <c r="AA84">
        <v>0</v>
      </c>
      <c r="AB84">
        <v>0</v>
      </c>
      <c r="AC84">
        <v>0</v>
      </c>
      <c r="AD84">
        <v>0</v>
      </c>
      <c r="AE84">
        <v>300</v>
      </c>
      <c r="AF84" t="s">
        <v>54</v>
      </c>
      <c r="AG84" t="s">
        <v>59</v>
      </c>
      <c r="AI84" t="s">
        <v>73</v>
      </c>
      <c r="AJ84" t="s">
        <v>73</v>
      </c>
      <c r="AK84" s="5">
        <v>46041.456585648149</v>
      </c>
      <c r="AO84" t="s">
        <v>54</v>
      </c>
      <c r="AP84">
        <v>0</v>
      </c>
      <c r="AR84" t="s">
        <v>54</v>
      </c>
      <c r="AS84" t="s">
        <v>54</v>
      </c>
      <c r="AT84">
        <v>1009</v>
      </c>
      <c r="AU84" t="s">
        <v>55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68</v>
      </c>
      <c r="G85" t="s">
        <v>69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70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76</v>
      </c>
      <c r="V85" t="s">
        <v>71</v>
      </c>
      <c r="W85" t="s">
        <v>72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46041.456666666665</v>
      </c>
      <c r="Q86" t="s">
        <v>54</v>
      </c>
      <c r="R86">
        <v>0</v>
      </c>
      <c r="T86" t="s">
        <v>54</v>
      </c>
      <c r="U86" t="s">
        <v>54</v>
      </c>
      <c r="V86">
        <v>139</v>
      </c>
      <c r="W86" t="s">
        <v>55</v>
      </c>
      <c r="X86" s="4"/>
      <c r="AK86" s="5"/>
    </row>
    <row r="87" spans="1:47" x14ac:dyDescent="0.25">
      <c r="A87" t="s">
        <v>96</v>
      </c>
      <c r="B87" s="1">
        <v>38461</v>
      </c>
      <c r="C87" t="s">
        <v>48</v>
      </c>
      <c r="D87" t="s">
        <v>49</v>
      </c>
      <c r="E87" s="2">
        <v>46041</v>
      </c>
      <c r="F87" t="s">
        <v>150</v>
      </c>
      <c r="G87" s="3" t="s">
        <v>151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126</v>
      </c>
      <c r="V87" t="s">
        <v>56</v>
      </c>
      <c r="W87" t="s">
        <v>152</v>
      </c>
      <c r="X87" s="4">
        <v>0</v>
      </c>
      <c r="Y87" t="s">
        <v>58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54</v>
      </c>
      <c r="AG87" t="s">
        <v>59</v>
      </c>
      <c r="AI87" t="s">
        <v>73</v>
      </c>
      <c r="AJ87" t="s">
        <v>73</v>
      </c>
      <c r="AK87" s="5">
        <v>46041.482766203706</v>
      </c>
      <c r="AO87" t="s">
        <v>54</v>
      </c>
      <c r="AP87">
        <v>0</v>
      </c>
      <c r="AR87" t="s">
        <v>54</v>
      </c>
      <c r="AS87" t="s">
        <v>54</v>
      </c>
      <c r="AT87">
        <v>4340</v>
      </c>
      <c r="AU87" t="s">
        <v>55</v>
      </c>
    </row>
    <row r="88" spans="1:47" x14ac:dyDescent="0.25">
      <c r="A88" t="s">
        <v>96</v>
      </c>
      <c r="B88" s="1">
        <v>38463</v>
      </c>
      <c r="C88" t="s">
        <v>48</v>
      </c>
      <c r="D88" t="s">
        <v>49</v>
      </c>
      <c r="E88" s="2">
        <v>46042</v>
      </c>
      <c r="F88" t="s">
        <v>153</v>
      </c>
      <c r="G88" t="s">
        <v>66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52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126</v>
      </c>
      <c r="V88" t="s">
        <v>56</v>
      </c>
      <c r="W88" t="s">
        <v>95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54</v>
      </c>
      <c r="AG88" t="s">
        <v>59</v>
      </c>
      <c r="AI88" t="s">
        <v>73</v>
      </c>
      <c r="AJ88" t="s">
        <v>92</v>
      </c>
      <c r="AK88" s="5">
        <v>46042.607210648152</v>
      </c>
      <c r="AO88" t="s">
        <v>54</v>
      </c>
      <c r="AP88">
        <v>0</v>
      </c>
      <c r="AR88" t="s">
        <v>54</v>
      </c>
      <c r="AS88" t="s">
        <v>54</v>
      </c>
      <c r="AT88">
        <v>7472</v>
      </c>
      <c r="AU88" t="s">
        <v>55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112</v>
      </c>
      <c r="G89" s="3" t="s">
        <v>113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52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126</v>
      </c>
      <c r="V89" t="s">
        <v>56</v>
      </c>
      <c r="W89" t="s">
        <v>78</v>
      </c>
      <c r="X89" s="4">
        <v>0</v>
      </c>
      <c r="Y89" t="s">
        <v>58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54</v>
      </c>
      <c r="AG89" t="s">
        <v>59</v>
      </c>
      <c r="AH89" t="s">
        <v>115</v>
      </c>
      <c r="AI89" t="s">
        <v>92</v>
      </c>
      <c r="AJ89" t="s">
        <v>92</v>
      </c>
      <c r="AK89" s="5">
        <v>46042.608483796299</v>
      </c>
      <c r="AO89" t="s">
        <v>54</v>
      </c>
      <c r="AP89">
        <v>0</v>
      </c>
      <c r="AR89" t="s">
        <v>54</v>
      </c>
      <c r="AS89" t="s">
        <v>54</v>
      </c>
      <c r="AT89">
        <v>4089</v>
      </c>
      <c r="AU89" t="s">
        <v>55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154</v>
      </c>
      <c r="G90" t="s">
        <v>89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145</v>
      </c>
      <c r="W90" t="s">
        <v>85</v>
      </c>
      <c r="X90" s="4">
        <v>0</v>
      </c>
      <c r="Y90" t="s">
        <v>62</v>
      </c>
      <c r="AD90" s="3"/>
      <c r="AE90" s="3"/>
      <c r="AK90" s="5"/>
    </row>
    <row r="91" spans="1:47" x14ac:dyDescent="0.25">
      <c r="A91" t="s">
        <v>63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54</v>
      </c>
      <c r="I91" s="3" t="s">
        <v>59</v>
      </c>
      <c r="J91" t="s">
        <v>148</v>
      </c>
      <c r="K91" s="3" t="s">
        <v>73</v>
      </c>
      <c r="L91" s="3" t="s">
        <v>73</v>
      </c>
      <c r="M91" s="3">
        <v>46042.694409722222</v>
      </c>
      <c r="Q91" t="s">
        <v>54</v>
      </c>
      <c r="R91">
        <v>0</v>
      </c>
      <c r="T91" t="s">
        <v>54</v>
      </c>
      <c r="U91" t="s">
        <v>54</v>
      </c>
      <c r="V91">
        <v>7814</v>
      </c>
      <c r="W91" t="s">
        <v>55</v>
      </c>
      <c r="X91" s="4"/>
      <c r="AD91" s="3"/>
      <c r="AE91" s="3"/>
      <c r="AK91" s="5"/>
    </row>
    <row r="92" spans="1:47" x14ac:dyDescent="0.25">
      <c r="A92" t="s">
        <v>96</v>
      </c>
      <c r="B92" s="1">
        <v>38466</v>
      </c>
      <c r="C92" t="s">
        <v>48</v>
      </c>
      <c r="D92" s="3" t="s">
        <v>49</v>
      </c>
      <c r="E92" s="2">
        <v>46043</v>
      </c>
      <c r="F92" t="s">
        <v>207</v>
      </c>
      <c r="G92" s="3" t="s">
        <v>137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126</v>
      </c>
      <c r="V92" t="s">
        <v>56</v>
      </c>
      <c r="W92">
        <v>0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54</v>
      </c>
      <c r="I93" s="3" t="s">
        <v>59</v>
      </c>
      <c r="J93" t="s">
        <v>171</v>
      </c>
      <c r="K93" s="3" t="s">
        <v>92</v>
      </c>
      <c r="L93" s="3" t="s">
        <v>92</v>
      </c>
      <c r="M93" s="3">
        <v>46043.400405092594</v>
      </c>
      <c r="Q93" t="s">
        <v>54</v>
      </c>
      <c r="R93">
        <v>0</v>
      </c>
      <c r="T93" t="s">
        <v>54</v>
      </c>
      <c r="U93" t="s">
        <v>54</v>
      </c>
      <c r="V93">
        <v>8571</v>
      </c>
      <c r="W93" t="s">
        <v>55</v>
      </c>
      <c r="X93" s="4"/>
      <c r="AD93" s="3"/>
      <c r="AE93" s="3"/>
      <c r="AK93" s="5"/>
    </row>
    <row r="94" spans="1:47" x14ac:dyDescent="0.25">
      <c r="A94" t="s">
        <v>96</v>
      </c>
      <c r="B94" s="3">
        <v>38469</v>
      </c>
      <c r="C94" t="s">
        <v>48</v>
      </c>
      <c r="D94" t="s">
        <v>49</v>
      </c>
      <c r="E94" s="2">
        <v>46044</v>
      </c>
      <c r="F94" t="s">
        <v>155</v>
      </c>
      <c r="G94" s="3" t="s">
        <v>156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98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167</v>
      </c>
      <c r="V94" t="s">
        <v>99</v>
      </c>
      <c r="W94" t="s">
        <v>134</v>
      </c>
      <c r="X94" s="4">
        <v>0</v>
      </c>
      <c r="Y94" t="s">
        <v>58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54</v>
      </c>
      <c r="AG94" t="s">
        <v>59</v>
      </c>
      <c r="AI94" t="s">
        <v>73</v>
      </c>
      <c r="AJ94" t="s">
        <v>73</v>
      </c>
      <c r="AK94" s="5">
        <v>46044.595682870371</v>
      </c>
      <c r="AO94" t="s">
        <v>54</v>
      </c>
      <c r="AP94">
        <v>0</v>
      </c>
      <c r="AR94" t="s">
        <v>54</v>
      </c>
      <c r="AS94" t="s">
        <v>54</v>
      </c>
      <c r="AT94">
        <v>8561</v>
      </c>
      <c r="AU94" t="s">
        <v>55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157</v>
      </c>
      <c r="G95" t="s">
        <v>158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52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126</v>
      </c>
      <c r="V95" t="s">
        <v>56</v>
      </c>
      <c r="W95" t="s">
        <v>114</v>
      </c>
      <c r="X95" s="4">
        <v>0</v>
      </c>
      <c r="Y95" t="s">
        <v>62</v>
      </c>
      <c r="AD95" s="3"/>
      <c r="AE95" s="3"/>
      <c r="AK95" s="5"/>
    </row>
    <row r="96" spans="1:47" x14ac:dyDescent="0.25">
      <c r="A96" t="s">
        <v>63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54</v>
      </c>
      <c r="I96" s="3" t="s">
        <v>59</v>
      </c>
      <c r="J96" t="s">
        <v>159</v>
      </c>
      <c r="K96" s="3" t="s">
        <v>60</v>
      </c>
      <c r="L96" s="3" t="s">
        <v>60</v>
      </c>
      <c r="M96" s="3">
        <v>46044.665081018517</v>
      </c>
      <c r="Q96" t="s">
        <v>54</v>
      </c>
      <c r="R96">
        <v>0</v>
      </c>
      <c r="T96" t="s">
        <v>54</v>
      </c>
      <c r="U96" t="s">
        <v>54</v>
      </c>
      <c r="V96">
        <v>8595</v>
      </c>
      <c r="W96" t="s">
        <v>55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74</v>
      </c>
      <c r="G97" s="3" t="s">
        <v>51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75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43</v>
      </c>
      <c r="W97" t="s">
        <v>72</v>
      </c>
      <c r="X97" s="4">
        <v>0</v>
      </c>
      <c r="Y97" t="s">
        <v>58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54</v>
      </c>
      <c r="AG97" t="s">
        <v>59</v>
      </c>
      <c r="AI97" t="s">
        <v>73</v>
      </c>
      <c r="AJ97" t="s">
        <v>73</v>
      </c>
      <c r="AK97" s="5">
        <v>46044.708749999998</v>
      </c>
      <c r="AO97" t="s">
        <v>54</v>
      </c>
      <c r="AP97">
        <v>0</v>
      </c>
      <c r="AR97" t="s">
        <v>54</v>
      </c>
      <c r="AS97" t="s">
        <v>54</v>
      </c>
      <c r="AT97">
        <v>8469</v>
      </c>
      <c r="AU97" t="s">
        <v>55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160</v>
      </c>
      <c r="G98" s="3" t="s">
        <v>109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77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83</v>
      </c>
      <c r="W98" t="s">
        <v>161</v>
      </c>
      <c r="X98" s="4">
        <v>0</v>
      </c>
      <c r="Y98" t="s">
        <v>58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54</v>
      </c>
      <c r="AG98" t="s">
        <v>59</v>
      </c>
      <c r="AI98" t="s">
        <v>80</v>
      </c>
      <c r="AJ98" t="s">
        <v>73</v>
      </c>
      <c r="AK98" s="5">
        <v>46045.324247685188</v>
      </c>
      <c r="AO98" t="s">
        <v>54</v>
      </c>
      <c r="AP98">
        <v>0</v>
      </c>
      <c r="AR98" t="s">
        <v>54</v>
      </c>
      <c r="AS98" t="s">
        <v>54</v>
      </c>
      <c r="AT98">
        <v>4386</v>
      </c>
      <c r="AU98" t="s">
        <v>55</v>
      </c>
    </row>
    <row r="99" spans="1:47" x14ac:dyDescent="0.25">
      <c r="A99" t="s">
        <v>81</v>
      </c>
      <c r="B99" s="1">
        <v>38473</v>
      </c>
      <c r="C99" t="s">
        <v>48</v>
      </c>
      <c r="D99" t="s">
        <v>49</v>
      </c>
      <c r="E99" s="2">
        <v>46045</v>
      </c>
      <c r="F99" t="s">
        <v>139</v>
      </c>
      <c r="G99" s="3" t="s">
        <v>140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77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83</v>
      </c>
      <c r="W99" t="s">
        <v>72</v>
      </c>
      <c r="X99" s="4">
        <v>0</v>
      </c>
      <c r="Y99" t="s">
        <v>58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54</v>
      </c>
      <c r="AG99" t="s">
        <v>59</v>
      </c>
      <c r="AH99" t="s">
        <v>103</v>
      </c>
      <c r="AI99" t="s">
        <v>80</v>
      </c>
      <c r="AJ99" t="s">
        <v>73</v>
      </c>
      <c r="AK99" s="5">
        <v>46045.480324074073</v>
      </c>
      <c r="AO99" t="s">
        <v>54</v>
      </c>
      <c r="AP99">
        <v>0</v>
      </c>
      <c r="AR99" t="s">
        <v>54</v>
      </c>
      <c r="AS99" t="s">
        <v>54</v>
      </c>
      <c r="AT99">
        <v>3465</v>
      </c>
      <c r="AU99" t="s">
        <v>55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101</v>
      </c>
      <c r="G100" s="3" t="s">
        <v>94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102</v>
      </c>
      <c r="X100" s="4">
        <v>0</v>
      </c>
      <c r="Y100" t="s">
        <v>58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54</v>
      </c>
      <c r="AG100" t="s">
        <v>59</v>
      </c>
      <c r="AH100" t="s">
        <v>103</v>
      </c>
      <c r="AI100" t="s">
        <v>73</v>
      </c>
      <c r="AJ100" t="s">
        <v>73</v>
      </c>
      <c r="AK100" s="5">
        <v>46045.474953703706</v>
      </c>
      <c r="AO100" t="s">
        <v>54</v>
      </c>
      <c r="AP100">
        <v>0</v>
      </c>
      <c r="AR100" t="s">
        <v>54</v>
      </c>
      <c r="AS100" t="s">
        <v>54</v>
      </c>
      <c r="AT100">
        <v>161</v>
      </c>
      <c r="AU100" t="s">
        <v>55</v>
      </c>
    </row>
    <row r="101" spans="1:47" x14ac:dyDescent="0.25">
      <c r="A101" t="s">
        <v>96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162</v>
      </c>
      <c r="G101" s="3" t="s">
        <v>66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52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126</v>
      </c>
      <c r="V101" t="s">
        <v>56</v>
      </c>
      <c r="W101" t="s">
        <v>163</v>
      </c>
      <c r="X101" s="4">
        <v>0</v>
      </c>
      <c r="Y101" t="s">
        <v>58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54</v>
      </c>
      <c r="AG101" t="s">
        <v>59</v>
      </c>
      <c r="AH101" t="s">
        <v>164</v>
      </c>
      <c r="AI101" t="s">
        <v>60</v>
      </c>
      <c r="AJ101" t="s">
        <v>60</v>
      </c>
      <c r="AK101" s="5">
        <v>46048.431967592594</v>
      </c>
      <c r="AO101" t="s">
        <v>54</v>
      </c>
      <c r="AP101">
        <v>0</v>
      </c>
      <c r="AR101" t="s">
        <v>54</v>
      </c>
      <c r="AS101" t="s">
        <v>54</v>
      </c>
      <c r="AT101">
        <v>5486</v>
      </c>
      <c r="AU101" t="s">
        <v>55</v>
      </c>
    </row>
    <row r="102" spans="1:47" x14ac:dyDescent="0.25">
      <c r="A102" t="s">
        <v>96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165</v>
      </c>
      <c r="G102" s="3" t="s">
        <v>69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52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126</v>
      </c>
      <c r="V102" t="s">
        <v>56</v>
      </c>
      <c r="W102" t="s">
        <v>152</v>
      </c>
      <c r="X102" s="4">
        <v>0</v>
      </c>
      <c r="Y102" t="s">
        <v>58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54</v>
      </c>
      <c r="AG102" t="s">
        <v>59</v>
      </c>
      <c r="AI102" t="s">
        <v>60</v>
      </c>
      <c r="AJ102" t="s">
        <v>60</v>
      </c>
      <c r="AK102" s="5">
        <v>46048.455706018518</v>
      </c>
      <c r="AO102" t="s">
        <v>54</v>
      </c>
      <c r="AP102">
        <v>0</v>
      </c>
      <c r="AR102" t="s">
        <v>54</v>
      </c>
      <c r="AS102" t="s">
        <v>54</v>
      </c>
      <c r="AT102">
        <v>322</v>
      </c>
      <c r="AU102" t="s">
        <v>55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129</v>
      </c>
      <c r="G103" t="s">
        <v>130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52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126</v>
      </c>
      <c r="V103" t="s">
        <v>56</v>
      </c>
      <c r="W103" t="s">
        <v>131</v>
      </c>
      <c r="X103" s="4">
        <v>0</v>
      </c>
      <c r="Y103" t="s">
        <v>62</v>
      </c>
      <c r="AA103" s="3"/>
      <c r="AB103" s="3"/>
      <c r="AE103" s="3"/>
      <c r="AK103" s="5"/>
    </row>
    <row r="104" spans="1:47" x14ac:dyDescent="0.25">
      <c r="A104" t="s">
        <v>63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54</v>
      </c>
      <c r="I104" s="3" t="s">
        <v>59</v>
      </c>
      <c r="K104" s="3" t="s">
        <v>60</v>
      </c>
      <c r="L104" s="3" t="s">
        <v>60</v>
      </c>
      <c r="M104" s="3">
        <v>46048.487233796295</v>
      </c>
      <c r="Q104" t="s">
        <v>54</v>
      </c>
      <c r="R104">
        <v>0</v>
      </c>
      <c r="T104" t="s">
        <v>54</v>
      </c>
      <c r="U104" t="s">
        <v>54</v>
      </c>
      <c r="V104">
        <v>6379</v>
      </c>
      <c r="W104" t="s">
        <v>55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118</v>
      </c>
      <c r="G105" t="s">
        <v>119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77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83</v>
      </c>
      <c r="W105" t="s">
        <v>85</v>
      </c>
      <c r="X105" s="4">
        <v>0</v>
      </c>
      <c r="Y105" t="s">
        <v>58</v>
      </c>
      <c r="Z105" s="3">
        <v>0</v>
      </c>
      <c r="AA105">
        <v>0</v>
      </c>
      <c r="AB105" s="3">
        <v>256.60000000000002</v>
      </c>
      <c r="AC105">
        <v>0</v>
      </c>
      <c r="AD105">
        <v>0</v>
      </c>
      <c r="AE105" s="3">
        <v>200</v>
      </c>
      <c r="AF105" t="s">
        <v>54</v>
      </c>
      <c r="AG105" t="s">
        <v>59</v>
      </c>
      <c r="AI105" t="s">
        <v>80</v>
      </c>
      <c r="AJ105" t="s">
        <v>73</v>
      </c>
      <c r="AK105" s="5">
        <v>46048.551793981482</v>
      </c>
      <c r="AO105" t="s">
        <v>54</v>
      </c>
      <c r="AP105">
        <v>0</v>
      </c>
      <c r="AR105" t="s">
        <v>54</v>
      </c>
      <c r="AS105" t="s">
        <v>54</v>
      </c>
      <c r="AT105">
        <v>4900</v>
      </c>
      <c r="AU105" t="s">
        <v>55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118</v>
      </c>
      <c r="G106" t="s">
        <v>119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77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83</v>
      </c>
      <c r="W106" t="s">
        <v>85</v>
      </c>
      <c r="X106" s="4">
        <v>0</v>
      </c>
      <c r="Y106" t="s">
        <v>58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54</v>
      </c>
      <c r="AG106" t="s">
        <v>59</v>
      </c>
      <c r="AI106" t="s">
        <v>80</v>
      </c>
      <c r="AJ106" t="s">
        <v>73</v>
      </c>
      <c r="AK106" s="5">
        <v>46048.551932870374</v>
      </c>
      <c r="AO106" t="s">
        <v>54</v>
      </c>
      <c r="AP106">
        <v>0</v>
      </c>
      <c r="AR106" t="s">
        <v>54</v>
      </c>
      <c r="AS106" t="s">
        <v>54</v>
      </c>
      <c r="AT106">
        <v>4900</v>
      </c>
      <c r="AU106" t="s">
        <v>55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213</v>
      </c>
      <c r="G107" s="3" t="s">
        <v>137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98</v>
      </c>
      <c r="O107" t="s">
        <v>53</v>
      </c>
      <c r="P107" t="s">
        <v>53</v>
      </c>
      <c r="Q107" t="s">
        <v>53</v>
      </c>
      <c r="R107" t="s">
        <v>54</v>
      </c>
      <c r="S107" t="s">
        <v>54</v>
      </c>
      <c r="T107" t="s">
        <v>55</v>
      </c>
      <c r="U107">
        <v>167</v>
      </c>
      <c r="V107" t="s">
        <v>99</v>
      </c>
      <c r="W107" t="s">
        <v>95</v>
      </c>
      <c r="X107" s="4">
        <v>0</v>
      </c>
      <c r="Y107" t="s">
        <v>62</v>
      </c>
      <c r="AB107" s="3"/>
      <c r="AE107" s="3"/>
      <c r="AK107" s="5"/>
    </row>
    <row r="108" spans="1:47" x14ac:dyDescent="0.25">
      <c r="A108" t="s">
        <v>63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54</v>
      </c>
      <c r="I108" s="3" t="s">
        <v>59</v>
      </c>
      <c r="K108" s="3" t="s">
        <v>73</v>
      </c>
      <c r="L108" s="3" t="s">
        <v>73</v>
      </c>
      <c r="M108" s="3">
        <v>46049.55667824074</v>
      </c>
      <c r="Q108" t="s">
        <v>54</v>
      </c>
      <c r="R108">
        <v>0</v>
      </c>
      <c r="T108" t="s">
        <v>54</v>
      </c>
      <c r="U108" t="s">
        <v>54</v>
      </c>
      <c r="V108">
        <v>8587</v>
      </c>
      <c r="W108" t="s">
        <v>55</v>
      </c>
      <c r="X108" s="4"/>
      <c r="AB108" s="3"/>
      <c r="AE108" s="3"/>
      <c r="AK108" s="5"/>
    </row>
    <row r="109" spans="1:47" x14ac:dyDescent="0.25">
      <c r="A109" t="s">
        <v>96</v>
      </c>
      <c r="B109" s="1">
        <v>38481</v>
      </c>
      <c r="C109" t="s">
        <v>48</v>
      </c>
      <c r="D109" t="s">
        <v>49</v>
      </c>
      <c r="E109" s="2">
        <v>46049</v>
      </c>
      <c r="F109" t="s">
        <v>181</v>
      </c>
      <c r="G109" t="s">
        <v>166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106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145</v>
      </c>
      <c r="V109" t="s">
        <v>99</v>
      </c>
      <c r="W109" t="s">
        <v>152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54</v>
      </c>
      <c r="AG109" t="s">
        <v>59</v>
      </c>
      <c r="AI109" t="s">
        <v>73</v>
      </c>
      <c r="AJ109" t="s">
        <v>73</v>
      </c>
      <c r="AK109" s="5">
        <v>46049.616388888891</v>
      </c>
      <c r="AO109" t="s">
        <v>54</v>
      </c>
      <c r="AP109">
        <v>0</v>
      </c>
      <c r="AR109" t="s">
        <v>54</v>
      </c>
      <c r="AS109" t="s">
        <v>54</v>
      </c>
      <c r="AT109">
        <v>554</v>
      </c>
      <c r="AU109" t="s">
        <v>55</v>
      </c>
    </row>
    <row r="110" spans="1:47" x14ac:dyDescent="0.25">
      <c r="A110" t="s">
        <v>96</v>
      </c>
      <c r="B110" s="1">
        <v>38482</v>
      </c>
      <c r="C110" t="s">
        <v>48</v>
      </c>
      <c r="D110" t="s">
        <v>49</v>
      </c>
      <c r="E110" s="2">
        <v>46049</v>
      </c>
      <c r="F110" t="s">
        <v>181</v>
      </c>
      <c r="G110" t="s">
        <v>166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99</v>
      </c>
      <c r="W110" t="s">
        <v>152</v>
      </c>
      <c r="X110" s="4">
        <v>0</v>
      </c>
      <c r="Y110" t="s">
        <v>58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54</v>
      </c>
      <c r="AG110" t="s">
        <v>59</v>
      </c>
      <c r="AI110" t="s">
        <v>73</v>
      </c>
      <c r="AJ110" t="s">
        <v>73</v>
      </c>
      <c r="AK110" s="5">
        <v>46049.616527777776</v>
      </c>
      <c r="AO110" t="s">
        <v>54</v>
      </c>
      <c r="AP110">
        <v>0</v>
      </c>
      <c r="AR110" t="s">
        <v>54</v>
      </c>
      <c r="AS110" t="s">
        <v>54</v>
      </c>
      <c r="AT110">
        <v>554</v>
      </c>
      <c r="AU110" t="s">
        <v>55</v>
      </c>
    </row>
    <row r="111" spans="1:47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t="s">
        <v>101</v>
      </c>
      <c r="G111" t="s">
        <v>94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102</v>
      </c>
      <c r="X111" s="4">
        <v>0</v>
      </c>
      <c r="Y111" t="s">
        <v>58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54</v>
      </c>
      <c r="AG111" t="s">
        <v>59</v>
      </c>
      <c r="AH111" t="s">
        <v>103</v>
      </c>
      <c r="AI111" t="s">
        <v>92</v>
      </c>
      <c r="AJ111" t="s">
        <v>92</v>
      </c>
      <c r="AK111" s="5">
        <v>46049.618715277778</v>
      </c>
      <c r="AO111" t="s">
        <v>54</v>
      </c>
      <c r="AP111">
        <v>0</v>
      </c>
      <c r="AR111" t="s">
        <v>54</v>
      </c>
      <c r="AS111" t="s">
        <v>54</v>
      </c>
      <c r="AT111">
        <v>161</v>
      </c>
      <c r="AU111" t="s">
        <v>55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191</v>
      </c>
      <c r="G112" t="s">
        <v>66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52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126</v>
      </c>
      <c r="V112" t="s">
        <v>56</v>
      </c>
      <c r="W112" t="s">
        <v>78</v>
      </c>
      <c r="X112" s="4">
        <v>0</v>
      </c>
      <c r="Y112" t="s">
        <v>62</v>
      </c>
      <c r="Z112" s="3"/>
      <c r="AB112" s="3"/>
      <c r="AD112" s="3"/>
      <c r="AE112" s="3"/>
      <c r="AK112" s="5"/>
    </row>
    <row r="113" spans="1:47" x14ac:dyDescent="0.25">
      <c r="A113" t="s">
        <v>63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54</v>
      </c>
      <c r="I113" s="3" t="s">
        <v>59</v>
      </c>
      <c r="J113" t="s">
        <v>164</v>
      </c>
      <c r="K113" s="3" t="s">
        <v>60</v>
      </c>
      <c r="L113" s="3" t="s">
        <v>60</v>
      </c>
      <c r="M113" s="3">
        <v>46050.412604166668</v>
      </c>
      <c r="Q113" t="s">
        <v>54</v>
      </c>
      <c r="R113">
        <v>0</v>
      </c>
      <c r="T113" t="s">
        <v>54</v>
      </c>
      <c r="U113" t="s">
        <v>54</v>
      </c>
      <c r="V113">
        <v>5328</v>
      </c>
      <c r="W113" t="s">
        <v>55</v>
      </c>
      <c r="X113" s="4"/>
      <c r="Z113" s="3"/>
      <c r="AB113" s="3"/>
      <c r="AE113" s="3"/>
      <c r="AK113" s="5"/>
    </row>
    <row r="114" spans="1:47" x14ac:dyDescent="0.25">
      <c r="A114" t="s">
        <v>96</v>
      </c>
      <c r="B114" s="1">
        <v>38485</v>
      </c>
      <c r="C114" t="s">
        <v>48</v>
      </c>
      <c r="D114" t="s">
        <v>49</v>
      </c>
      <c r="E114" s="2">
        <v>46050</v>
      </c>
      <c r="F114" t="s">
        <v>209</v>
      </c>
      <c r="G114" s="3" t="s">
        <v>66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52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126</v>
      </c>
      <c r="V114" t="s">
        <v>56</v>
      </c>
      <c r="W114" t="s">
        <v>72</v>
      </c>
      <c r="X114" s="4">
        <v>0</v>
      </c>
      <c r="Y114" t="s">
        <v>62</v>
      </c>
    </row>
    <row r="115" spans="1:47" x14ac:dyDescent="0.25">
      <c r="A115" t="s">
        <v>63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60</v>
      </c>
      <c r="L115" t="s">
        <v>73</v>
      </c>
      <c r="M115" s="3">
        <v>46050.464699074073</v>
      </c>
      <c r="Q115" t="s">
        <v>54</v>
      </c>
      <c r="R115">
        <v>0</v>
      </c>
      <c r="T115" t="s">
        <v>54</v>
      </c>
      <c r="U115" t="s">
        <v>54</v>
      </c>
      <c r="V115">
        <v>7228</v>
      </c>
      <c r="W115" t="s">
        <v>55</v>
      </c>
      <c r="X115" s="4"/>
      <c r="AK115" s="5"/>
    </row>
    <row r="116" spans="1:47" x14ac:dyDescent="0.25">
      <c r="A116" t="s">
        <v>96</v>
      </c>
      <c r="B116" s="1">
        <v>38486</v>
      </c>
      <c r="C116" t="s">
        <v>48</v>
      </c>
      <c r="D116" t="s">
        <v>49</v>
      </c>
      <c r="E116" s="2">
        <v>46050</v>
      </c>
      <c r="F116" t="s">
        <v>162</v>
      </c>
      <c r="G116" t="s">
        <v>66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52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126</v>
      </c>
      <c r="V116" t="s">
        <v>56</v>
      </c>
      <c r="W116" t="s">
        <v>152</v>
      </c>
      <c r="X116" s="4">
        <v>0</v>
      </c>
      <c r="Y116" t="s">
        <v>58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54</v>
      </c>
      <c r="AG116" t="s">
        <v>59</v>
      </c>
      <c r="AH116" t="s">
        <v>164</v>
      </c>
      <c r="AI116" t="s">
        <v>60</v>
      </c>
      <c r="AJ116" t="s">
        <v>60</v>
      </c>
      <c r="AK116" s="5">
        <v>46050.450312499997</v>
      </c>
      <c r="AO116" t="s">
        <v>54</v>
      </c>
      <c r="AP116">
        <v>0</v>
      </c>
      <c r="AR116" t="s">
        <v>54</v>
      </c>
      <c r="AS116" t="s">
        <v>54</v>
      </c>
      <c r="AT116">
        <v>5486</v>
      </c>
      <c r="AU116" t="s">
        <v>55</v>
      </c>
    </row>
    <row r="117" spans="1:47" x14ac:dyDescent="0.25">
      <c r="A117" t="s">
        <v>96</v>
      </c>
      <c r="B117" s="1">
        <v>38487</v>
      </c>
      <c r="C117" t="s">
        <v>48</v>
      </c>
      <c r="D117" t="s">
        <v>49</v>
      </c>
      <c r="E117" s="2">
        <v>46050</v>
      </c>
      <c r="F117" t="s">
        <v>169</v>
      </c>
      <c r="G117" t="s">
        <v>69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52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126</v>
      </c>
      <c r="V117" t="s">
        <v>56</v>
      </c>
      <c r="W117" t="s">
        <v>175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54</v>
      </c>
      <c r="I118" s="3" t="s">
        <v>59</v>
      </c>
      <c r="J118" t="s">
        <v>79</v>
      </c>
      <c r="K118" s="3" t="s">
        <v>60</v>
      </c>
      <c r="L118" s="3" t="s">
        <v>60</v>
      </c>
      <c r="M118" s="3">
        <v>46050.45449074074</v>
      </c>
      <c r="Q118" t="s">
        <v>54</v>
      </c>
      <c r="R118">
        <v>0</v>
      </c>
      <c r="T118" t="s">
        <v>54</v>
      </c>
      <c r="U118" t="s">
        <v>54</v>
      </c>
      <c r="V118">
        <v>8105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96</v>
      </c>
      <c r="B119" s="1">
        <v>38488</v>
      </c>
      <c r="C119" t="s">
        <v>48</v>
      </c>
      <c r="D119" t="s">
        <v>49</v>
      </c>
      <c r="E119" s="2">
        <v>46050</v>
      </c>
      <c r="F119" t="s">
        <v>169</v>
      </c>
      <c r="G119" t="s">
        <v>69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126</v>
      </c>
      <c r="V119" t="s">
        <v>56</v>
      </c>
      <c r="W119" t="s">
        <v>175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54</v>
      </c>
      <c r="I120" s="3" t="s">
        <v>59</v>
      </c>
      <c r="J120" t="s">
        <v>79</v>
      </c>
      <c r="K120" s="3" t="s">
        <v>60</v>
      </c>
      <c r="L120" s="3" t="s">
        <v>60</v>
      </c>
      <c r="M120" s="3">
        <v>46050.460289351853</v>
      </c>
      <c r="Q120" t="s">
        <v>54</v>
      </c>
      <c r="R120">
        <v>0</v>
      </c>
      <c r="T120" t="s">
        <v>54</v>
      </c>
      <c r="U120" t="s">
        <v>54</v>
      </c>
      <c r="V120">
        <v>8105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211</v>
      </c>
      <c r="G121" t="s">
        <v>167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98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167</v>
      </c>
      <c r="V121" t="s">
        <v>99</v>
      </c>
      <c r="W121" t="s">
        <v>57</v>
      </c>
      <c r="X121" s="4">
        <v>0</v>
      </c>
      <c r="Y121" t="s">
        <v>62</v>
      </c>
      <c r="Z121" s="3"/>
      <c r="AD121" s="3"/>
      <c r="AE121" s="3"/>
      <c r="AK121" s="5"/>
    </row>
    <row r="122" spans="1:47" x14ac:dyDescent="0.25">
      <c r="A122" t="s">
        <v>63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>
        <v>375</v>
      </c>
      <c r="H122" s="3" t="s">
        <v>54</v>
      </c>
      <c r="I122" s="3" t="s">
        <v>59</v>
      </c>
      <c r="K122" s="3" t="s">
        <v>73</v>
      </c>
      <c r="L122" s="3" t="s">
        <v>73</v>
      </c>
      <c r="M122" s="3">
        <v>46051.318055555559</v>
      </c>
      <c r="Q122" t="s">
        <v>54</v>
      </c>
      <c r="R122">
        <v>0</v>
      </c>
      <c r="T122" t="s">
        <v>54</v>
      </c>
      <c r="U122" t="s">
        <v>54</v>
      </c>
      <c r="V122">
        <v>5904</v>
      </c>
      <c r="W122" t="s">
        <v>55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190</v>
      </c>
      <c r="G123" s="3" t="s">
        <v>69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84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9</v>
      </c>
      <c r="V123" t="s">
        <v>71</v>
      </c>
      <c r="W123" t="s">
        <v>95</v>
      </c>
      <c r="X123" s="4">
        <v>0</v>
      </c>
      <c r="Y123" t="s">
        <v>58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54</v>
      </c>
      <c r="AG123" t="s">
        <v>59</v>
      </c>
      <c r="AI123" t="s">
        <v>73</v>
      </c>
      <c r="AJ123" t="s">
        <v>73</v>
      </c>
      <c r="AK123" s="5">
        <v>46051.317708333336</v>
      </c>
      <c r="AO123" t="s">
        <v>54</v>
      </c>
      <c r="AP123">
        <v>0</v>
      </c>
      <c r="AR123" t="s">
        <v>54</v>
      </c>
      <c r="AS123" t="s">
        <v>54</v>
      </c>
      <c r="AT123">
        <v>3723</v>
      </c>
      <c r="AU123" t="s">
        <v>55</v>
      </c>
    </row>
    <row r="124" spans="1:47" x14ac:dyDescent="0.25">
      <c r="A124" t="s">
        <v>96</v>
      </c>
      <c r="B124" s="1">
        <v>38492</v>
      </c>
      <c r="C124" t="s">
        <v>48</v>
      </c>
      <c r="D124" t="s">
        <v>49</v>
      </c>
      <c r="E124" s="2">
        <v>46051</v>
      </c>
      <c r="F124" t="s">
        <v>162</v>
      </c>
      <c r="G124" t="s">
        <v>66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142</v>
      </c>
      <c r="X124" s="4">
        <v>0</v>
      </c>
      <c r="Y124" t="s">
        <v>58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54</v>
      </c>
      <c r="AG124" t="s">
        <v>59</v>
      </c>
      <c r="AH124" t="s">
        <v>164</v>
      </c>
      <c r="AI124" t="s">
        <v>60</v>
      </c>
      <c r="AJ124" t="s">
        <v>60</v>
      </c>
      <c r="AK124" s="5">
        <v>46051.685995370368</v>
      </c>
      <c r="AO124" t="s">
        <v>54</v>
      </c>
      <c r="AP124">
        <v>0</v>
      </c>
      <c r="AR124" t="s">
        <v>54</v>
      </c>
      <c r="AS124" t="s">
        <v>54</v>
      </c>
      <c r="AT124">
        <v>5486</v>
      </c>
      <c r="AU124" t="s">
        <v>55</v>
      </c>
    </row>
    <row r="125" spans="1:47" x14ac:dyDescent="0.25">
      <c r="A125" t="s">
        <v>96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202</v>
      </c>
      <c r="G125" s="3" t="s">
        <v>51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52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126</v>
      </c>
      <c r="V125" t="s">
        <v>56</v>
      </c>
      <c r="W125" t="s">
        <v>117</v>
      </c>
      <c r="X125" s="4">
        <v>0</v>
      </c>
      <c r="Y125" t="s">
        <v>62</v>
      </c>
      <c r="AB125" s="3"/>
      <c r="AE125" s="3"/>
      <c r="AK125" s="5"/>
    </row>
    <row r="126" spans="1:47" x14ac:dyDescent="0.25">
      <c r="A126" t="s">
        <v>63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54</v>
      </c>
      <c r="I126" s="3" t="s">
        <v>59</v>
      </c>
      <c r="K126" s="3" t="s">
        <v>60</v>
      </c>
      <c r="L126" s="3" t="s">
        <v>60</v>
      </c>
      <c r="M126" s="3">
        <v>46051.468425925923</v>
      </c>
      <c r="Q126" t="s">
        <v>54</v>
      </c>
      <c r="R126">
        <v>0</v>
      </c>
      <c r="T126" t="s">
        <v>54</v>
      </c>
      <c r="U126" t="s">
        <v>54</v>
      </c>
      <c r="V126">
        <v>7429</v>
      </c>
      <c r="W126" t="s">
        <v>55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186</v>
      </c>
      <c r="G127" t="s">
        <v>69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77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83</v>
      </c>
      <c r="V127" t="s">
        <v>121</v>
      </c>
      <c r="W127" t="s">
        <v>95</v>
      </c>
      <c r="X127" s="4">
        <v>0</v>
      </c>
      <c r="Y127" t="s">
        <v>62</v>
      </c>
      <c r="AB127" s="3"/>
      <c r="AE127" s="3"/>
      <c r="AK127" s="5"/>
    </row>
    <row r="128" spans="1:47" x14ac:dyDescent="0.25">
      <c r="A128" t="s">
        <v>63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54</v>
      </c>
      <c r="I128" s="3" t="s">
        <v>59</v>
      </c>
      <c r="K128" s="3" t="s">
        <v>80</v>
      </c>
      <c r="L128" s="3" t="s">
        <v>73</v>
      </c>
      <c r="M128" s="3">
        <v>46051.603935185187</v>
      </c>
      <c r="Q128" t="s">
        <v>54</v>
      </c>
      <c r="R128">
        <v>0</v>
      </c>
      <c r="T128" t="s">
        <v>54</v>
      </c>
      <c r="U128" t="s">
        <v>54</v>
      </c>
      <c r="V128">
        <v>4126</v>
      </c>
      <c r="W128" t="s">
        <v>55</v>
      </c>
      <c r="X128" s="4"/>
      <c r="Z128" s="3"/>
      <c r="AB128" s="3"/>
      <c r="AE128" s="3"/>
      <c r="AK128" s="5"/>
    </row>
    <row r="129" spans="1:47" x14ac:dyDescent="0.25">
      <c r="A129" t="s">
        <v>96</v>
      </c>
      <c r="B129" s="1">
        <v>38495</v>
      </c>
      <c r="C129" t="s">
        <v>48</v>
      </c>
      <c r="D129" t="s">
        <v>49</v>
      </c>
      <c r="E129" s="2">
        <v>46051</v>
      </c>
      <c r="F129" t="s">
        <v>208</v>
      </c>
      <c r="G129" s="3" t="s">
        <v>119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72</v>
      </c>
      <c r="X129" s="4">
        <v>0</v>
      </c>
      <c r="Y129" t="s">
        <v>174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54</v>
      </c>
      <c r="AG129" t="s">
        <v>59</v>
      </c>
      <c r="AI129" t="s">
        <v>60</v>
      </c>
      <c r="AJ129" t="s">
        <v>60</v>
      </c>
      <c r="AK129" s="5">
        <v>46051.548159722224</v>
      </c>
      <c r="AO129" t="s">
        <v>54</v>
      </c>
      <c r="AP129">
        <v>0</v>
      </c>
      <c r="AR129" t="s">
        <v>54</v>
      </c>
      <c r="AS129" t="s">
        <v>54</v>
      </c>
      <c r="AT129">
        <v>4075</v>
      </c>
      <c r="AU129" t="s">
        <v>55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185</v>
      </c>
      <c r="G130" t="s">
        <v>167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77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83</v>
      </c>
      <c r="V130" t="s">
        <v>176</v>
      </c>
      <c r="W130" t="s">
        <v>175</v>
      </c>
      <c r="X130" s="4">
        <v>0</v>
      </c>
      <c r="Y130" t="s">
        <v>62</v>
      </c>
    </row>
    <row r="131" spans="1:47" x14ac:dyDescent="0.25">
      <c r="A131" t="s">
        <v>63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54</v>
      </c>
      <c r="I131" t="s">
        <v>59</v>
      </c>
      <c r="K131" t="s">
        <v>80</v>
      </c>
      <c r="L131" t="s">
        <v>73</v>
      </c>
      <c r="M131" s="3">
        <v>46052.339131944442</v>
      </c>
      <c r="Q131" t="s">
        <v>54</v>
      </c>
      <c r="R131">
        <v>0</v>
      </c>
      <c r="T131" t="s">
        <v>54</v>
      </c>
      <c r="U131" t="s">
        <v>54</v>
      </c>
      <c r="V131">
        <v>7023</v>
      </c>
      <c r="W131" t="s">
        <v>55</v>
      </c>
    </row>
    <row r="132" spans="1:47" x14ac:dyDescent="0.25">
      <c r="A132" t="s">
        <v>81</v>
      </c>
      <c r="B132" s="1">
        <v>38497</v>
      </c>
      <c r="C132" t="s">
        <v>48</v>
      </c>
      <c r="D132" t="s">
        <v>49</v>
      </c>
      <c r="E132" s="2">
        <v>46051</v>
      </c>
      <c r="F132" t="s">
        <v>197</v>
      </c>
      <c r="G132" t="s">
        <v>69</v>
      </c>
      <c r="H132" s="3">
        <v>3378.2</v>
      </c>
      <c r="I132" s="3">
        <v>3378.2</v>
      </c>
      <c r="J132">
        <v>0</v>
      </c>
      <c r="K132" s="3">
        <v>3378.2</v>
      </c>
      <c r="L132">
        <v>571.14</v>
      </c>
      <c r="M132" s="3">
        <v>328.41</v>
      </c>
      <c r="N132" t="s">
        <v>77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83</v>
      </c>
      <c r="V132" t="s">
        <v>121</v>
      </c>
      <c r="W132" t="s">
        <v>194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571.14</v>
      </c>
      <c r="E133">
        <v>0</v>
      </c>
      <c r="F133">
        <v>0</v>
      </c>
      <c r="G133" s="3">
        <v>380</v>
      </c>
      <c r="H133" t="s">
        <v>54</v>
      </c>
      <c r="I133" t="s">
        <v>59</v>
      </c>
      <c r="K133" t="s">
        <v>80</v>
      </c>
      <c r="L133" t="s">
        <v>73</v>
      </c>
      <c r="M133" s="3">
        <v>46051.687615740739</v>
      </c>
      <c r="Q133" t="s">
        <v>54</v>
      </c>
      <c r="R133">
        <v>0</v>
      </c>
      <c r="T133" t="s">
        <v>54</v>
      </c>
      <c r="U133" t="s">
        <v>54</v>
      </c>
      <c r="V133">
        <v>8443</v>
      </c>
      <c r="W133" t="s">
        <v>55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61</v>
      </c>
      <c r="G134" t="s">
        <v>51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126</v>
      </c>
      <c r="V134" t="s">
        <v>56</v>
      </c>
      <c r="W134" t="s">
        <v>57</v>
      </c>
      <c r="X134" s="4">
        <v>0</v>
      </c>
      <c r="Y134" t="s">
        <v>62</v>
      </c>
      <c r="AK134" s="5"/>
    </row>
    <row r="135" spans="1:47" x14ac:dyDescent="0.25">
      <c r="A135" t="s">
        <v>63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54</v>
      </c>
      <c r="I135" s="3" t="s">
        <v>59</v>
      </c>
      <c r="J135" t="s">
        <v>64</v>
      </c>
      <c r="K135" s="3" t="s">
        <v>60</v>
      </c>
      <c r="L135" s="3" t="s">
        <v>60</v>
      </c>
      <c r="M135" s="3">
        <v>46051.691655092596</v>
      </c>
      <c r="Q135" t="s">
        <v>54</v>
      </c>
      <c r="R135">
        <v>0</v>
      </c>
      <c r="T135" t="s">
        <v>54</v>
      </c>
      <c r="U135" t="s">
        <v>54</v>
      </c>
      <c r="V135">
        <v>7006</v>
      </c>
      <c r="W135" t="s">
        <v>55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50</v>
      </c>
      <c r="G136" t="s">
        <v>51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52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126</v>
      </c>
      <c r="V136" t="s">
        <v>56</v>
      </c>
      <c r="W136" t="s">
        <v>57</v>
      </c>
      <c r="X136" s="4">
        <v>0</v>
      </c>
      <c r="Y136" t="s">
        <v>58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54</v>
      </c>
      <c r="AG136" t="s">
        <v>59</v>
      </c>
      <c r="AI136" t="s">
        <v>60</v>
      </c>
      <c r="AJ136" t="s">
        <v>60</v>
      </c>
      <c r="AK136" s="5">
        <v>46051.677627314813</v>
      </c>
      <c r="AO136" t="s">
        <v>54</v>
      </c>
      <c r="AP136">
        <v>0</v>
      </c>
      <c r="AR136" t="s">
        <v>54</v>
      </c>
      <c r="AS136" t="s">
        <v>54</v>
      </c>
      <c r="AT136">
        <v>6611</v>
      </c>
      <c r="AU136" t="s">
        <v>55</v>
      </c>
    </row>
    <row r="137" spans="1:47" x14ac:dyDescent="0.25">
      <c r="A137" t="s">
        <v>47</v>
      </c>
      <c r="B137" s="3">
        <v>38500</v>
      </c>
      <c r="C137" t="s">
        <v>48</v>
      </c>
      <c r="D137" t="s">
        <v>49</v>
      </c>
      <c r="E137" s="2">
        <v>46052</v>
      </c>
      <c r="F137" t="s">
        <v>178</v>
      </c>
      <c r="G137" s="3" t="s">
        <v>124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75</v>
      </c>
      <c r="O137" t="s">
        <v>53</v>
      </c>
      <c r="P137" t="s">
        <v>53</v>
      </c>
      <c r="Q137" t="s">
        <v>53</v>
      </c>
      <c r="R137" t="s">
        <v>54</v>
      </c>
      <c r="S137" t="s">
        <v>54</v>
      </c>
      <c r="T137" t="s">
        <v>55</v>
      </c>
      <c r="U137">
        <v>43</v>
      </c>
      <c r="W137" t="s">
        <v>72</v>
      </c>
      <c r="X137" s="4">
        <v>0</v>
      </c>
      <c r="Y137" t="s">
        <v>58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54</v>
      </c>
      <c r="AG137" t="s">
        <v>59</v>
      </c>
      <c r="AI137" t="s">
        <v>73</v>
      </c>
      <c r="AJ137" t="s">
        <v>73</v>
      </c>
      <c r="AK137" s="5">
        <v>46052.438414351855</v>
      </c>
      <c r="AO137" t="s">
        <v>54</v>
      </c>
      <c r="AP137">
        <v>0</v>
      </c>
      <c r="AR137" t="s">
        <v>54</v>
      </c>
      <c r="AS137" t="s">
        <v>54</v>
      </c>
      <c r="AT137">
        <v>4694</v>
      </c>
      <c r="AU137" t="s">
        <v>55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108</v>
      </c>
      <c r="G138" t="s">
        <v>109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84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9</v>
      </c>
      <c r="V138" t="s">
        <v>56</v>
      </c>
      <c r="W138" t="s">
        <v>110</v>
      </c>
      <c r="X138" s="4">
        <v>0</v>
      </c>
      <c r="Y138" t="s">
        <v>58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54</v>
      </c>
      <c r="AG138" t="s">
        <v>59</v>
      </c>
      <c r="AI138" t="s">
        <v>92</v>
      </c>
      <c r="AJ138" t="s">
        <v>92</v>
      </c>
      <c r="AK138" s="5">
        <v>46052.445231481484</v>
      </c>
      <c r="AO138" t="s">
        <v>54</v>
      </c>
      <c r="AP138">
        <v>0</v>
      </c>
      <c r="AR138" t="s">
        <v>54</v>
      </c>
      <c r="AS138" t="s">
        <v>54</v>
      </c>
      <c r="AT138">
        <v>3124</v>
      </c>
      <c r="AU138" t="s">
        <v>55</v>
      </c>
    </row>
    <row r="139" spans="1:47" x14ac:dyDescent="0.25">
      <c r="A139" t="s">
        <v>81</v>
      </c>
      <c r="B139" s="1">
        <v>38503</v>
      </c>
      <c r="C139" t="s">
        <v>48</v>
      </c>
      <c r="D139" t="s">
        <v>49</v>
      </c>
      <c r="E139" s="2">
        <v>46052</v>
      </c>
      <c r="F139" t="s">
        <v>212</v>
      </c>
      <c r="G139" t="s">
        <v>83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W139" t="s">
        <v>182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54</v>
      </c>
      <c r="I140" s="3" t="s">
        <v>59</v>
      </c>
      <c r="K140" s="3" t="s">
        <v>92</v>
      </c>
      <c r="L140" s="3" t="s">
        <v>92</v>
      </c>
      <c r="M140" s="3">
        <v>46052.518252314818</v>
      </c>
      <c r="Q140" t="s">
        <v>54</v>
      </c>
      <c r="R140">
        <v>0</v>
      </c>
      <c r="T140" t="s">
        <v>54</v>
      </c>
      <c r="U140" t="s">
        <v>54</v>
      </c>
      <c r="V140">
        <v>8856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112</v>
      </c>
      <c r="G141" t="s">
        <v>113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52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126</v>
      </c>
      <c r="V141" t="s">
        <v>56</v>
      </c>
      <c r="W141" t="s">
        <v>78</v>
      </c>
      <c r="X141" s="4">
        <v>0</v>
      </c>
      <c r="Y141" t="s">
        <v>58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54</v>
      </c>
      <c r="AG141" t="s">
        <v>59</v>
      </c>
      <c r="AH141" t="s">
        <v>115</v>
      </c>
      <c r="AI141" t="s">
        <v>60</v>
      </c>
      <c r="AJ141" t="s">
        <v>60</v>
      </c>
      <c r="AK141" s="5">
        <v>46055.343298611115</v>
      </c>
      <c r="AO141" t="s">
        <v>54</v>
      </c>
      <c r="AP141">
        <v>0</v>
      </c>
      <c r="AR141" t="s">
        <v>54</v>
      </c>
      <c r="AS141" t="s">
        <v>54</v>
      </c>
      <c r="AT141">
        <v>4089</v>
      </c>
      <c r="AU141" t="s">
        <v>55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111</v>
      </c>
      <c r="G142" t="s">
        <v>69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52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126</v>
      </c>
      <c r="V142" t="s">
        <v>56</v>
      </c>
      <c r="W142" t="s">
        <v>95</v>
      </c>
      <c r="X142" s="4">
        <v>0</v>
      </c>
      <c r="Y142" t="s">
        <v>58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54</v>
      </c>
      <c r="AG142" t="s">
        <v>59</v>
      </c>
      <c r="AI142" t="s">
        <v>60</v>
      </c>
      <c r="AJ142" t="s">
        <v>60</v>
      </c>
      <c r="AK142" s="5">
        <v>46055.483912037038</v>
      </c>
      <c r="AO142" t="s">
        <v>54</v>
      </c>
      <c r="AP142">
        <v>0</v>
      </c>
      <c r="AR142" t="s">
        <v>54</v>
      </c>
      <c r="AS142" t="s">
        <v>54</v>
      </c>
      <c r="AT142">
        <v>1877</v>
      </c>
      <c r="AU142" t="s">
        <v>55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111</v>
      </c>
      <c r="G143" t="s">
        <v>69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52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126</v>
      </c>
      <c r="V143" t="s">
        <v>56</v>
      </c>
      <c r="W143" t="s">
        <v>95</v>
      </c>
      <c r="X143" s="4">
        <v>0</v>
      </c>
      <c r="Y143" t="s">
        <v>58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54</v>
      </c>
      <c r="AG143" t="s">
        <v>59</v>
      </c>
      <c r="AI143" t="s">
        <v>60</v>
      </c>
      <c r="AJ143" t="s">
        <v>60</v>
      </c>
      <c r="AK143" s="5">
        <v>46055.489907407406</v>
      </c>
      <c r="AO143" t="s">
        <v>54</v>
      </c>
      <c r="AP143">
        <v>0</v>
      </c>
      <c r="AR143" t="s">
        <v>54</v>
      </c>
      <c r="AS143" t="s">
        <v>54</v>
      </c>
      <c r="AT143">
        <v>1877</v>
      </c>
      <c r="AU143" t="s">
        <v>55</v>
      </c>
    </row>
    <row r="144" spans="1:47" x14ac:dyDescent="0.25">
      <c r="A144" t="s">
        <v>96</v>
      </c>
      <c r="B144" s="1">
        <v>38507</v>
      </c>
      <c r="C144" t="s">
        <v>48</v>
      </c>
      <c r="D144" t="s">
        <v>49</v>
      </c>
      <c r="E144" s="2">
        <v>46055</v>
      </c>
      <c r="F144" t="s">
        <v>195</v>
      </c>
      <c r="G144" t="s">
        <v>66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52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126</v>
      </c>
      <c r="V144" t="s">
        <v>56</v>
      </c>
      <c r="W144" t="s">
        <v>72</v>
      </c>
      <c r="X144" s="4">
        <v>0</v>
      </c>
      <c r="Y144" t="s">
        <v>62</v>
      </c>
      <c r="AD144" s="3"/>
      <c r="AE144" s="3"/>
      <c r="AK144" s="5"/>
    </row>
    <row r="145" spans="1:47" x14ac:dyDescent="0.25">
      <c r="A145" t="s">
        <v>63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54</v>
      </c>
      <c r="I145" s="3" t="s">
        <v>59</v>
      </c>
      <c r="K145" s="3" t="s">
        <v>60</v>
      </c>
      <c r="L145" s="3" t="s">
        <v>60</v>
      </c>
      <c r="M145" s="3">
        <v>46056.375428240739</v>
      </c>
      <c r="Q145" t="s">
        <v>54</v>
      </c>
      <c r="R145">
        <v>0</v>
      </c>
      <c r="T145" t="s">
        <v>54</v>
      </c>
      <c r="U145" t="s">
        <v>54</v>
      </c>
      <c r="V145">
        <v>8454</v>
      </c>
      <c r="W145" t="s">
        <v>55</v>
      </c>
      <c r="X145" s="4"/>
      <c r="AD145" s="3"/>
      <c r="AE145" s="3"/>
      <c r="AK145" s="5"/>
    </row>
    <row r="146" spans="1:47" x14ac:dyDescent="0.25">
      <c r="A146" t="s">
        <v>96</v>
      </c>
      <c r="B146" s="1">
        <v>38508</v>
      </c>
      <c r="C146" t="s">
        <v>48</v>
      </c>
      <c r="D146" t="s">
        <v>49</v>
      </c>
      <c r="E146" s="2">
        <v>46056</v>
      </c>
      <c r="F146" t="s">
        <v>206</v>
      </c>
      <c r="G146" t="s">
        <v>137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117</v>
      </c>
      <c r="X146" s="4">
        <v>0</v>
      </c>
      <c r="Y146" t="s">
        <v>62</v>
      </c>
      <c r="Z146" s="3"/>
      <c r="AA146" s="3"/>
      <c r="AE146" s="3"/>
      <c r="AK146" s="5"/>
    </row>
    <row r="147" spans="1:47" x14ac:dyDescent="0.25">
      <c r="A147" t="s">
        <v>63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54</v>
      </c>
      <c r="I147" s="3" t="s">
        <v>59</v>
      </c>
      <c r="K147" s="3" t="s">
        <v>60</v>
      </c>
      <c r="L147" s="3" t="s">
        <v>60</v>
      </c>
      <c r="M147" s="3">
        <v>46056.394178240742</v>
      </c>
      <c r="Q147" t="s">
        <v>54</v>
      </c>
      <c r="R147">
        <v>0</v>
      </c>
      <c r="T147" t="s">
        <v>54</v>
      </c>
      <c r="U147" t="s">
        <v>54</v>
      </c>
      <c r="V147">
        <v>7986</v>
      </c>
      <c r="W147" t="s">
        <v>55</v>
      </c>
      <c r="X147" s="4"/>
      <c r="AA147" s="3"/>
      <c r="AE147" s="3"/>
      <c r="AK147" s="5"/>
    </row>
    <row r="148" spans="1:47" x14ac:dyDescent="0.25">
      <c r="A148" t="s">
        <v>96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195</v>
      </c>
      <c r="G148" s="3" t="s">
        <v>66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52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126</v>
      </c>
      <c r="V148" t="s">
        <v>56</v>
      </c>
      <c r="W148" t="s">
        <v>72</v>
      </c>
      <c r="X148" s="4">
        <v>0</v>
      </c>
      <c r="Y148" t="s">
        <v>62</v>
      </c>
      <c r="AB148" s="3"/>
      <c r="AE148" s="3"/>
      <c r="AK148" s="5"/>
    </row>
    <row r="149" spans="1:47" x14ac:dyDescent="0.25">
      <c r="A149" t="s">
        <v>63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54</v>
      </c>
      <c r="I149" s="3" t="s">
        <v>59</v>
      </c>
      <c r="K149" s="3" t="s">
        <v>60</v>
      </c>
      <c r="L149" s="3" t="s">
        <v>60</v>
      </c>
      <c r="M149" s="3">
        <v>46056.411585648151</v>
      </c>
      <c r="Q149" t="s">
        <v>54</v>
      </c>
      <c r="R149">
        <v>0</v>
      </c>
      <c r="T149" t="s">
        <v>54</v>
      </c>
      <c r="U149" t="s">
        <v>54</v>
      </c>
      <c r="V149">
        <v>8454</v>
      </c>
      <c r="W149" t="s">
        <v>55</v>
      </c>
      <c r="X149" s="4"/>
      <c r="Z149" s="3"/>
      <c r="AB149" s="3"/>
      <c r="AE149" s="3"/>
      <c r="AK149" s="5"/>
    </row>
    <row r="150" spans="1:47" x14ac:dyDescent="0.25">
      <c r="A150" t="s">
        <v>96</v>
      </c>
      <c r="B150" s="1">
        <v>38510</v>
      </c>
      <c r="C150" t="s">
        <v>48</v>
      </c>
      <c r="D150" t="s">
        <v>49</v>
      </c>
      <c r="E150" s="2">
        <v>46056</v>
      </c>
      <c r="F150" t="s">
        <v>188</v>
      </c>
      <c r="G150" t="s">
        <v>189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77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83</v>
      </c>
      <c r="V150" t="s">
        <v>121</v>
      </c>
      <c r="W150" t="s">
        <v>175</v>
      </c>
      <c r="X150" s="4">
        <v>0</v>
      </c>
      <c r="Y150" t="s">
        <v>62</v>
      </c>
      <c r="AD150" s="3"/>
      <c r="AE150" s="3"/>
      <c r="AK150" s="5"/>
    </row>
    <row r="151" spans="1:47" x14ac:dyDescent="0.25">
      <c r="A151" t="s">
        <v>63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54</v>
      </c>
      <c r="I151" s="3" t="s">
        <v>59</v>
      </c>
      <c r="K151" s="3" t="s">
        <v>80</v>
      </c>
      <c r="L151" s="3" t="s">
        <v>73</v>
      </c>
      <c r="M151" s="3">
        <v>46056.637974537036</v>
      </c>
      <c r="Q151" t="s">
        <v>54</v>
      </c>
      <c r="R151">
        <v>0</v>
      </c>
      <c r="T151" t="s">
        <v>54</v>
      </c>
      <c r="U151" t="s">
        <v>54</v>
      </c>
      <c r="V151">
        <v>5908</v>
      </c>
      <c r="W151" t="s">
        <v>55</v>
      </c>
      <c r="X151" s="4"/>
      <c r="AB151" s="3"/>
      <c r="AK151" s="5"/>
    </row>
    <row r="152" spans="1:47" x14ac:dyDescent="0.25">
      <c r="A152" t="s">
        <v>96</v>
      </c>
      <c r="B152" s="1">
        <v>38511</v>
      </c>
      <c r="C152" t="s">
        <v>48</v>
      </c>
      <c r="D152" t="s">
        <v>49</v>
      </c>
      <c r="E152" s="2">
        <v>46056</v>
      </c>
      <c r="F152" t="s">
        <v>199</v>
      </c>
      <c r="G152" t="s">
        <v>200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92</v>
      </c>
      <c r="W152" t="s">
        <v>134</v>
      </c>
      <c r="X152" s="4">
        <v>0</v>
      </c>
      <c r="Y152" t="s">
        <v>58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54</v>
      </c>
      <c r="AG152" t="s">
        <v>59</v>
      </c>
      <c r="AH152" t="s">
        <v>79</v>
      </c>
      <c r="AI152" t="s">
        <v>73</v>
      </c>
      <c r="AJ152" t="s">
        <v>92</v>
      </c>
      <c r="AK152" s="5">
        <v>46056.690995370373</v>
      </c>
      <c r="AO152" t="s">
        <v>54</v>
      </c>
      <c r="AP152">
        <v>0</v>
      </c>
      <c r="AR152" t="s">
        <v>54</v>
      </c>
      <c r="AS152" t="s">
        <v>54</v>
      </c>
      <c r="AT152">
        <v>8600</v>
      </c>
      <c r="AU152" t="s">
        <v>55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205</v>
      </c>
      <c r="G153" s="3" t="s">
        <v>69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77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83</v>
      </c>
      <c r="W153" t="s">
        <v>170</v>
      </c>
      <c r="X153" s="4">
        <v>0</v>
      </c>
      <c r="Y153" t="s">
        <v>62</v>
      </c>
      <c r="Z153" s="3"/>
      <c r="AE153" s="3"/>
      <c r="AK153" s="5"/>
    </row>
    <row r="154" spans="1:47" x14ac:dyDescent="0.25">
      <c r="A154" t="s">
        <v>63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54</v>
      </c>
      <c r="I154" s="3" t="s">
        <v>59</v>
      </c>
      <c r="K154" s="3" t="s">
        <v>80</v>
      </c>
      <c r="L154" s="3" t="s">
        <v>73</v>
      </c>
      <c r="M154" s="3">
        <v>46056.636597222219</v>
      </c>
      <c r="Q154" t="s">
        <v>54</v>
      </c>
      <c r="R154">
        <v>0</v>
      </c>
      <c r="T154" t="s">
        <v>54</v>
      </c>
      <c r="U154" t="s">
        <v>54</v>
      </c>
      <c r="V154">
        <v>7361</v>
      </c>
      <c r="W154" t="s">
        <v>55</v>
      </c>
      <c r="X154" s="4"/>
      <c r="Z154" s="3"/>
      <c r="AE154" s="3"/>
      <c r="AK154" s="5"/>
    </row>
    <row r="155" spans="1:47" x14ac:dyDescent="0.25">
      <c r="A155" t="s">
        <v>96</v>
      </c>
      <c r="B155" s="1">
        <v>38514</v>
      </c>
      <c r="C155" t="s">
        <v>48</v>
      </c>
      <c r="D155" t="s">
        <v>49</v>
      </c>
      <c r="E155" s="2">
        <v>46057</v>
      </c>
      <c r="F155" t="s">
        <v>203</v>
      </c>
      <c r="G155" s="3" t="s">
        <v>89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52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126</v>
      </c>
      <c r="V155" t="s">
        <v>56</v>
      </c>
      <c r="W155" t="s">
        <v>90</v>
      </c>
      <c r="X155" s="4">
        <v>0</v>
      </c>
      <c r="Y155" t="s">
        <v>62</v>
      </c>
      <c r="AB155" s="3"/>
      <c r="AE155" s="3"/>
      <c r="AK155" s="5"/>
    </row>
    <row r="156" spans="1:47" x14ac:dyDescent="0.25">
      <c r="A156" t="s">
        <v>63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54</v>
      </c>
      <c r="I156" s="3" t="s">
        <v>59</v>
      </c>
      <c r="K156" s="3" t="s">
        <v>60</v>
      </c>
      <c r="L156" s="3" t="s">
        <v>60</v>
      </c>
      <c r="M156" s="3">
        <v>46057.402233796296</v>
      </c>
      <c r="Q156" t="s">
        <v>54</v>
      </c>
      <c r="R156">
        <v>0</v>
      </c>
      <c r="T156" t="s">
        <v>54</v>
      </c>
      <c r="U156" t="s">
        <v>54</v>
      </c>
      <c r="V156">
        <v>8070</v>
      </c>
      <c r="W156" t="s">
        <v>55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149</v>
      </c>
      <c r="G157" t="s">
        <v>66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84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9</v>
      </c>
      <c r="V157" t="s">
        <v>71</v>
      </c>
      <c r="W157" t="s">
        <v>57</v>
      </c>
      <c r="X157" s="4">
        <v>0</v>
      </c>
      <c r="Y157" t="s">
        <v>58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54</v>
      </c>
      <c r="AG157" t="s">
        <v>59</v>
      </c>
      <c r="AI157" t="s">
        <v>73</v>
      </c>
      <c r="AJ157" t="s">
        <v>73</v>
      </c>
      <c r="AK157" s="5">
        <v>46057.414085648146</v>
      </c>
      <c r="AO157" t="s">
        <v>54</v>
      </c>
      <c r="AP157">
        <v>0</v>
      </c>
      <c r="AR157" t="s">
        <v>54</v>
      </c>
      <c r="AS157" t="s">
        <v>54</v>
      </c>
      <c r="AT157">
        <v>1009</v>
      </c>
      <c r="AU157" t="s">
        <v>55</v>
      </c>
    </row>
    <row r="158" spans="1:47" x14ac:dyDescent="0.25">
      <c r="A158" t="s">
        <v>96</v>
      </c>
      <c r="B158" s="1">
        <v>38516</v>
      </c>
      <c r="C158" t="s">
        <v>48</v>
      </c>
      <c r="D158" t="s">
        <v>49</v>
      </c>
      <c r="E158" s="2">
        <v>46057</v>
      </c>
      <c r="F158" t="s">
        <v>177</v>
      </c>
      <c r="G158" t="s">
        <v>66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95</v>
      </c>
      <c r="X158" s="4">
        <v>0</v>
      </c>
      <c r="Y158" t="s">
        <v>58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54</v>
      </c>
      <c r="AG158" t="s">
        <v>59</v>
      </c>
      <c r="AH158" t="s">
        <v>164</v>
      </c>
      <c r="AI158" t="s">
        <v>60</v>
      </c>
      <c r="AJ158" t="s">
        <v>60</v>
      </c>
      <c r="AK158" s="5">
        <v>46057.417604166665</v>
      </c>
      <c r="AO158" t="s">
        <v>54</v>
      </c>
      <c r="AP158">
        <v>0</v>
      </c>
      <c r="AR158" t="s">
        <v>54</v>
      </c>
      <c r="AS158" t="s">
        <v>54</v>
      </c>
      <c r="AT158">
        <v>4759</v>
      </c>
      <c r="AU158" t="s">
        <v>55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149</v>
      </c>
      <c r="G159" t="s">
        <v>66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84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9</v>
      </c>
      <c r="V159" t="s">
        <v>71</v>
      </c>
      <c r="W159" t="s">
        <v>57</v>
      </c>
      <c r="X159" s="4">
        <v>0</v>
      </c>
      <c r="Y159" t="s">
        <v>58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54</v>
      </c>
      <c r="AG159" t="s">
        <v>59</v>
      </c>
      <c r="AI159" t="s">
        <v>73</v>
      </c>
      <c r="AJ159" t="s">
        <v>73</v>
      </c>
      <c r="AK159" s="5">
        <v>46057.419872685183</v>
      </c>
      <c r="AO159" t="s">
        <v>54</v>
      </c>
      <c r="AP159">
        <v>0</v>
      </c>
      <c r="AR159" t="s">
        <v>54</v>
      </c>
      <c r="AS159" t="s">
        <v>54</v>
      </c>
      <c r="AT159">
        <v>1009</v>
      </c>
      <c r="AU159" t="s">
        <v>55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149</v>
      </c>
      <c r="G160" t="s">
        <v>66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84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9</v>
      </c>
      <c r="V160" t="s">
        <v>71</v>
      </c>
      <c r="W160" t="s">
        <v>57</v>
      </c>
      <c r="X160" s="4">
        <v>0</v>
      </c>
      <c r="Y160" t="s">
        <v>58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54</v>
      </c>
      <c r="AG160" t="s">
        <v>59</v>
      </c>
      <c r="AI160" t="s">
        <v>73</v>
      </c>
      <c r="AJ160" t="s">
        <v>73</v>
      </c>
      <c r="AK160" s="5">
        <v>46057.421446759261</v>
      </c>
      <c r="AO160" t="s">
        <v>54</v>
      </c>
      <c r="AP160">
        <v>0</v>
      </c>
      <c r="AR160" t="s">
        <v>54</v>
      </c>
      <c r="AS160" t="s">
        <v>54</v>
      </c>
      <c r="AT160">
        <v>1009</v>
      </c>
      <c r="AU160" t="s">
        <v>55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149</v>
      </c>
      <c r="G161" t="s">
        <v>66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84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9</v>
      </c>
      <c r="V161" t="s">
        <v>71</v>
      </c>
      <c r="W161" t="s">
        <v>57</v>
      </c>
      <c r="X161" s="4">
        <v>0</v>
      </c>
      <c r="Y161" t="s">
        <v>58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54</v>
      </c>
      <c r="AG161" t="s">
        <v>59</v>
      </c>
      <c r="AI161" t="s">
        <v>73</v>
      </c>
      <c r="AJ161" t="s">
        <v>73</v>
      </c>
      <c r="AK161" s="5">
        <v>46057.424016203702</v>
      </c>
      <c r="AO161" t="s">
        <v>54</v>
      </c>
      <c r="AP161">
        <v>0</v>
      </c>
      <c r="AR161" t="s">
        <v>54</v>
      </c>
      <c r="AS161" t="s">
        <v>54</v>
      </c>
      <c r="AT161">
        <v>1009</v>
      </c>
      <c r="AU161" t="s">
        <v>55</v>
      </c>
    </row>
    <row r="162" spans="1:47" x14ac:dyDescent="0.25">
      <c r="A162" t="s">
        <v>96</v>
      </c>
      <c r="B162" s="1">
        <v>38521</v>
      </c>
      <c r="C162" t="s">
        <v>48</v>
      </c>
      <c r="D162" t="s">
        <v>49</v>
      </c>
      <c r="E162" s="2">
        <v>46057</v>
      </c>
      <c r="F162" t="s">
        <v>173</v>
      </c>
      <c r="G162" t="s">
        <v>69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84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9</v>
      </c>
      <c r="V162" t="s">
        <v>71</v>
      </c>
      <c r="W162" t="s">
        <v>152</v>
      </c>
      <c r="X162" s="4">
        <v>0</v>
      </c>
      <c r="Y162" t="s">
        <v>58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54</v>
      </c>
      <c r="AG162" t="s">
        <v>59</v>
      </c>
      <c r="AI162" t="s">
        <v>73</v>
      </c>
      <c r="AJ162" t="s">
        <v>73</v>
      </c>
      <c r="AK162" s="5">
        <v>46057.615706018521</v>
      </c>
      <c r="AO162" t="s">
        <v>54</v>
      </c>
      <c r="AP162">
        <v>0</v>
      </c>
      <c r="AR162" t="s">
        <v>54</v>
      </c>
      <c r="AS162" t="s">
        <v>54</v>
      </c>
      <c r="AT162">
        <v>3508</v>
      </c>
      <c r="AU162" t="s">
        <v>55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198</v>
      </c>
      <c r="G163" s="3" t="s">
        <v>189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84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9</v>
      </c>
      <c r="V163" t="s">
        <v>71</v>
      </c>
      <c r="W163" t="s">
        <v>117</v>
      </c>
      <c r="X163" s="4">
        <v>0</v>
      </c>
      <c r="Y163" t="s">
        <v>58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54</v>
      </c>
      <c r="AG163" t="s">
        <v>59</v>
      </c>
      <c r="AI163" t="s">
        <v>73</v>
      </c>
      <c r="AJ163" t="s">
        <v>73</v>
      </c>
      <c r="AK163" s="5">
        <v>46057.694733796299</v>
      </c>
      <c r="AO163" t="s">
        <v>54</v>
      </c>
      <c r="AP163">
        <v>0</v>
      </c>
      <c r="AR163" t="s">
        <v>54</v>
      </c>
      <c r="AS163" t="s">
        <v>54</v>
      </c>
      <c r="AT163">
        <v>6401</v>
      </c>
      <c r="AU163" t="s">
        <v>55</v>
      </c>
    </row>
    <row r="164" spans="1:47" x14ac:dyDescent="0.25">
      <c r="A164" t="s">
        <v>96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141</v>
      </c>
      <c r="G164" s="3" t="s">
        <v>94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W164" t="s">
        <v>142</v>
      </c>
      <c r="X164" s="4">
        <v>0</v>
      </c>
      <c r="Y164" t="s">
        <v>62</v>
      </c>
      <c r="Z164" s="3"/>
      <c r="AE164" s="3"/>
      <c r="AK164" s="5"/>
    </row>
    <row r="165" spans="1:47" x14ac:dyDescent="0.25">
      <c r="A165" t="s">
        <v>63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54</v>
      </c>
      <c r="I165" s="3" t="s">
        <v>59</v>
      </c>
      <c r="J165" t="s">
        <v>143</v>
      </c>
      <c r="K165" s="3" t="s">
        <v>73</v>
      </c>
      <c r="L165" s="3" t="s">
        <v>73</v>
      </c>
      <c r="M165" s="3">
        <v>46057.728310185186</v>
      </c>
      <c r="Q165" t="s">
        <v>54</v>
      </c>
      <c r="R165">
        <v>0</v>
      </c>
      <c r="T165" t="s">
        <v>54</v>
      </c>
      <c r="U165" t="s">
        <v>54</v>
      </c>
      <c r="V165">
        <v>8241</v>
      </c>
      <c r="W165" t="s">
        <v>55</v>
      </c>
      <c r="X165" s="4"/>
    </row>
    <row r="166" spans="1:47" x14ac:dyDescent="0.25">
      <c r="A166" t="s">
        <v>96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165</v>
      </c>
      <c r="G166" t="s">
        <v>69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52</v>
      </c>
      <c r="O166" t="s">
        <v>53</v>
      </c>
      <c r="P166" t="s">
        <v>53</v>
      </c>
      <c r="Q166" t="s">
        <v>53</v>
      </c>
      <c r="R166" t="s">
        <v>54</v>
      </c>
      <c r="S166" t="s">
        <v>54</v>
      </c>
      <c r="T166" t="s">
        <v>55</v>
      </c>
      <c r="U166">
        <v>126</v>
      </c>
      <c r="V166" t="s">
        <v>56</v>
      </c>
      <c r="W166" t="s">
        <v>152</v>
      </c>
      <c r="X166" s="4">
        <v>0</v>
      </c>
      <c r="Y166" t="s">
        <v>58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54</v>
      </c>
      <c r="AG166" t="s">
        <v>59</v>
      </c>
      <c r="AI166" t="s">
        <v>60</v>
      </c>
      <c r="AJ166" t="s">
        <v>60</v>
      </c>
      <c r="AK166" s="5">
        <v>46058.450324074074</v>
      </c>
      <c r="AO166" t="s">
        <v>54</v>
      </c>
      <c r="AP166">
        <v>0</v>
      </c>
      <c r="AR166" t="s">
        <v>54</v>
      </c>
      <c r="AS166" t="s">
        <v>54</v>
      </c>
      <c r="AT166">
        <v>322</v>
      </c>
      <c r="AU166" t="s">
        <v>55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112</v>
      </c>
      <c r="G167" s="3" t="s">
        <v>113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52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126</v>
      </c>
      <c r="V167" t="s">
        <v>56</v>
      </c>
      <c r="W167" t="s">
        <v>78</v>
      </c>
      <c r="X167" s="4">
        <v>0</v>
      </c>
      <c r="Y167" t="s">
        <v>58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54</v>
      </c>
      <c r="AG167" t="s">
        <v>59</v>
      </c>
      <c r="AH167" t="s">
        <v>115</v>
      </c>
      <c r="AI167" t="s">
        <v>92</v>
      </c>
      <c r="AJ167" t="s">
        <v>92</v>
      </c>
      <c r="AK167" s="5">
        <v>46059.494930555556</v>
      </c>
      <c r="AO167" t="s">
        <v>54</v>
      </c>
      <c r="AP167">
        <v>0</v>
      </c>
      <c r="AR167" t="s">
        <v>54</v>
      </c>
      <c r="AS167" t="s">
        <v>54</v>
      </c>
      <c r="AT167">
        <v>4089</v>
      </c>
      <c r="AU167" t="s">
        <v>55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101</v>
      </c>
      <c r="G168" t="s">
        <v>94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84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9</v>
      </c>
      <c r="V168" t="s">
        <v>71</v>
      </c>
      <c r="W168" t="s">
        <v>102</v>
      </c>
      <c r="X168" s="4">
        <v>0</v>
      </c>
      <c r="Y168" t="s">
        <v>58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54</v>
      </c>
      <c r="AG168" t="s">
        <v>59</v>
      </c>
      <c r="AH168" t="s">
        <v>103</v>
      </c>
      <c r="AI168" t="s">
        <v>92</v>
      </c>
      <c r="AJ168" t="s">
        <v>92</v>
      </c>
      <c r="AK168" s="5">
        <v>46059.544537037036</v>
      </c>
      <c r="AO168" t="s">
        <v>54</v>
      </c>
      <c r="AP168">
        <v>0</v>
      </c>
      <c r="AR168" t="s">
        <v>54</v>
      </c>
      <c r="AS168" t="s">
        <v>54</v>
      </c>
      <c r="AT168">
        <v>161</v>
      </c>
      <c r="AU168" t="s">
        <v>55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129</v>
      </c>
      <c r="G169" s="3" t="s">
        <v>130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52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126</v>
      </c>
      <c r="V169" t="s">
        <v>56</v>
      </c>
      <c r="W169" t="s">
        <v>78</v>
      </c>
      <c r="X169" s="4">
        <v>0</v>
      </c>
      <c r="Y169" t="s">
        <v>62</v>
      </c>
      <c r="AB169" s="3"/>
      <c r="AE169" s="3"/>
      <c r="AK169" s="5"/>
    </row>
    <row r="170" spans="1:47" x14ac:dyDescent="0.25">
      <c r="A170" t="s">
        <v>63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54</v>
      </c>
      <c r="I170" s="3" t="s">
        <v>59</v>
      </c>
      <c r="K170" s="3" t="s">
        <v>60</v>
      </c>
      <c r="L170" s="3" t="s">
        <v>60</v>
      </c>
      <c r="M170" s="3">
        <v>46059.583055555559</v>
      </c>
      <c r="Q170" t="s">
        <v>54</v>
      </c>
      <c r="R170">
        <v>0</v>
      </c>
      <c r="T170" t="s">
        <v>54</v>
      </c>
      <c r="U170" t="s">
        <v>54</v>
      </c>
      <c r="V170">
        <v>6379</v>
      </c>
      <c r="W170" t="s">
        <v>55</v>
      </c>
      <c r="X170" s="4"/>
      <c r="AD170" s="3"/>
      <c r="AE170" s="3"/>
      <c r="AK170" s="5"/>
    </row>
    <row r="171" spans="1:47" x14ac:dyDescent="0.25">
      <c r="A171" t="s">
        <v>96</v>
      </c>
      <c r="B171" s="1">
        <v>38530</v>
      </c>
      <c r="C171" t="s">
        <v>48</v>
      </c>
      <c r="D171" t="s">
        <v>49</v>
      </c>
      <c r="E171" s="2">
        <v>46059</v>
      </c>
      <c r="F171" t="s">
        <v>210</v>
      </c>
      <c r="G171" t="s">
        <v>119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56</v>
      </c>
      <c r="W171" t="s">
        <v>95</v>
      </c>
      <c r="X171" s="4">
        <v>0</v>
      </c>
      <c r="Y171" t="s">
        <v>62</v>
      </c>
      <c r="AB171" s="3"/>
      <c r="AK171" s="5"/>
    </row>
    <row r="172" spans="1:47" x14ac:dyDescent="0.25">
      <c r="A172" t="s">
        <v>63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54</v>
      </c>
      <c r="I172" t="s">
        <v>59</v>
      </c>
      <c r="K172" t="s">
        <v>60</v>
      </c>
      <c r="L172" t="s">
        <v>60</v>
      </c>
      <c r="M172" s="3">
        <v>46059.62740740741</v>
      </c>
      <c r="Q172" t="s">
        <v>54</v>
      </c>
      <c r="R172">
        <v>0</v>
      </c>
      <c r="T172" t="s">
        <v>54</v>
      </c>
      <c r="U172" t="s">
        <v>54</v>
      </c>
      <c r="V172">
        <v>8501</v>
      </c>
      <c r="W172" t="s">
        <v>55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68</v>
      </c>
      <c r="G173" t="s">
        <v>69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70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76</v>
      </c>
      <c r="V173" t="s">
        <v>71</v>
      </c>
      <c r="W173" t="s">
        <v>72</v>
      </c>
      <c r="X173" s="4">
        <v>0</v>
      </c>
      <c r="Y173" t="s">
        <v>62</v>
      </c>
      <c r="AB173" s="3"/>
      <c r="AK173" s="5"/>
    </row>
    <row r="174" spans="1:47" x14ac:dyDescent="0.25">
      <c r="A174" t="s">
        <v>63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54</v>
      </c>
      <c r="I174" s="3" t="s">
        <v>59</v>
      </c>
      <c r="K174" s="3" t="s">
        <v>73</v>
      </c>
      <c r="L174" s="3" t="s">
        <v>73</v>
      </c>
      <c r="M174" s="3">
        <v>46062.387812499997</v>
      </c>
      <c r="Q174" t="s">
        <v>54</v>
      </c>
      <c r="R174">
        <v>0</v>
      </c>
      <c r="T174" t="s">
        <v>54</v>
      </c>
      <c r="U174" t="s">
        <v>54</v>
      </c>
      <c r="V174">
        <v>139</v>
      </c>
      <c r="W174" t="s">
        <v>55</v>
      </c>
      <c r="X174" s="4"/>
      <c r="Z174" s="3"/>
      <c r="AB174" s="3"/>
      <c r="AE174" s="3"/>
      <c r="AK174" s="5"/>
    </row>
    <row r="175" spans="1:47" x14ac:dyDescent="0.25">
      <c r="A175" t="s">
        <v>96</v>
      </c>
      <c r="B175" s="1">
        <v>38532</v>
      </c>
      <c r="C175" t="s">
        <v>48</v>
      </c>
      <c r="D175" t="s">
        <v>49</v>
      </c>
      <c r="E175" s="2">
        <v>46062</v>
      </c>
      <c r="F175" t="s">
        <v>192</v>
      </c>
      <c r="G175" t="s">
        <v>94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193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138</v>
      </c>
      <c r="V175" t="s">
        <v>145</v>
      </c>
      <c r="W175" t="s">
        <v>72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54</v>
      </c>
      <c r="I176" s="3" t="s">
        <v>59</v>
      </c>
      <c r="J176" t="s">
        <v>143</v>
      </c>
      <c r="K176" s="3" t="s">
        <v>92</v>
      </c>
      <c r="L176" t="s">
        <v>92</v>
      </c>
      <c r="M176" s="3">
        <v>46062.607604166667</v>
      </c>
      <c r="Q176" t="s">
        <v>54</v>
      </c>
      <c r="R176">
        <v>0</v>
      </c>
      <c r="T176" t="s">
        <v>54</v>
      </c>
      <c r="U176" t="s">
        <v>54</v>
      </c>
      <c r="V176">
        <v>2162</v>
      </c>
      <c r="W176" t="s">
        <v>55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218</v>
      </c>
      <c r="G177" t="s">
        <v>69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194</v>
      </c>
      <c r="X177" s="4">
        <v>0</v>
      </c>
      <c r="Y177" t="s">
        <v>62</v>
      </c>
    </row>
    <row r="178" spans="1:47" x14ac:dyDescent="0.25">
      <c r="A178" t="s">
        <v>63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54</v>
      </c>
      <c r="I178" s="3" t="s">
        <v>59</v>
      </c>
      <c r="K178" s="3" t="s">
        <v>80</v>
      </c>
      <c r="L178" t="s">
        <v>73</v>
      </c>
      <c r="M178" s="3">
        <v>46062.663541666669</v>
      </c>
      <c r="Q178" t="s">
        <v>54</v>
      </c>
      <c r="R178">
        <v>0</v>
      </c>
      <c r="T178" t="s">
        <v>54</v>
      </c>
      <c r="U178" t="s">
        <v>54</v>
      </c>
      <c r="V178">
        <v>8858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112</v>
      </c>
      <c r="G179" t="s">
        <v>113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78</v>
      </c>
      <c r="X179" s="4">
        <v>0</v>
      </c>
      <c r="Y179" t="s">
        <v>58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H179" t="s">
        <v>115</v>
      </c>
      <c r="AI179" t="s">
        <v>92</v>
      </c>
      <c r="AJ179" t="s">
        <v>92</v>
      </c>
      <c r="AK179" s="5">
        <v>46062.690451388888</v>
      </c>
      <c r="AO179" t="s">
        <v>54</v>
      </c>
      <c r="AP179">
        <v>0</v>
      </c>
      <c r="AR179" t="s">
        <v>54</v>
      </c>
      <c r="AS179" t="s">
        <v>54</v>
      </c>
      <c r="AT179">
        <v>4089</v>
      </c>
      <c r="AU179" t="s">
        <v>55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101</v>
      </c>
      <c r="G180" s="3" t="s">
        <v>94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71</v>
      </c>
      <c r="W180" t="s">
        <v>102</v>
      </c>
      <c r="X180" s="4">
        <v>0</v>
      </c>
      <c r="Y180" t="s">
        <v>58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54</v>
      </c>
      <c r="AG180" t="s">
        <v>59</v>
      </c>
      <c r="AH180" t="s">
        <v>103</v>
      </c>
      <c r="AI180" t="s">
        <v>92</v>
      </c>
      <c r="AJ180" t="s">
        <v>92</v>
      </c>
      <c r="AK180" s="5">
        <v>46062.736458333333</v>
      </c>
      <c r="AO180" t="s">
        <v>54</v>
      </c>
      <c r="AP180">
        <v>0</v>
      </c>
      <c r="AR180" t="s">
        <v>54</v>
      </c>
      <c r="AS180" t="s">
        <v>54</v>
      </c>
      <c r="AT180">
        <v>161</v>
      </c>
      <c r="AU180" t="s">
        <v>55</v>
      </c>
    </row>
    <row r="181" spans="1:47" x14ac:dyDescent="0.25">
      <c r="A181" t="s">
        <v>96</v>
      </c>
      <c r="B181" s="1">
        <v>38537</v>
      </c>
      <c r="C181" t="s">
        <v>48</v>
      </c>
      <c r="D181" t="s">
        <v>49</v>
      </c>
      <c r="E181" s="2">
        <v>46063</v>
      </c>
      <c r="F181" t="s">
        <v>144</v>
      </c>
      <c r="G181" t="s">
        <v>66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84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9</v>
      </c>
      <c r="V181" t="s">
        <v>145</v>
      </c>
      <c r="W181" t="s">
        <v>146</v>
      </c>
      <c r="X181" s="4">
        <v>0</v>
      </c>
      <c r="Y181" t="s">
        <v>58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54</v>
      </c>
      <c r="AG181" t="s">
        <v>59</v>
      </c>
      <c r="AI181" t="s">
        <v>73</v>
      </c>
      <c r="AJ181" t="s">
        <v>73</v>
      </c>
      <c r="AK181" s="5">
        <v>46063.376909722225</v>
      </c>
      <c r="AO181" t="s">
        <v>54</v>
      </c>
      <c r="AP181">
        <v>0</v>
      </c>
      <c r="AR181" t="s">
        <v>54</v>
      </c>
      <c r="AS181" t="s">
        <v>54</v>
      </c>
      <c r="AT181">
        <v>1301</v>
      </c>
      <c r="AU181" t="s">
        <v>55</v>
      </c>
    </row>
    <row r="182" spans="1:47" x14ac:dyDescent="0.25">
      <c r="A182" t="s">
        <v>96</v>
      </c>
      <c r="B182" s="1">
        <v>38538</v>
      </c>
      <c r="C182" t="s">
        <v>48</v>
      </c>
      <c r="D182" t="s">
        <v>49</v>
      </c>
      <c r="E182" s="2">
        <v>46063</v>
      </c>
      <c r="F182" t="s">
        <v>144</v>
      </c>
      <c r="G182" s="3" t="s">
        <v>66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84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9</v>
      </c>
      <c r="V182" t="s">
        <v>145</v>
      </c>
      <c r="W182" t="s">
        <v>146</v>
      </c>
      <c r="X182" s="4">
        <v>0</v>
      </c>
      <c r="Y182" t="s">
        <v>58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54</v>
      </c>
      <c r="AG182" t="s">
        <v>59</v>
      </c>
      <c r="AI182" t="s">
        <v>73</v>
      </c>
      <c r="AJ182" t="s">
        <v>73</v>
      </c>
      <c r="AK182" s="5">
        <v>46063.376122685186</v>
      </c>
      <c r="AO182" t="s">
        <v>54</v>
      </c>
      <c r="AP182">
        <v>0</v>
      </c>
      <c r="AR182" t="s">
        <v>54</v>
      </c>
      <c r="AS182" t="s">
        <v>54</v>
      </c>
      <c r="AT182">
        <v>1301</v>
      </c>
      <c r="AU182" t="s">
        <v>55</v>
      </c>
    </row>
    <row r="183" spans="1:47" x14ac:dyDescent="0.25">
      <c r="A183" t="s">
        <v>96</v>
      </c>
      <c r="B183" s="1">
        <v>38540</v>
      </c>
      <c r="C183" t="s">
        <v>48</v>
      </c>
      <c r="D183" t="s">
        <v>49</v>
      </c>
      <c r="E183" s="2">
        <v>46063</v>
      </c>
      <c r="F183" t="s">
        <v>183</v>
      </c>
      <c r="G183" t="s">
        <v>184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95</v>
      </c>
      <c r="X183" s="4">
        <v>0</v>
      </c>
      <c r="Y183" t="s">
        <v>58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54</v>
      </c>
      <c r="AG183" t="s">
        <v>59</v>
      </c>
      <c r="AI183" t="s">
        <v>60</v>
      </c>
      <c r="AJ183" t="s">
        <v>60</v>
      </c>
      <c r="AK183" s="5">
        <v>46063.562696759262</v>
      </c>
      <c r="AO183" t="s">
        <v>54</v>
      </c>
      <c r="AP183">
        <v>0</v>
      </c>
      <c r="AR183" t="s">
        <v>54</v>
      </c>
      <c r="AS183" t="s">
        <v>54</v>
      </c>
      <c r="AT183">
        <v>5478</v>
      </c>
      <c r="AU183" t="s">
        <v>55</v>
      </c>
    </row>
    <row r="184" spans="1:47" x14ac:dyDescent="0.25">
      <c r="A184" t="s">
        <v>96</v>
      </c>
      <c r="B184" s="3">
        <v>38542</v>
      </c>
      <c r="C184" t="s">
        <v>48</v>
      </c>
      <c r="D184" t="s">
        <v>49</v>
      </c>
      <c r="E184" s="2">
        <v>46063</v>
      </c>
      <c r="F184" t="s">
        <v>219</v>
      </c>
      <c r="G184" s="3" t="s">
        <v>94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52</v>
      </c>
      <c r="O184" t="s">
        <v>53</v>
      </c>
      <c r="P184" t="s">
        <v>53</v>
      </c>
      <c r="Q184" t="s">
        <v>53</v>
      </c>
      <c r="R184" t="s">
        <v>54</v>
      </c>
      <c r="S184" t="s">
        <v>54</v>
      </c>
      <c r="T184" t="s">
        <v>55</v>
      </c>
      <c r="U184">
        <v>126</v>
      </c>
      <c r="V184" t="s">
        <v>56</v>
      </c>
      <c r="W184" t="s">
        <v>72</v>
      </c>
      <c r="X184" s="4">
        <v>0</v>
      </c>
      <c r="Y184" t="s">
        <v>58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54</v>
      </c>
      <c r="AG184" t="s">
        <v>59</v>
      </c>
      <c r="AI184" t="s">
        <v>73</v>
      </c>
      <c r="AJ184" t="s">
        <v>73</v>
      </c>
      <c r="AK184" s="5">
        <v>46063.71638888889</v>
      </c>
      <c r="AO184" t="s">
        <v>54</v>
      </c>
      <c r="AP184">
        <v>0</v>
      </c>
      <c r="AR184" t="s">
        <v>54</v>
      </c>
      <c r="AS184" t="s">
        <v>54</v>
      </c>
      <c r="AT184">
        <v>5117</v>
      </c>
      <c r="AU184" t="s">
        <v>55</v>
      </c>
    </row>
    <row r="185" spans="1:47" x14ac:dyDescent="0.25">
      <c r="A185" t="s">
        <v>136</v>
      </c>
      <c r="B185" s="1">
        <v>38543</v>
      </c>
      <c r="C185" t="s">
        <v>48</v>
      </c>
      <c r="D185" t="s">
        <v>49</v>
      </c>
      <c r="E185" s="2">
        <v>46064</v>
      </c>
      <c r="F185" t="s">
        <v>187</v>
      </c>
      <c r="G185" t="s">
        <v>94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106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145</v>
      </c>
      <c r="V185" t="s">
        <v>99</v>
      </c>
      <c r="W185" t="s">
        <v>134</v>
      </c>
      <c r="X185" s="4">
        <v>0</v>
      </c>
      <c r="Y185" t="s">
        <v>58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54</v>
      </c>
      <c r="AG185" t="s">
        <v>59</v>
      </c>
      <c r="AI185" t="s">
        <v>73</v>
      </c>
      <c r="AJ185" t="s">
        <v>73</v>
      </c>
      <c r="AK185" s="5">
        <v>46064.455208333333</v>
      </c>
      <c r="AO185" t="s">
        <v>54</v>
      </c>
      <c r="AP185">
        <v>0</v>
      </c>
      <c r="AR185" t="s">
        <v>54</v>
      </c>
      <c r="AS185" t="s">
        <v>54</v>
      </c>
      <c r="AT185">
        <v>251</v>
      </c>
      <c r="AU185" t="s">
        <v>55</v>
      </c>
    </row>
    <row r="186" spans="1:47" x14ac:dyDescent="0.25">
      <c r="A186" t="s">
        <v>96</v>
      </c>
      <c r="B186" s="1">
        <v>38544</v>
      </c>
      <c r="C186" t="s">
        <v>48</v>
      </c>
      <c r="D186" t="s">
        <v>49</v>
      </c>
      <c r="E186" s="2">
        <v>46064</v>
      </c>
      <c r="F186" t="s">
        <v>201</v>
      </c>
      <c r="G186" s="3" t="s">
        <v>69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134</v>
      </c>
      <c r="X186" s="4">
        <v>0</v>
      </c>
      <c r="Y186" t="s">
        <v>58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54</v>
      </c>
      <c r="AG186" t="s">
        <v>59</v>
      </c>
      <c r="AI186" t="s">
        <v>80</v>
      </c>
      <c r="AJ186" t="s">
        <v>73</v>
      </c>
      <c r="AK186" s="5">
        <v>46064.578784722224</v>
      </c>
      <c r="AO186" t="s">
        <v>54</v>
      </c>
      <c r="AP186">
        <v>0</v>
      </c>
      <c r="AR186" t="s">
        <v>54</v>
      </c>
      <c r="AS186" t="s">
        <v>54</v>
      </c>
      <c r="AT186">
        <v>4097</v>
      </c>
      <c r="AU186" t="s">
        <v>55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196</v>
      </c>
      <c r="G187" s="3" t="s">
        <v>87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52</v>
      </c>
      <c r="O187" t="s">
        <v>53</v>
      </c>
      <c r="P187" t="s">
        <v>53</v>
      </c>
      <c r="Q187" t="s">
        <v>53</v>
      </c>
      <c r="R187" t="s">
        <v>54</v>
      </c>
      <c r="S187" t="s">
        <v>54</v>
      </c>
      <c r="T187" t="s">
        <v>55</v>
      </c>
      <c r="U187">
        <v>126</v>
      </c>
      <c r="V187" t="s">
        <v>56</v>
      </c>
      <c r="W187" t="s">
        <v>168</v>
      </c>
      <c r="X187" s="4">
        <v>0</v>
      </c>
      <c r="Y187" t="s">
        <v>62</v>
      </c>
    </row>
    <row r="188" spans="1:47" x14ac:dyDescent="0.25">
      <c r="A188" t="s">
        <v>63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54</v>
      </c>
      <c r="I188" s="3" t="s">
        <v>59</v>
      </c>
      <c r="K188" s="3" t="s">
        <v>60</v>
      </c>
      <c r="L188" s="3" t="s">
        <v>73</v>
      </c>
      <c r="M188" s="3">
        <v>46064.596574074072</v>
      </c>
      <c r="Q188" t="s">
        <v>54</v>
      </c>
      <c r="R188">
        <v>0</v>
      </c>
      <c r="T188" t="s">
        <v>54</v>
      </c>
      <c r="U188" t="s">
        <v>54</v>
      </c>
      <c r="V188">
        <v>7376</v>
      </c>
      <c r="W188" t="s">
        <v>55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118</v>
      </c>
      <c r="G189" t="s">
        <v>119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77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83</v>
      </c>
      <c r="W189" t="s">
        <v>85</v>
      </c>
      <c r="X189" s="4">
        <v>0</v>
      </c>
      <c r="Y189" t="s">
        <v>58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54</v>
      </c>
      <c r="AG189" t="s">
        <v>59</v>
      </c>
      <c r="AI189" t="s">
        <v>80</v>
      </c>
      <c r="AJ189" t="s">
        <v>73</v>
      </c>
      <c r="AK189" s="5">
        <v>46064.552233796298</v>
      </c>
      <c r="AO189" t="s">
        <v>54</v>
      </c>
      <c r="AP189">
        <v>0</v>
      </c>
      <c r="AR189" t="s">
        <v>54</v>
      </c>
      <c r="AS189" t="s">
        <v>54</v>
      </c>
      <c r="AT189">
        <v>4900</v>
      </c>
      <c r="AU189" t="s">
        <v>55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118</v>
      </c>
      <c r="G190" t="s">
        <v>119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77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83</v>
      </c>
      <c r="W190" t="s">
        <v>85</v>
      </c>
      <c r="X190" s="4">
        <v>0</v>
      </c>
      <c r="Y190" t="s">
        <v>58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54</v>
      </c>
      <c r="AG190" t="s">
        <v>59</v>
      </c>
      <c r="AI190" t="s">
        <v>80</v>
      </c>
      <c r="AJ190" t="s">
        <v>73</v>
      </c>
      <c r="AK190" s="5">
        <v>46064.552372685182</v>
      </c>
      <c r="AO190" t="s">
        <v>54</v>
      </c>
      <c r="AP190">
        <v>0</v>
      </c>
      <c r="AR190" t="s">
        <v>54</v>
      </c>
      <c r="AS190" t="s">
        <v>54</v>
      </c>
      <c r="AT190">
        <v>4900</v>
      </c>
      <c r="AU190" t="s">
        <v>55</v>
      </c>
    </row>
    <row r="191" spans="1:47" x14ac:dyDescent="0.25">
      <c r="A191" t="s">
        <v>96</v>
      </c>
      <c r="B191" s="1">
        <v>38548</v>
      </c>
      <c r="C191" t="s">
        <v>48</v>
      </c>
      <c r="D191" t="s">
        <v>49</v>
      </c>
      <c r="E191" s="2">
        <v>46064</v>
      </c>
      <c r="F191" t="s">
        <v>120</v>
      </c>
      <c r="G191" t="s">
        <v>69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77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83</v>
      </c>
      <c r="V191" t="s">
        <v>121</v>
      </c>
      <c r="W191" t="s">
        <v>122</v>
      </c>
      <c r="X191" s="4">
        <v>0</v>
      </c>
      <c r="Y191" t="s">
        <v>58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54</v>
      </c>
      <c r="AG191" t="s">
        <v>59</v>
      </c>
      <c r="AH191" t="s">
        <v>79</v>
      </c>
      <c r="AI191" t="s">
        <v>73</v>
      </c>
      <c r="AJ191" t="s">
        <v>73</v>
      </c>
      <c r="AK191" s="5">
        <v>46064.574571759258</v>
      </c>
      <c r="AO191" t="s">
        <v>54</v>
      </c>
      <c r="AP191">
        <v>0</v>
      </c>
      <c r="AR191" t="s">
        <v>54</v>
      </c>
      <c r="AS191" t="s">
        <v>54</v>
      </c>
      <c r="AT191">
        <v>6081</v>
      </c>
      <c r="AU191" t="s">
        <v>55</v>
      </c>
    </row>
    <row r="192" spans="1:47" x14ac:dyDescent="0.25">
      <c r="A192" t="s">
        <v>81</v>
      </c>
      <c r="B192" s="1">
        <v>38549</v>
      </c>
      <c r="C192" t="s">
        <v>48</v>
      </c>
      <c r="D192" t="s">
        <v>49</v>
      </c>
      <c r="E192" s="2">
        <v>46064</v>
      </c>
      <c r="F192" t="s">
        <v>116</v>
      </c>
      <c r="G192" s="3" t="s">
        <v>66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84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9</v>
      </c>
      <c r="W192" t="s">
        <v>117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54</v>
      </c>
      <c r="I193" s="3" t="s">
        <v>59</v>
      </c>
      <c r="K193" s="3" t="s">
        <v>73</v>
      </c>
      <c r="L193" s="3" t="s">
        <v>73</v>
      </c>
      <c r="M193" s="3">
        <v>46064.595590277779</v>
      </c>
      <c r="Q193" t="s">
        <v>54</v>
      </c>
      <c r="R193">
        <v>0</v>
      </c>
      <c r="T193" t="s">
        <v>54</v>
      </c>
      <c r="U193" t="s">
        <v>54</v>
      </c>
      <c r="V193">
        <v>8826</v>
      </c>
      <c r="W193" t="s">
        <v>55</v>
      </c>
      <c r="X193" s="4"/>
      <c r="Z193" s="3"/>
      <c r="AE193" s="3"/>
      <c r="AK193" s="5"/>
    </row>
    <row r="194" spans="1:47" x14ac:dyDescent="0.25">
      <c r="A194" t="s">
        <v>96</v>
      </c>
      <c r="B194" s="1">
        <v>38550</v>
      </c>
      <c r="C194" t="s">
        <v>48</v>
      </c>
      <c r="D194" t="s">
        <v>49</v>
      </c>
      <c r="E194" s="2">
        <v>46064</v>
      </c>
      <c r="F194" t="s">
        <v>165</v>
      </c>
      <c r="G194" s="3" t="s">
        <v>69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52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126</v>
      </c>
      <c r="V194" t="s">
        <v>56</v>
      </c>
      <c r="W194" t="s">
        <v>152</v>
      </c>
      <c r="X194" s="4">
        <v>0</v>
      </c>
      <c r="Y194" t="s">
        <v>58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54</v>
      </c>
      <c r="AG194" t="s">
        <v>59</v>
      </c>
      <c r="AI194" t="s">
        <v>60</v>
      </c>
      <c r="AJ194" t="s">
        <v>60</v>
      </c>
      <c r="AK194" s="5">
        <v>46064.61445601852</v>
      </c>
      <c r="AO194" t="s">
        <v>54</v>
      </c>
      <c r="AP194">
        <v>0</v>
      </c>
      <c r="AR194" t="s">
        <v>54</v>
      </c>
      <c r="AS194" t="s">
        <v>54</v>
      </c>
      <c r="AT194">
        <v>322</v>
      </c>
      <c r="AU194" t="s">
        <v>55</v>
      </c>
    </row>
    <row r="195" spans="1:47" x14ac:dyDescent="0.25">
      <c r="A195" t="s">
        <v>96</v>
      </c>
      <c r="B195" s="1">
        <v>38551</v>
      </c>
      <c r="C195" t="s">
        <v>48</v>
      </c>
      <c r="D195" t="s">
        <v>49</v>
      </c>
      <c r="E195" s="2">
        <v>46064</v>
      </c>
      <c r="F195" t="s">
        <v>204</v>
      </c>
      <c r="G195" t="s">
        <v>69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52</v>
      </c>
      <c r="O195" t="s">
        <v>54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126</v>
      </c>
      <c r="V195" t="s">
        <v>56</v>
      </c>
      <c r="W195" t="s">
        <v>95</v>
      </c>
      <c r="X195" s="4">
        <v>0</v>
      </c>
      <c r="Z195" s="3">
        <v>103.2</v>
      </c>
      <c r="AA195">
        <v>0</v>
      </c>
      <c r="AB195">
        <v>0</v>
      </c>
      <c r="AC195">
        <v>0</v>
      </c>
      <c r="AD195">
        <v>0</v>
      </c>
      <c r="AE195" s="3">
        <v>300</v>
      </c>
      <c r="AF195" t="s">
        <v>54</v>
      </c>
      <c r="AG195" t="s">
        <v>59</v>
      </c>
      <c r="AI195" t="s">
        <v>60</v>
      </c>
      <c r="AK195" s="5"/>
      <c r="AO195" t="s">
        <v>54</v>
      </c>
      <c r="AP195">
        <v>0</v>
      </c>
      <c r="AR195" t="s">
        <v>54</v>
      </c>
      <c r="AS195" t="s">
        <v>54</v>
      </c>
      <c r="AT195">
        <v>6026</v>
      </c>
      <c r="AU195" t="s">
        <v>55</v>
      </c>
    </row>
    <row r="196" spans="1:47" x14ac:dyDescent="0.25">
      <c r="A196" t="s">
        <v>47</v>
      </c>
      <c r="B196" s="1">
        <v>38552</v>
      </c>
      <c r="C196" t="s">
        <v>48</v>
      </c>
      <c r="D196" t="s">
        <v>49</v>
      </c>
      <c r="E196" s="2">
        <v>46064</v>
      </c>
      <c r="F196" t="s">
        <v>179</v>
      </c>
      <c r="G196" s="3" t="s">
        <v>119</v>
      </c>
      <c r="H196" s="3">
        <v>7174</v>
      </c>
      <c r="I196" s="3">
        <v>7174</v>
      </c>
      <c r="J196">
        <v>0</v>
      </c>
      <c r="K196" s="3">
        <v>8250.1</v>
      </c>
      <c r="L196" s="3">
        <v>1356.8</v>
      </c>
      <c r="M196" s="3">
        <v>591.17999999999995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72</v>
      </c>
      <c r="X196" s="4">
        <v>0</v>
      </c>
      <c r="Y196" t="s">
        <v>58</v>
      </c>
      <c r="Z196" s="3">
        <v>1356.8</v>
      </c>
      <c r="AA196">
        <v>0</v>
      </c>
      <c r="AB196" s="3">
        <v>0</v>
      </c>
      <c r="AC196">
        <v>0</v>
      </c>
      <c r="AD196">
        <v>0</v>
      </c>
      <c r="AE196" s="3">
        <v>1400</v>
      </c>
      <c r="AF196" t="s">
        <v>54</v>
      </c>
      <c r="AG196" t="s">
        <v>59</v>
      </c>
      <c r="AH196" t="s">
        <v>180</v>
      </c>
      <c r="AI196" t="s">
        <v>60</v>
      </c>
      <c r="AJ196" t="s">
        <v>60</v>
      </c>
      <c r="AK196" s="5">
        <v>46064.715694444443</v>
      </c>
      <c r="AO196" t="s">
        <v>54</v>
      </c>
      <c r="AP196">
        <v>0</v>
      </c>
      <c r="AR196" t="s">
        <v>54</v>
      </c>
      <c r="AS196" t="s">
        <v>54</v>
      </c>
      <c r="AT196">
        <v>6910</v>
      </c>
      <c r="AU196" t="s">
        <v>55</v>
      </c>
    </row>
    <row r="197" spans="1:47" x14ac:dyDescent="0.25">
      <c r="A197" t="s">
        <v>96</v>
      </c>
      <c r="B197" s="1">
        <v>38553</v>
      </c>
      <c r="C197" t="s">
        <v>48</v>
      </c>
      <c r="D197" t="s">
        <v>49</v>
      </c>
      <c r="E197" s="2">
        <v>46064</v>
      </c>
      <c r="F197" t="s">
        <v>220</v>
      </c>
      <c r="G197" s="3" t="s">
        <v>172</v>
      </c>
      <c r="H197" s="3">
        <v>1140</v>
      </c>
      <c r="I197" s="3">
        <v>1140</v>
      </c>
      <c r="J197">
        <v>0</v>
      </c>
      <c r="K197" s="3">
        <v>1140</v>
      </c>
      <c r="L197">
        <v>260</v>
      </c>
      <c r="M197" s="3">
        <v>84.5</v>
      </c>
      <c r="N197" t="s">
        <v>52</v>
      </c>
      <c r="O197" t="s">
        <v>54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W197" t="s">
        <v>95</v>
      </c>
      <c r="X197" s="4">
        <v>0</v>
      </c>
      <c r="Z197">
        <v>260</v>
      </c>
      <c r="AA197">
        <v>0</v>
      </c>
      <c r="AB197">
        <v>0</v>
      </c>
      <c r="AC197">
        <v>0</v>
      </c>
      <c r="AD197">
        <v>0</v>
      </c>
      <c r="AE197" s="3">
        <v>1000</v>
      </c>
      <c r="AF197" t="s">
        <v>54</v>
      </c>
      <c r="AG197" t="s">
        <v>59</v>
      </c>
      <c r="AI197" t="s">
        <v>60</v>
      </c>
      <c r="AK197" s="5"/>
      <c r="AO197" t="s">
        <v>54</v>
      </c>
      <c r="AP197">
        <v>0</v>
      </c>
      <c r="AR197" t="s">
        <v>54</v>
      </c>
      <c r="AS197" t="s">
        <v>54</v>
      </c>
      <c r="AT197">
        <v>8730</v>
      </c>
      <c r="AU197" t="s">
        <v>55</v>
      </c>
    </row>
    <row r="198" spans="1:47" x14ac:dyDescent="0.25">
      <c r="B198" s="1"/>
      <c r="E198" s="2"/>
      <c r="H198" s="3"/>
      <c r="I198" s="3"/>
      <c r="K198" s="3"/>
      <c r="L198" s="3"/>
      <c r="X198" s="4"/>
      <c r="Z198" s="3"/>
      <c r="AD198" s="3"/>
      <c r="AE198" s="3"/>
      <c r="AK198" s="5"/>
    </row>
    <row r="199" spans="1:47" x14ac:dyDescent="0.25">
      <c r="B199" s="1"/>
      <c r="E199" s="2"/>
      <c r="H199" s="3"/>
      <c r="I199" s="3"/>
      <c r="K199" s="3"/>
      <c r="L199" s="3"/>
      <c r="X199" s="4"/>
      <c r="Z199" s="3"/>
      <c r="AE199" s="3"/>
      <c r="AK199" s="5"/>
    </row>
    <row r="200" spans="1:47" x14ac:dyDescent="0.25">
      <c r="B200" s="1"/>
      <c r="E200" s="2"/>
      <c r="H200" s="3"/>
      <c r="I200" s="3"/>
      <c r="K200" s="3"/>
      <c r="L200" s="3"/>
      <c r="X200" s="4"/>
      <c r="AB200" s="3"/>
      <c r="AK200" s="5"/>
    </row>
    <row r="201" spans="1:47" x14ac:dyDescent="0.25">
      <c r="B201" s="1"/>
      <c r="E201" s="2"/>
      <c r="H201" s="3"/>
      <c r="I201" s="3"/>
      <c r="K201" s="3"/>
      <c r="L201" s="3"/>
      <c r="X201" s="4"/>
      <c r="AB201" s="3"/>
      <c r="AK201" s="5"/>
    </row>
    <row r="202" spans="1:47" x14ac:dyDescent="0.25">
      <c r="B202" s="1"/>
      <c r="E202" s="2"/>
      <c r="G202" s="3"/>
      <c r="H202" s="3"/>
      <c r="I202" s="3"/>
      <c r="K202" s="3"/>
      <c r="X202" s="4"/>
      <c r="AE202" s="3"/>
      <c r="AK202" s="5"/>
    </row>
    <row r="203" spans="1:47" x14ac:dyDescent="0.25">
      <c r="B203" s="1"/>
      <c r="E203" s="2"/>
      <c r="H203" s="3"/>
      <c r="I203" s="3"/>
      <c r="K203" s="3"/>
      <c r="X203" s="4"/>
      <c r="AK203" s="5"/>
    </row>
    <row r="204" spans="1:47" x14ac:dyDescent="0.25">
      <c r="B204" s="1"/>
      <c r="E204" s="2"/>
      <c r="G204" s="3"/>
      <c r="H204" s="3"/>
      <c r="I204" s="3"/>
      <c r="K204" s="3"/>
      <c r="X204" s="4"/>
      <c r="AK204" s="5"/>
    </row>
    <row r="205" spans="1:47" x14ac:dyDescent="0.25">
      <c r="B205" s="1"/>
      <c r="E205" s="2"/>
      <c r="H205" s="3"/>
      <c r="I205" s="3"/>
      <c r="K205" s="3"/>
      <c r="L205" s="3"/>
      <c r="X205" s="4"/>
      <c r="AB205" s="3"/>
      <c r="AD205" s="3"/>
      <c r="AE205" s="3"/>
      <c r="AK205" s="5"/>
    </row>
    <row r="206" spans="1:47" x14ac:dyDescent="0.25">
      <c r="B206" s="1"/>
      <c r="E206" s="2"/>
      <c r="F206" s="3"/>
      <c r="G206" s="3"/>
      <c r="H206" s="3"/>
      <c r="I206" s="3"/>
      <c r="K206" s="3"/>
      <c r="L206" s="3"/>
      <c r="X206" s="4"/>
    </row>
    <row r="207" spans="1:47" x14ac:dyDescent="0.25">
      <c r="B207" s="1"/>
      <c r="E207" s="2"/>
      <c r="G207" s="3"/>
      <c r="H207" s="3"/>
      <c r="I207" s="3"/>
      <c r="K207" s="3"/>
      <c r="L207" s="3"/>
      <c r="X207" s="4"/>
      <c r="AE207" s="3"/>
      <c r="AK207" s="5"/>
    </row>
    <row r="208" spans="1:47" x14ac:dyDescent="0.25">
      <c r="B208" s="1"/>
      <c r="E208" s="2"/>
      <c r="F208" s="3"/>
      <c r="G208" s="3"/>
      <c r="H208" s="3"/>
      <c r="I208" s="3"/>
      <c r="K208" s="3"/>
      <c r="L208" s="3"/>
      <c r="X208" s="4"/>
      <c r="AB208" s="3"/>
      <c r="AE208" s="3"/>
      <c r="AK208" s="5"/>
    </row>
    <row r="209" spans="2:37" x14ac:dyDescent="0.25">
      <c r="B209" s="1"/>
      <c r="E209" s="2"/>
      <c r="G209" s="3"/>
      <c r="H209" s="3"/>
      <c r="I209" s="3"/>
      <c r="K209" s="3"/>
      <c r="L209" s="3"/>
      <c r="X209" s="4"/>
      <c r="Z209" s="3"/>
      <c r="AE209" s="3"/>
      <c r="AK209" s="5"/>
    </row>
    <row r="210" spans="2:37" x14ac:dyDescent="0.25">
      <c r="B210" s="1"/>
      <c r="D210" s="3"/>
      <c r="E210" s="2"/>
      <c r="G210" s="3"/>
      <c r="H210" s="3"/>
      <c r="I210" s="3"/>
      <c r="K210" s="3"/>
      <c r="L210" s="3"/>
      <c r="X210" s="4"/>
      <c r="Z210" s="3"/>
      <c r="AB210" s="3"/>
      <c r="AE210" s="3"/>
      <c r="AK210" s="5"/>
    </row>
    <row r="211" spans="2:37" x14ac:dyDescent="0.25">
      <c r="B211" s="1"/>
      <c r="E211" s="2"/>
      <c r="G211" s="3"/>
      <c r="H211" s="3"/>
      <c r="I211" s="3"/>
      <c r="K211" s="3"/>
      <c r="L211" s="3"/>
      <c r="X211" s="4"/>
      <c r="Z211" s="3"/>
      <c r="AE211" s="3"/>
      <c r="AK211" s="5"/>
    </row>
    <row r="212" spans="2:37" x14ac:dyDescent="0.25">
      <c r="B212" s="1"/>
      <c r="E212" s="2"/>
      <c r="H212" s="3"/>
      <c r="I212" s="3"/>
      <c r="K212" s="3"/>
      <c r="L212" s="3"/>
      <c r="X212" s="4"/>
      <c r="Z212" s="3"/>
      <c r="AE212" s="3"/>
      <c r="AK212" s="5"/>
    </row>
    <row r="213" spans="2:37" x14ac:dyDescent="0.25">
      <c r="B213" s="1"/>
      <c r="E213" s="2"/>
      <c r="G213" s="3"/>
      <c r="H213" s="3"/>
      <c r="I213" s="3"/>
      <c r="K213" s="3"/>
      <c r="L213" s="3"/>
      <c r="X213" s="4"/>
      <c r="Z213" s="3"/>
      <c r="AE213" s="3"/>
      <c r="AK213" s="5"/>
    </row>
    <row r="214" spans="2:37" x14ac:dyDescent="0.25">
      <c r="B214" s="1"/>
      <c r="E214" s="2"/>
      <c r="H214" s="3"/>
      <c r="I214" s="3"/>
      <c r="K214" s="3"/>
      <c r="L214" s="3"/>
      <c r="X214" s="4"/>
      <c r="Z214" s="3"/>
      <c r="AE214" s="3"/>
      <c r="AK214" s="5"/>
    </row>
    <row r="215" spans="2:37" x14ac:dyDescent="0.25">
      <c r="B215" s="3"/>
      <c r="E215" s="2"/>
      <c r="G215" s="3"/>
      <c r="H215" s="3"/>
      <c r="I215" s="3"/>
      <c r="K215" s="3"/>
      <c r="L215" s="3"/>
      <c r="X215" s="4"/>
      <c r="AE215" s="3"/>
      <c r="AK215" s="5"/>
    </row>
    <row r="216" spans="2:37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2:37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2:37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2:37" x14ac:dyDescent="0.25">
      <c r="B219" s="1"/>
      <c r="D219" s="3"/>
      <c r="E219" s="2"/>
      <c r="G219" s="3"/>
      <c r="X219" s="4"/>
    </row>
    <row r="220" spans="2:37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2:37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2:37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2:37" x14ac:dyDescent="0.25">
      <c r="B223" s="1"/>
      <c r="D223" s="3"/>
      <c r="E223" s="2"/>
      <c r="G223" s="3"/>
      <c r="H223" s="3"/>
      <c r="I223" s="3"/>
      <c r="K223" s="3"/>
      <c r="X223" s="4"/>
    </row>
    <row r="224" spans="2:37" x14ac:dyDescent="0.25">
      <c r="B224" s="1"/>
      <c r="E224" s="2"/>
      <c r="G224" s="3"/>
      <c r="H224" s="3"/>
      <c r="I224" s="3"/>
      <c r="K224" s="3"/>
      <c r="L224" s="3"/>
      <c r="X224" s="4"/>
    </row>
    <row r="225" spans="2:37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x14ac:dyDescent="0.25">
      <c r="B228" s="1"/>
      <c r="E228" s="2"/>
      <c r="H228" s="3"/>
      <c r="I228" s="3"/>
      <c r="K228" s="3"/>
      <c r="L228" s="3"/>
      <c r="X228" s="4"/>
      <c r="AK228" s="5"/>
    </row>
    <row r="229" spans="2:37" x14ac:dyDescent="0.25">
      <c r="B229" s="1"/>
      <c r="E229" s="2"/>
      <c r="G229" s="3"/>
      <c r="H229" s="3"/>
      <c r="I229" s="3"/>
      <c r="K229" s="3"/>
      <c r="X229" s="4"/>
      <c r="AK229" s="5"/>
    </row>
    <row r="230" spans="2:37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x14ac:dyDescent="0.25">
      <c r="B235" s="1"/>
      <c r="E235" s="2"/>
      <c r="H235" s="3"/>
      <c r="I235" s="3"/>
      <c r="K235" s="3"/>
      <c r="X235" s="4"/>
      <c r="AE235" s="3"/>
      <c r="AK235" s="5"/>
    </row>
    <row r="236" spans="2:37" x14ac:dyDescent="0.25">
      <c r="B236" s="1"/>
      <c r="E236" s="2"/>
      <c r="H236" s="3"/>
      <c r="I236" s="3"/>
      <c r="K236" s="3"/>
      <c r="X236" s="4"/>
      <c r="AE236" s="3"/>
      <c r="AK236" s="5"/>
    </row>
    <row r="237" spans="2:37" x14ac:dyDescent="0.25">
      <c r="B237" s="1"/>
      <c r="E237" s="2"/>
      <c r="H237" s="3"/>
      <c r="I237" s="3"/>
      <c r="K237" s="3"/>
      <c r="X237" s="4"/>
      <c r="AE237" s="3"/>
      <c r="AK237" s="5"/>
    </row>
    <row r="238" spans="2:3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97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E15" sqref="E15"/>
    </sheetView>
  </sheetViews>
  <sheetFormatPr defaultRowHeight="14.3" x14ac:dyDescent="0.25"/>
  <cols>
    <col min="1" max="1" width="15.625" bestFit="1" customWidth="1"/>
    <col min="2" max="2" width="13.8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1676393.95</v>
      </c>
      <c r="D3" t="s">
        <v>10</v>
      </c>
      <c r="E3" s="11">
        <v>136341.22000000003</v>
      </c>
    </row>
    <row r="4" spans="1:5" x14ac:dyDescent="0.25">
      <c r="A4" t="s">
        <v>11</v>
      </c>
      <c r="B4" s="9">
        <f>SUBTOTAL(9,Planilha1!L1:L1820)</f>
        <v>277307.88</v>
      </c>
      <c r="D4" t="s">
        <v>11</v>
      </c>
      <c r="E4" s="9">
        <v>19637.32</v>
      </c>
    </row>
    <row r="5" spans="1:5" x14ac:dyDescent="0.25">
      <c r="A5" s="3" t="s">
        <v>12</v>
      </c>
      <c r="B5" s="12">
        <f>SUBTOTAL(9,Planilha1!M1:M1821)</f>
        <v>2570261.6015046285</v>
      </c>
      <c r="D5" t="s">
        <v>12</v>
      </c>
      <c r="E5" s="12">
        <v>9668.9699999999993</v>
      </c>
    </row>
    <row r="6" spans="1:5" x14ac:dyDescent="0.25">
      <c r="A6" t="s">
        <v>214</v>
      </c>
      <c r="B6" s="10">
        <f>SUBTOTAL(3,Planilha1!D2:D1821)</f>
        <v>196</v>
      </c>
      <c r="D6" t="s">
        <v>214</v>
      </c>
      <c r="E6" s="10">
        <v>18</v>
      </c>
    </row>
    <row r="7" spans="1:5" x14ac:dyDescent="0.25">
      <c r="A7" t="s">
        <v>217</v>
      </c>
      <c r="B7" s="13">
        <f>B3/B6</f>
        <v>8553.0303571428576</v>
      </c>
      <c r="D7" t="s">
        <v>217</v>
      </c>
      <c r="E7" s="13">
        <v>7574.5122222222235</v>
      </c>
    </row>
    <row r="8" spans="1:5" x14ac:dyDescent="0.25">
      <c r="A8" t="s">
        <v>216</v>
      </c>
      <c r="B8" s="13">
        <f>B3/B4</f>
        <v>6.0452445491271289</v>
      </c>
      <c r="D8" t="s">
        <v>216</v>
      </c>
      <c r="E8" s="13">
        <v>6.9429647222737128</v>
      </c>
    </row>
    <row r="9" spans="1:5" x14ac:dyDescent="0.25">
      <c r="A9" t="s">
        <v>215</v>
      </c>
      <c r="B9" s="13">
        <f>B3/B5</f>
        <v>0.65222697526922579</v>
      </c>
      <c r="D9" t="s">
        <v>215</v>
      </c>
      <c r="E9" s="13">
        <v>14.100904232819012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2026-02-12T16:17:35Z</dcterms:modified>
</cp:coreProperties>
</file>