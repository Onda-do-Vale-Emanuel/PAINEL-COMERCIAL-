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5DE05C26-96C4-4AB3-BCE7-630C0D9B101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7" i="2" l="1"/>
  <c r="C8" i="2" s="1"/>
  <c r="C6" i="2"/>
  <c r="C5" i="2"/>
  <c r="C9" i="2" l="1"/>
  <c r="C10" i="2"/>
</calcChain>
</file>

<file path=xl/sharedStrings.xml><?xml version="1.0" encoding="utf-8"?>
<sst xmlns="http://schemas.openxmlformats.org/spreadsheetml/2006/main" count="27587" uniqueCount="441">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</sst>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Normal="100" workbookViewId="0">
      <pane ySplit="1" topLeftCell="A150" activePane="bottomLeft" state="frozen"/>
      <selection pane="bottomLeft" activeCell="E155" sqref="E155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F10"/>
  <sheetViews>
    <sheetView workbookViewId="0">
      <selection activeCell="D14" sqref="D14"/>
    </sheetView>
  </sheetViews>
  <sheetFormatPr defaultRowHeight="14.3" x14ac:dyDescent="0.25"/>
  <cols>
    <col min="2" max="2" width="15.625" bestFit="1" customWidth="1"/>
    <col min="3" max="3" width="13.875" bestFit="1" customWidth="1"/>
    <col min="5" max="5" width="15.625" bestFit="1" customWidth="1"/>
    <col min="6" max="6" width="13.875" bestFit="1" customWidth="1"/>
  </cols>
  <sheetData>
    <row r="3" spans="2:6" x14ac:dyDescent="0.25">
      <c r="B3">
        <v>2025</v>
      </c>
      <c r="C3" s="8"/>
      <c r="E3">
        <v>2026</v>
      </c>
      <c r="F3" s="8"/>
    </row>
    <row r="4" spans="2:6" x14ac:dyDescent="0.25">
      <c r="B4" t="s">
        <v>10</v>
      </c>
      <c r="C4" s="8">
        <f>SUBTOTAL(9,Planilha1!K2:K1656)</f>
        <v>13971334.610000018</v>
      </c>
      <c r="E4" t="s">
        <v>10</v>
      </c>
      <c r="F4" s="8">
        <v>442403.79999999987</v>
      </c>
    </row>
    <row r="5" spans="2:6" x14ac:dyDescent="0.25">
      <c r="B5" t="s">
        <v>11</v>
      </c>
      <c r="C5" s="9">
        <f>SUBTOTAL(9,Planilha1!L2:L1656)</f>
        <v>2247746.9600000028</v>
      </c>
      <c r="E5" t="s">
        <v>11</v>
      </c>
      <c r="F5" s="9">
        <v>83459.710000000006</v>
      </c>
    </row>
    <row r="6" spans="2:6" x14ac:dyDescent="0.25">
      <c r="B6" s="3" t="s">
        <v>12</v>
      </c>
      <c r="C6" s="9">
        <f>SUBTOTAL(9,Planilha1!M2:M1656)</f>
        <v>22657306.339467593</v>
      </c>
      <c r="E6" s="3" t="s">
        <v>12</v>
      </c>
      <c r="F6" s="9">
        <v>33872.180000000008</v>
      </c>
    </row>
    <row r="7" spans="2:6" x14ac:dyDescent="0.25">
      <c r="B7" t="s">
        <v>437</v>
      </c>
      <c r="C7" s="10">
        <f>SUBTOTAL(3,Planilha1!E3:E1822)</f>
        <v>1647</v>
      </c>
      <c r="E7" t="s">
        <v>437</v>
      </c>
      <c r="F7" s="10">
        <v>47</v>
      </c>
    </row>
    <row r="8" spans="2:6" x14ac:dyDescent="0.25">
      <c r="B8" t="s">
        <v>440</v>
      </c>
      <c r="C8" s="8">
        <f>C4/C7</f>
        <v>8482.8989738919354</v>
      </c>
      <c r="E8" t="s">
        <v>440</v>
      </c>
      <c r="F8" s="8">
        <v>9412.846808510636</v>
      </c>
    </row>
    <row r="9" spans="2:6" x14ac:dyDescent="0.25">
      <c r="B9" t="s">
        <v>438</v>
      </c>
      <c r="C9" s="8">
        <f>C4/C5</f>
        <v>6.2157061531516877</v>
      </c>
      <c r="E9" t="s">
        <v>438</v>
      </c>
      <c r="F9" s="8">
        <v>5.3008068204406635</v>
      </c>
    </row>
    <row r="10" spans="2:6" x14ac:dyDescent="0.25">
      <c r="B10" t="s">
        <v>439</v>
      </c>
      <c r="C10" s="8">
        <f>C4/C6</f>
        <v>0.61663705299613825</v>
      </c>
      <c r="E10" t="s">
        <v>439</v>
      </c>
      <c r="F10" s="8">
        <v>13.060978065185051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2026-02-13T16:14:03Z</dcterms:modified>
</cp:coreProperties>
</file>